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README" sheetId="1" state="visible" r:id="rId3"/>
    <sheet name="HOME" sheetId="2" state="visible" r:id="rId4"/>
    <sheet name="SORGHUM BUDGET" sheetId="3" state="visible" r:id="rId5"/>
    <sheet name="REPORTS" sheetId="4" state="visible" r:id="rId6"/>
    <sheet name="DATA_PIPELINE" sheetId="5" state="visible" r:id="rId7"/>
    <sheet name="DATA_RECEIPTS" sheetId="6" state="visible" r:id="rId8"/>
    <sheet name="SGR ASSET REGISTER" sheetId="7" state="visible" r:id="rId9"/>
    <sheet name="CLUSTER PIPELINE PROJECTION" sheetId="8" state="visible" r:id="rId10"/>
    <sheet name="SUBSCRIPTIONS" sheetId="9" state="visible" r:id="rId11"/>
    <sheet name="FINANCE" sheetId="10" state="visible" r:id="rId12"/>
    <sheet name="CLUSTER PERFORMANCE" sheetId="11" state="visible" r:id="rId13"/>
    <sheet name="DATA_BANK" sheetId="12" state="visible" r:id="rId14"/>
    <sheet name="SALARY SCHEDULE" sheetId="13" state="visible" r:id="rId15"/>
    <sheet name="DATA_EXPENSES" sheetId="14" state="visible" r:id="rId16"/>
    <sheet name="PROFIT &amp; LOSS" sheetId="15" state="visible" r:id="rId17"/>
    <sheet name="BALANCE SHEET" sheetId="16" state="visible" r:id="rId18"/>
    <sheet name="INPUT DEBT" sheetId="17" state="visible" r:id="rId19"/>
    <sheet name="PRODUCTION" sheetId="18" state="visible" r:id="rId20"/>
    <sheet name="RECOVERY" sheetId="19" state="visible" r:id="rId21"/>
    <sheet name="MAIZE BUDGET" sheetId="20" state="visible" r:id="rId22"/>
    <sheet name="MONTHLY SALARY" sheetId="21" state="visible" r:id="rId23"/>
  </sheets>
  <definedNames>
    <definedName function="false" hidden="false" localSheetId="10" name="_xlnm.Print_Titles" vbProcedure="false">'CLUSTER PERFORMANCE'!$1:$8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<sst xmlns="http://schemas.openxmlformats.org/spreadsheetml/2006/main" count="10224" uniqueCount="3405">
  <si>
    <t xml:space="preserve">SGR EXECUTIVE DASHBOARD | CONTROL CENTRE</t>
  </si>
  <si>
    <t xml:space="preserve">STRATEGIC GRAIN RESERVE (SGR) 200 HA PLUS</t>
  </si>
  <si>
    <t xml:space="preserve">Executive Management Dashboard | Data snapshot through August 2026</t>
  </si>
  <si>
    <t xml:space="preserve">EXECUTIVE PERFORMANCE AT A GLANCE</t>
  </si>
  <si>
    <t xml:space="preserve">REGISTERED FARMERS</t>
  </si>
  <si>
    <t xml:space="preserve">PAID FARMERS</t>
  </si>
  <si>
    <t xml:space="preserve">PARTLY PAID FARMERS</t>
  </si>
  <si>
    <t xml:space="preserve">TOTAL SUBSCRIBED</t>
  </si>
  <si>
    <t xml:space="preserve">SUBSCRIPTION RATE</t>
  </si>
  <si>
    <t xml:space="preserve">SUBSCRIPTIONS RECEIVED</t>
  </si>
  <si>
    <t xml:space="preserve">TOTAL MEMBERS</t>
  </si>
  <si>
    <t xml:space="preserve">PAID</t>
  </si>
  <si>
    <t xml:space="preserve">PARTLY PAID</t>
  </si>
  <si>
    <t xml:space="preserve">PAID + PARTLY PAID</t>
  </si>
  <si>
    <t xml:space="preserve"> REGISTERED</t>
  </si>
  <si>
    <t xml:space="preserve">TO DATE</t>
  </si>
  <si>
    <t xml:space="preserve">MAIZE TARGET</t>
  </si>
  <si>
    <t xml:space="preserve">MAIZE COMMITTED HA</t>
  </si>
  <si>
    <t xml:space="preserve">MAIZE VARIANCE</t>
  </si>
  <si>
    <t xml:space="preserve">SORGHUM TARGET</t>
  </si>
  <si>
    <t xml:space="preserve">SORGHUM COMMITTED HA</t>
  </si>
  <si>
    <t xml:space="preserve">SORGHUM VARIANCE</t>
  </si>
  <si>
    <t xml:space="preserve"> TARGET ACHIEVEMENT </t>
  </si>
  <si>
    <t xml:space="preserve">TARGET GAP</t>
  </si>
  <si>
    <t xml:space="preserve">TARGET ACHIEVEMENT</t>
  </si>
  <si>
    <t xml:space="preserve"> </t>
  </si>
  <si>
    <t xml:space="preserve">YTD RECEIPTS STATUS</t>
  </si>
  <si>
    <t xml:space="preserve">TOTAL RECEIPTS</t>
  </si>
  <si>
    <t xml:space="preserve">SEPTEMBER TOTAL RECEIPTS</t>
  </si>
  <si>
    <t xml:space="preserve">BANK BALANCE</t>
  </si>
  <si>
    <t xml:space="preserve">SUBSCRIPTION OUTSTANDING</t>
  </si>
  <si>
    <t xml:space="preserve">LAST DATA REFRESH</t>
  </si>
  <si>
    <t xml:space="preserve">Management navigation</t>
  </si>
  <si>
    <t xml:space="preserve">SORGHUM 20,000 HA | PLANTING BUDGET CONTROL</t>
  </si>
  <si>
    <t xml:space="preserve">PAID MEMBERS</t>
  </si>
  <si>
    <t xml:space="preserve">PAID SORGHUM HA</t>
  </si>
  <si>
    <t xml:space="preserve">FUNDED HA</t>
  </si>
  <si>
    <t xml:space="preserve">20,000 HA TARGET</t>
  </si>
  <si>
    <t xml:space="preserve">HA REMAINING</t>
  </si>
  <si>
    <t xml:space="preserve">COST / HA (HIRING)</t>
  </si>
  <si>
    <t xml:space="preserve">TOTAL COST | 20,000 HA</t>
  </si>
  <si>
    <t xml:space="preserve">BUDGET | FUNDED HA</t>
  </si>
  <si>
    <t xml:space="preserve">BUDGET REMAINING</t>
  </si>
  <si>
    <t xml:space="preserve">TARGET FUNDED %</t>
  </si>
  <si>
    <t xml:space="preserve">BUDGET BREAKDOWN BY COST GROUP</t>
  </si>
  <si>
    <t xml:space="preserve">MANAGEMENT VIEW</t>
  </si>
  <si>
    <t xml:space="preserve">Cost Group</t>
  </si>
  <si>
    <t xml:space="preserve">Cost / Ha</t>
  </si>
  <si>
    <t xml:space="preserve">Cost @ 20,000 HA</t>
  </si>
  <si>
    <t xml:space="preserve">Cost @ Funded HA</t>
  </si>
  <si>
    <t xml:space="preserve">Share of Total</t>
  </si>
  <si>
    <t xml:space="preserve">Seed</t>
  </si>
  <si>
    <t xml:space="preserve">Budget cost / ha</t>
  </si>
  <si>
    <t xml:space="preserve">Fertilisers</t>
  </si>
  <si>
    <t xml:space="preserve">Base source cost / ha</t>
  </si>
  <si>
    <t xml:space="preserve">Tillage</t>
  </si>
  <si>
    <t xml:space="preserve">Paid members</t>
  </si>
  <si>
    <t xml:space="preserve">Chemicals - Pre-emergence Herbicides</t>
  </si>
  <si>
    <t xml:space="preserve">Paid sorghum hectares</t>
  </si>
  <si>
    <t xml:space="preserve">Chemicals - Post-emergence Herbicides</t>
  </si>
  <si>
    <t xml:space="preserve">Funded hectares (capped)</t>
  </si>
  <si>
    <t xml:space="preserve">Chemicals - Insecticides / Fungicides</t>
  </si>
  <si>
    <t xml:space="preserve">Funding gap to 20,000 HA</t>
  </si>
  <si>
    <t xml:space="preserve">Packaging</t>
  </si>
  <si>
    <t xml:space="preserve">Budget for funded hectares</t>
  </si>
  <si>
    <t xml:space="preserve">Combine</t>
  </si>
  <si>
    <t xml:space="preserve">Budget for full 20,000 HA</t>
  </si>
  <si>
    <t xml:space="preserve">Labour</t>
  </si>
  <si>
    <t xml:space="preserve">Budget sheet</t>
  </si>
  <si>
    <t xml:space="preserve">Transport</t>
  </si>
  <si>
    <t xml:space="preserve">TOTAL</t>
  </si>
  <si>
    <t xml:space="preserve">MAIZE 20,000 HA | PLANTING BUDGET CONTROL</t>
  </si>
  <si>
    <t xml:space="preserve">PAID MAIZE HA</t>
  </si>
  <si>
    <t xml:space="preserve">Tillage &amp; Farm Machinery</t>
  </si>
  <si>
    <t xml:space="preserve">Seed &amp; Fertilisers</t>
  </si>
  <si>
    <t xml:space="preserve">Chemicals</t>
  </si>
  <si>
    <t xml:space="preserve">Paid maize hectares</t>
  </si>
  <si>
    <t xml:space="preserve">Harvesting</t>
  </si>
  <si>
    <t xml:space="preserve">Miscellaneous</t>
  </si>
  <si>
    <t xml:space="preserve">SGR SORGHUM BUDGET 2026</t>
  </si>
  <si>
    <t xml:space="preserve">SORGHUM 20,000 HA | EXECUTIVE BUDGET MODEL</t>
  </si>
  <si>
    <t xml:space="preserve">SOURCE BUDGET INPUT (editable)</t>
  </si>
  <si>
    <t xml:space="preserve">Rate/Ha</t>
  </si>
  <si>
    <t xml:space="preserve">Unit</t>
  </si>
  <si>
    <t xml:space="preserve">Total Requirement</t>
  </si>
  <si>
    <t xml:space="preserve">Unit Cost</t>
  </si>
  <si>
    <t xml:space="preserve">Total Cost</t>
  </si>
  <si>
    <t xml:space="preserve">Total Cost Hiring</t>
  </si>
  <si>
    <t xml:space="preserve">SCXH102/NS-5511</t>
  </si>
  <si>
    <t xml:space="preserve">Kg</t>
  </si>
  <si>
    <t xml:space="preserve">Seed Saffener </t>
  </si>
  <si>
    <t xml:space="preserve">Benoxacor</t>
  </si>
  <si>
    <t xml:space="preserve">kg</t>
  </si>
  <si>
    <t xml:space="preserve">Basal fertiliser</t>
  </si>
  <si>
    <t xml:space="preserve">Top Dressing</t>
  </si>
  <si>
    <t xml:space="preserve">Discing</t>
  </si>
  <si>
    <t xml:space="preserve">Fuel</t>
  </si>
  <si>
    <t xml:space="preserve">l</t>
  </si>
  <si>
    <t xml:space="preserve">Planting</t>
  </si>
  <si>
    <t xml:space="preserve">Spraying and fertilisation(7 times)</t>
  </si>
  <si>
    <t xml:space="preserve">Pre-emergence Herbicides</t>
  </si>
  <si>
    <t xml:space="preserve">Weeds Controlled</t>
  </si>
  <si>
    <t xml:space="preserve">Glyphostae(granules)</t>
  </si>
  <si>
    <t xml:space="preserve">All</t>
  </si>
  <si>
    <t xml:space="preserve">S-Metolachlor</t>
  </si>
  <si>
    <t xml:space="preserve">Broadleaf/grasses</t>
  </si>
  <si>
    <t xml:space="preserve">L</t>
  </si>
  <si>
    <t xml:space="preserve">Atrazine</t>
  </si>
  <si>
    <t xml:space="preserve">Annual Broadleaf</t>
  </si>
  <si>
    <t xml:space="preserve">Post Emergence Herbicides</t>
  </si>
  <si>
    <t xml:space="preserve">Broadleaf weeds</t>
  </si>
  <si>
    <t xml:space="preserve">CP Wetter</t>
  </si>
  <si>
    <t xml:space="preserve">sticker / adjuvant</t>
  </si>
  <si>
    <t xml:space="preserve">Insecticides</t>
  </si>
  <si>
    <t xml:space="preserve">Elegent Star</t>
  </si>
  <si>
    <t xml:space="preserve">Fall- armyworm</t>
  </si>
  <si>
    <t xml:space="preserve">Dimethoate</t>
  </si>
  <si>
    <t xml:space="preserve">Aphids &amp; leaf eaters</t>
  </si>
  <si>
    <t xml:space="preserve">Tebiconazole</t>
  </si>
  <si>
    <t xml:space="preserve">Fungal Diseases</t>
  </si>
  <si>
    <t xml:space="preserve">4 tonnes per ha</t>
  </si>
  <si>
    <t xml:space="preserve">Combine </t>
  </si>
  <si>
    <t xml:space="preserve">dry rate</t>
  </si>
  <si>
    <t xml:space="preserve">Labour days</t>
  </si>
  <si>
    <t xml:space="preserve">20 labour days</t>
  </si>
  <si>
    <t xml:space="preserve">days</t>
  </si>
  <si>
    <t xml:space="preserve">nearest gmb 0.15c/km /tonne</t>
  </si>
  <si>
    <t xml:space="preserve">Total</t>
  </si>
  <si>
    <t xml:space="preserve">EXECUTIVE COST GROUP DETAIL | HIRING RATES</t>
  </si>
  <si>
    <t xml:space="preserve">Group</t>
  </si>
  <si>
    <t xml:space="preserve">Item</t>
  </si>
  <si>
    <t xml:space="preserve">Cost/Ha</t>
  </si>
  <si>
    <t xml:space="preserve">Cost @20,000 HA</t>
  </si>
  <si>
    <t xml:space="preserve">Source Row</t>
  </si>
  <si>
    <t xml:space="preserve">Seed Safener - Benoxacor</t>
  </si>
  <si>
    <t xml:space="preserve">Spraying and fertilisation (7 times)</t>
  </si>
  <si>
    <t xml:space="preserve">Glyphostae (granules)</t>
  </si>
  <si>
    <t xml:space="preserve">MODEL: Paid hectares come from DATA_PIPELINE SORGHUM (HA) for farmers with CALCULATED PAYMENT STATUS = Paid. Funded hectares are capped at the 20,000 HA target.</t>
  </si>
  <si>
    <t xml:space="preserve">MANAGEMENT REPORTS</t>
  </si>
  <si>
    <t xml:space="preserve">Print-ready A4 landscape report pages</t>
  </si>
  <si>
    <t xml:space="preserve">Printing setup</t>
  </si>
  <si>
    <t xml:space="preserve">All management dashboard sheets are configured for A4 landscape printing. Use File → Print → Print Active Sheets after selecting the desired dashboard/report.</t>
  </si>
  <si>
    <t xml:space="preserve">DATA PIPELINE</t>
  </si>
  <si>
    <t xml:space="preserve">Imported source snapshot — update this table when source workbooks change.</t>
  </si>
  <si>
    <t xml:space="preserve">SEQ</t>
  </si>
  <si>
    <t xml:space="preserve">FARMER NAME</t>
  </si>
  <si>
    <t xml:space="preserve">FARM NAME</t>
  </si>
  <si>
    <t xml:space="preserve">CLUSTER</t>
  </si>
  <si>
    <t xml:space="preserve">ID NUMBER</t>
  </si>
  <si>
    <t xml:space="preserve">CONTACT</t>
  </si>
  <si>
    <t xml:space="preserve">DISTRCT</t>
  </si>
  <si>
    <t xml:space="preserve">PROVINCE</t>
  </si>
  <si>
    <t xml:space="preserve">WARD</t>
  </si>
  <si>
    <t xml:space="preserve">STATUS</t>
  </si>
  <si>
    <t xml:space="preserve">SUB PAID</t>
  </si>
  <si>
    <t xml:space="preserve">SUB BAL</t>
  </si>
  <si>
    <t xml:space="preserve">MAIZE (HA)-2026/27</t>
  </si>
  <si>
    <t xml:space="preserve">SORGHUM (HA)-2026/27</t>
  </si>
  <si>
    <t xml:space="preserve">TOTAL DEBT</t>
  </si>
  <si>
    <t xml:space="preserve">SORGHUM SOLD</t>
  </si>
  <si>
    <t xml:space="preserve">SORGHUM VALUE</t>
  </si>
  <si>
    <t xml:space="preserve">BALANCE</t>
  </si>
  <si>
    <t xml:space="preserve">REPAYMENT (%)</t>
  </si>
  <si>
    <t xml:space="preserve">TOTAL CONTRACTED HA</t>
  </si>
  <si>
    <t xml:space="preserve">SUBSCRIPTION CATEGORY</t>
  </si>
  <si>
    <t xml:space="preserve">EXPECTED SUBSCRIPTION</t>
  </si>
  <si>
    <t xml:space="preserve">PAID AMOUNT</t>
  </si>
  <si>
    <t xml:space="preserve">OUTSTANDING</t>
  </si>
  <si>
    <t xml:space="preserve">CALCULATED PAYMENT STATUS</t>
  </si>
  <si>
    <t xml:space="preserve"> BEHANE FLORENCE </t>
  </si>
  <si>
    <t xml:space="preserve">NK</t>
  </si>
  <si>
    <t xml:space="preserve">DANMORE MUDAVANHU</t>
  </si>
  <si>
    <t xml:space="preserve"> 63-676409-M-39 </t>
  </si>
  <si>
    <t xml:space="preserve"> CHEGUTU </t>
  </si>
  <si>
    <t xml:space="preserve">MASHWEST</t>
  </si>
  <si>
    <t xml:space="preserve">EXISTING</t>
  </si>
  <si>
    <t xml:space="preserve"> -   </t>
  </si>
  <si>
    <t xml:space="preserve">Category A</t>
  </si>
  <si>
    <t xml:space="preserve"> ZINYOWERA  DONALD </t>
  </si>
  <si>
    <t xml:space="preserve"> UNIT 40 COBEN ESTATES </t>
  </si>
  <si>
    <t xml:space="preserve"> 63-259741-M-24 </t>
  </si>
  <si>
    <t xml:space="preserve"> MUNEMO MOSES </t>
  </si>
  <si>
    <t xml:space="preserve"> AVOG 8 A COBURN ESTSTES </t>
  </si>
  <si>
    <t xml:space="preserve"> 63-431627-V-25 </t>
  </si>
  <si>
    <t xml:space="preserve"> GORORO HARROED </t>
  </si>
  <si>
    <t xml:space="preserve"> COBEAN STATES </t>
  </si>
  <si>
    <t xml:space="preserve"> 63-202346-B-25 </t>
  </si>
  <si>
    <t xml:space="preserve"> MATHUTHU  FUNNY </t>
  </si>
  <si>
    <t xml:space="preserve"> COBEAN ESTATE </t>
  </si>
  <si>
    <t xml:space="preserve"> 29-075854-N-21 </t>
  </si>
  <si>
    <t xml:space="preserve"> MKWENA CAUL </t>
  </si>
  <si>
    <t xml:space="preserve"> 43 COBEAN ESTATE </t>
  </si>
  <si>
    <t xml:space="preserve"> 70-2000429-T-04 </t>
  </si>
  <si>
    <t xml:space="preserve">MASHEAST</t>
  </si>
  <si>
    <t xml:space="preserve"> JANDELES VALERIE </t>
  </si>
  <si>
    <t xml:space="preserve"> CHIKAGO FARM </t>
  </si>
  <si>
    <t xml:space="preserve"> 63-708750-Q-00 </t>
  </si>
  <si>
    <t xml:space="preserve"> MOYO CHARLES </t>
  </si>
  <si>
    <t xml:space="preserve"> 25 COBEAN ESTATE </t>
  </si>
  <si>
    <t xml:space="preserve"> 29-062067-C-21 </t>
  </si>
  <si>
    <t xml:space="preserve"> CHIKOMWE SHINE  </t>
  </si>
  <si>
    <t xml:space="preserve"> FAUN FARM PLOT 1 </t>
  </si>
  <si>
    <t xml:space="preserve"> 38-047571-E-38 </t>
  </si>
  <si>
    <t xml:space="preserve"> MUDAVANHU D </t>
  </si>
  <si>
    <t xml:space="preserve"> MUDAVANHU FARM CHEGUTU </t>
  </si>
  <si>
    <t xml:space="preserve"> 27-165809-C-03 </t>
  </si>
  <si>
    <t xml:space="preserve"> GORA DOCAS </t>
  </si>
  <si>
    <t xml:space="preserve"> PLOT 4 JAMAICA FARM </t>
  </si>
  <si>
    <t xml:space="preserve"> 32-188882-P-26 </t>
  </si>
  <si>
    <t xml:space="preserve"> MAVUNGA COMBOSI S </t>
  </si>
  <si>
    <t xml:space="preserve"> HIPPOVALE FARM PLOT 5 </t>
  </si>
  <si>
    <t xml:space="preserve"> 08-285801-E-32 </t>
  </si>
  <si>
    <t xml:space="preserve"> MWAMLOWE OLIVIA </t>
  </si>
  <si>
    <t xml:space="preserve"> 2 AQUARUS FARM GADZEMA </t>
  </si>
  <si>
    <t xml:space="preserve"> 24066249-Q-85 </t>
  </si>
  <si>
    <t xml:space="preserve"> KADZOMBE TRUST </t>
  </si>
  <si>
    <t xml:space="preserve"> THE GROOVE FARM 1 </t>
  </si>
  <si>
    <t xml:space="preserve"> 32-123646-F-71 </t>
  </si>
  <si>
    <t xml:space="preserve"> MUBWANDARIKWA K </t>
  </si>
  <si>
    <t xml:space="preserve"> COBUN ESTATE </t>
  </si>
  <si>
    <t xml:space="preserve"> 18-064080-T-27 </t>
  </si>
  <si>
    <t xml:space="preserve"> CHIWERA BLESSING </t>
  </si>
  <si>
    <t xml:space="preserve"> ITAFA FARM , CTC </t>
  </si>
  <si>
    <t xml:space="preserve"> 18-088449-G-18 </t>
  </si>
  <si>
    <t xml:space="preserve"> KADOMA </t>
  </si>
  <si>
    <t xml:space="preserve"> MACHIYA TAKUNDA </t>
  </si>
  <si>
    <t xml:space="preserve"> PLOT 14 RAILWAY FARM </t>
  </si>
  <si>
    <t xml:space="preserve"> 24-181927-C22 </t>
  </si>
  <si>
    <t xml:space="preserve"> JAMELA BEATRICE </t>
  </si>
  <si>
    <t xml:space="preserve"> COMBE FARM KADOMA </t>
  </si>
  <si>
    <t xml:space="preserve"> 24-097588-E-24 </t>
  </si>
  <si>
    <t xml:space="preserve"> KADOMA  PRISSONS </t>
  </si>
  <si>
    <t xml:space="preserve"> KADOMA PRISON FARM </t>
  </si>
  <si>
    <t xml:space="preserve"> 32-065804-J-26 </t>
  </si>
  <si>
    <t xml:space="preserve"> MARECHA MICHIEL </t>
  </si>
  <si>
    <t xml:space="preserve"> 22-026458-Z-04 </t>
  </si>
  <si>
    <t xml:space="preserve"> CHIMBETU COLLEN </t>
  </si>
  <si>
    <t xml:space="preserve"> 63-1138140-R-63 </t>
  </si>
  <si>
    <t xml:space="preserve"> MASHOKO TINASHE </t>
  </si>
  <si>
    <t xml:space="preserve"> PLOT 15 TORDAT FARM CHEGUTU </t>
  </si>
  <si>
    <t xml:space="preserve"> 32-191454-K-32 </t>
  </si>
  <si>
    <t xml:space="preserve"> IMPALAVALE FARM CHATIKOBO </t>
  </si>
  <si>
    <t xml:space="preserve"> IMPALAVALE FARM </t>
  </si>
  <si>
    <t xml:space="preserve"> 63-900087-Q-26 </t>
  </si>
  <si>
    <t xml:space="preserve"> MHONDORO NGEZI </t>
  </si>
  <si>
    <t xml:space="preserve"> MAMINA IRRIGATION SCHEME </t>
  </si>
  <si>
    <t xml:space="preserve"> 63-446623-V-24 </t>
  </si>
  <si>
    <t xml:space="preserve">Category B</t>
  </si>
  <si>
    <t xml:space="preserve"> GAKA RODRICK </t>
  </si>
  <si>
    <t xml:space="preserve"> 46 COBERN ESTATES CHEGUTU </t>
  </si>
  <si>
    <t xml:space="preserve"> 29-178061-H-12 </t>
  </si>
  <si>
    <t xml:space="preserve"> ZUNGUNDE BETTY </t>
  </si>
  <si>
    <t xml:space="preserve"> KENT ESTATE </t>
  </si>
  <si>
    <t xml:space="preserve">BETTY ZUNGUNDE</t>
  </si>
  <si>
    <t xml:space="preserve"> 32-122405-G-38 </t>
  </si>
  <si>
    <t xml:space="preserve"> MARUFU DEPHINE </t>
  </si>
  <si>
    <t xml:space="preserve"> KILWORTH FARM </t>
  </si>
  <si>
    <t xml:space="preserve"> 63-1541739-L-05 </t>
  </si>
  <si>
    <t xml:space="preserve"> MUTSVANGWA MONICA </t>
  </si>
  <si>
    <t xml:space="preserve"> 63-438218-B-70* </t>
  </si>
  <si>
    <t xml:space="preserve"> NYENYAI ANGELINE </t>
  </si>
  <si>
    <t xml:space="preserve"> 70-459721-B-70* </t>
  </si>
  <si>
    <t xml:space="preserve"> MONCHRIS FARM </t>
  </si>
  <si>
    <t xml:space="preserve"> 63-905294-A-32 </t>
  </si>
  <si>
    <t xml:space="preserve"> MUTIWASEKWA ITAI </t>
  </si>
  <si>
    <t xml:space="preserve"> PLOT 3 HUNYANI ETSTATE NORTON </t>
  </si>
  <si>
    <t xml:space="preserve"> 32088464-P-44 </t>
  </si>
  <si>
    <t xml:space="preserve"> MUJURU D </t>
  </si>
  <si>
    <t xml:space="preserve"> SIVUNDAZI FAM </t>
  </si>
  <si>
    <t xml:space="preserve"> 63-948959-M-80 </t>
  </si>
  <si>
    <t xml:space="preserve"> MANYAWU E.T </t>
  </si>
  <si>
    <t xml:space="preserve"> DAIZY FARM </t>
  </si>
  <si>
    <t xml:space="preserve"> 63-817650-K-50 </t>
  </si>
  <si>
    <t xml:space="preserve"> MUSWEHAURARI CHIPO </t>
  </si>
  <si>
    <t xml:space="preserve"> BURNBANK FARM </t>
  </si>
  <si>
    <t xml:space="preserve"> 42-144968-X-42 </t>
  </si>
  <si>
    <t xml:space="preserve"> TAKAVADA KELVIN </t>
  </si>
  <si>
    <t xml:space="preserve"> 86-053962-P-22 </t>
  </si>
  <si>
    <t xml:space="preserve"> MARTINDALE FARM LCBL </t>
  </si>
  <si>
    <t xml:space="preserve"> MARTINDALE FARM </t>
  </si>
  <si>
    <t xml:space="preserve"> 63-709780-K-70 </t>
  </si>
  <si>
    <t xml:space="preserve"> CHAERUKA ANOLD </t>
  </si>
  <si>
    <t xml:space="preserve"> PUMULA FARM MAGUNJE </t>
  </si>
  <si>
    <t xml:space="preserve">TAKUNDA NHEMA</t>
  </si>
  <si>
    <t xml:space="preserve"> 75-157910-E-75 </t>
  </si>
  <si>
    <t xml:space="preserve"> HURUNGWE </t>
  </si>
  <si>
    <t xml:space="preserve"> KAROI PRISONS </t>
  </si>
  <si>
    <t xml:space="preserve"> ZPCS FARM </t>
  </si>
  <si>
    <t xml:space="preserve"> 71-051668-Y-71 </t>
  </si>
  <si>
    <t xml:space="preserve"> CHIREMBA S TAFADZWA </t>
  </si>
  <si>
    <t xml:space="preserve"> SENCEGAL , TENGWE </t>
  </si>
  <si>
    <t xml:space="preserve"> 63-1563144-C-07 </t>
  </si>
  <si>
    <t xml:space="preserve"> BURANDA MOSES </t>
  </si>
  <si>
    <t xml:space="preserve"> COMSTON PLOT 5 KAROI </t>
  </si>
  <si>
    <t xml:space="preserve"> 18045704B18 </t>
  </si>
  <si>
    <t xml:space="preserve"> MWANDITANI PATRICIA </t>
  </si>
  <si>
    <t xml:space="preserve"> Cornstone Farm Subdivision 5 </t>
  </si>
  <si>
    <t xml:space="preserve"> 38140258B66 </t>
  </si>
  <si>
    <t xml:space="preserve"> IMBAYAGO NYARADZO </t>
  </si>
  <si>
    <t xml:space="preserve"> Naba Estate(A2) Plot 2 </t>
  </si>
  <si>
    <t xml:space="preserve"> 24043532R12 </t>
  </si>
  <si>
    <t xml:space="preserve"> MILONDE ADAM </t>
  </si>
  <si>
    <t xml:space="preserve"> Cornstone Farm Plot 7 Karoi </t>
  </si>
  <si>
    <t xml:space="preserve"> 38-095779-E-38 </t>
  </si>
  <si>
    <t xml:space="preserve"> MASHORE LENON </t>
  </si>
  <si>
    <t xml:space="preserve"> MYLERN FARM , Karoi </t>
  </si>
  <si>
    <t xml:space="preserve"> 38-140239-F-70 </t>
  </si>
  <si>
    <t xml:space="preserve"> MUZEZEWA SHEPARD </t>
  </si>
  <si>
    <t xml:space="preserve"> 38-059005-H-38 </t>
  </si>
  <si>
    <t xml:space="preserve"> MARIMO DENNY TAPIWA </t>
  </si>
  <si>
    <t xml:space="preserve"> 38-175475-F-38 </t>
  </si>
  <si>
    <t xml:space="preserve"> MASENDA TAPIWA </t>
  </si>
  <si>
    <t xml:space="preserve"> MAKOROKOTO </t>
  </si>
  <si>
    <t xml:space="preserve"> 63-2080208-D-80 </t>
  </si>
  <si>
    <t xml:space="preserve"> NHEMA TAKUNDA </t>
  </si>
  <si>
    <t xml:space="preserve"> NYAMANDA FARM, KAROI </t>
  </si>
  <si>
    <t xml:space="preserve"> 29-198307-P-66 </t>
  </si>
  <si>
    <t xml:space="preserve"> MUDZVITI TECLA </t>
  </si>
  <si>
    <t xml:space="preserve"> RAUUNMADE </t>
  </si>
  <si>
    <t xml:space="preserve">BRIAN CHIDAVAENZI</t>
  </si>
  <si>
    <t xml:space="preserve"> 83-116229-B-83 </t>
  </si>
  <si>
    <t xml:space="preserve"> GOMBE TENDAI </t>
  </si>
  <si>
    <t xml:space="preserve"> PELELE FARM PLOT 11 </t>
  </si>
  <si>
    <t xml:space="preserve"> 38-218039-W-70 </t>
  </si>
  <si>
    <t xml:space="preserve"> MUJENGE TONGAI </t>
  </si>
  <si>
    <t xml:space="preserve"> CHOYAMBA </t>
  </si>
  <si>
    <t xml:space="preserve"> 71-072373-D-38 </t>
  </si>
  <si>
    <t xml:space="preserve"> GATSI MARIAN </t>
  </si>
  <si>
    <t xml:space="preserve"> MARNI MULICHI </t>
  </si>
  <si>
    <t xml:space="preserve"> 66-025163-F-12 </t>
  </si>
  <si>
    <t xml:space="preserve"> NJOVANA TANAKA WONDER </t>
  </si>
  <si>
    <t xml:space="preserve"> PLOT KIPPOCK FARM KAROI </t>
  </si>
  <si>
    <t xml:space="preserve"> 38-251446-H-66 </t>
  </si>
  <si>
    <t xml:space="preserve"> ISAH RABEEAH M </t>
  </si>
  <si>
    <t xml:space="preserve"> NEBO FARM  </t>
  </si>
  <si>
    <t xml:space="preserve"> 63-3216103-X-70 </t>
  </si>
  <si>
    <t xml:space="preserve"> MUSIIWA ALEXIS </t>
  </si>
  <si>
    <t xml:space="preserve"> PLOT 1 RIDGES EASTER PARADE </t>
  </si>
  <si>
    <t xml:space="preserve"> 02-2000881-A-05 </t>
  </si>
  <si>
    <t xml:space="preserve"> HURUNGWE FARMERS ASSOCIA </t>
  </si>
  <si>
    <t xml:space="preserve"> GOOD HOPE PLOT 27 </t>
  </si>
  <si>
    <t xml:space="preserve"> 38-115839-J-38 </t>
  </si>
  <si>
    <t xml:space="preserve"> MLISWA THEMBA </t>
  </si>
  <si>
    <t xml:space="preserve"> SPRING FARM </t>
  </si>
  <si>
    <t xml:space="preserve"> 63-821381-Q-66 </t>
  </si>
  <si>
    <t xml:space="preserve"> ZENDANEMAKO JOSLIN MAUYA </t>
  </si>
  <si>
    <t xml:space="preserve"> OMEGA FARM </t>
  </si>
  <si>
    <t xml:space="preserve"> 38-019983-S-38 </t>
  </si>
  <si>
    <t xml:space="preserve"> CHIDAVAENZI BRIAN </t>
  </si>
  <si>
    <t xml:space="preserve"> 63-1032402 J 38 </t>
  </si>
  <si>
    <t xml:space="preserve">NEW</t>
  </si>
  <si>
    <t xml:space="preserve"> CHIDAVAENZI TAPIWA </t>
  </si>
  <si>
    <t xml:space="preserve"> 59-144446 Q 38 </t>
  </si>
  <si>
    <t xml:space="preserve"> KUYERUKANA CHIPO </t>
  </si>
  <si>
    <t xml:space="preserve"> 24-152796 N 38 </t>
  </si>
  <si>
    <t xml:space="preserve"> CHAWATAMA  JONAH </t>
  </si>
  <si>
    <t xml:space="preserve"> 43-042960-A-43 </t>
  </si>
  <si>
    <t xml:space="preserve"> MESO COLLEN </t>
  </si>
  <si>
    <t xml:space="preserve">COMMENT TONDERAYI MUTARA</t>
  </si>
  <si>
    <t xml:space="preserve"> 26-17505252-S-26 </t>
  </si>
  <si>
    <t xml:space="preserve"> MGUGU VELAPI </t>
  </si>
  <si>
    <t xml:space="preserve"> 63-531987-G-38 </t>
  </si>
  <si>
    <t xml:space="preserve"> BIKA FARAYI WILFRED </t>
  </si>
  <si>
    <t xml:space="preserve"> RUDOLPHIA </t>
  </si>
  <si>
    <t xml:space="preserve">PHIBEON MUTIBURA</t>
  </si>
  <si>
    <t xml:space="preserve"> 63-701839-D-25 </t>
  </si>
  <si>
    <t xml:space="preserve"> GOROMONZI </t>
  </si>
  <si>
    <t xml:space="preserve">MASHCENTRAL</t>
  </si>
  <si>
    <t xml:space="preserve"> CHIKOMO UNICO </t>
  </si>
  <si>
    <t xml:space="preserve"> SPRINGS FARM </t>
  </si>
  <si>
    <t xml:space="preserve"> 63-1438243-Q-75 </t>
  </si>
  <si>
    <t xml:space="preserve"> KANETA NACY </t>
  </si>
  <si>
    <t xml:space="preserve"> DOUNE FARM, Marondera </t>
  </si>
  <si>
    <t xml:space="preserve"> 58-057835-R-44 </t>
  </si>
  <si>
    <t xml:space="preserve"> MARONDERA </t>
  </si>
  <si>
    <t xml:space="preserve"> MANGASHENA DOREEN </t>
  </si>
  <si>
    <t xml:space="preserve"> CHIDANGU FARM , IGAVA </t>
  </si>
  <si>
    <t xml:space="preserve"> 58-037974-D-61 </t>
  </si>
  <si>
    <t xml:space="preserve"> CHIHOTA SPENCER </t>
  </si>
  <si>
    <t xml:space="preserve"> GOREJENA PLOT 1 </t>
  </si>
  <si>
    <t xml:space="preserve"> 63-976550-C-43 </t>
  </si>
  <si>
    <t xml:space="preserve"> MUTIBURA PHIBEON </t>
  </si>
  <si>
    <t xml:space="preserve"> BERWICK FARM </t>
  </si>
  <si>
    <t xml:space="preserve"> 63-893739-Q-07 </t>
  </si>
  <si>
    <t xml:space="preserve"> MAZOWE </t>
  </si>
  <si>
    <t xml:space="preserve"> MADZURA WENDY </t>
  </si>
  <si>
    <t xml:space="preserve"> WENJI FARM , CONCESSION </t>
  </si>
  <si>
    <t xml:space="preserve"> 29-2008578-C-70 </t>
  </si>
  <si>
    <t xml:space="preserve"> GWATIMBA MN </t>
  </si>
  <si>
    <t xml:space="preserve"> TIZORO FARM </t>
  </si>
  <si>
    <t xml:space="preserve"> 63-2030938-Z-26 </t>
  </si>
  <si>
    <t xml:space="preserve"> MUZARABANI </t>
  </si>
  <si>
    <t xml:space="preserve"> KAPENDE TAFADZWA </t>
  </si>
  <si>
    <t xml:space="preserve"> 48-083283-M-48 </t>
  </si>
  <si>
    <t xml:space="preserve"> BEATRICE </t>
  </si>
  <si>
    <t xml:space="preserve"> JAJI TAKUNDIWA J </t>
  </si>
  <si>
    <t xml:space="preserve"> ATHLONE FARM  BINDURA </t>
  </si>
  <si>
    <t xml:space="preserve"> 15-070888-Z-45 </t>
  </si>
  <si>
    <t xml:space="preserve"> BINDURA </t>
  </si>
  <si>
    <t xml:space="preserve"> DUBE SHINGIRAI </t>
  </si>
  <si>
    <t xml:space="preserve"> 47-183323 V 13 </t>
  </si>
  <si>
    <t xml:space="preserve"> MACHEKE </t>
  </si>
  <si>
    <t xml:space="preserve"> SEWERA PHILIP </t>
  </si>
  <si>
    <t xml:space="preserve"> CRIEY LEA FARM </t>
  </si>
  <si>
    <t xml:space="preserve"> 68-010914-J-42 </t>
  </si>
  <si>
    <t xml:space="preserve"> ZVINAVASHE  TARIRO </t>
  </si>
  <si>
    <t xml:space="preserve"> R/E OF VICTORY FARM  </t>
  </si>
  <si>
    <t xml:space="preserve"> 63-2375901-J-27 </t>
  </si>
  <si>
    <t xml:space="preserve"> SEKE </t>
  </si>
  <si>
    <t xml:space="preserve"> MHARAPARA ISIAH </t>
  </si>
  <si>
    <t xml:space="preserve"> BENWELL FARM PLOT 4 </t>
  </si>
  <si>
    <t xml:space="preserve"> 14-013178-P-80 </t>
  </si>
  <si>
    <t xml:space="preserve"> MAVETERA TATENDA </t>
  </si>
  <si>
    <t xml:space="preserve"> 27-2000247R27 </t>
  </si>
  <si>
    <t xml:space="preserve"> ZIYAMBI ZIYAMBI </t>
  </si>
  <si>
    <t xml:space="preserve"> LONGWOOD FARM , DARWENDALE </t>
  </si>
  <si>
    <t xml:space="preserve"> 32-084159-K-70 </t>
  </si>
  <si>
    <t xml:space="preserve"> ZVIMBA </t>
  </si>
  <si>
    <t xml:space="preserve"> JINYA JEFFREY </t>
  </si>
  <si>
    <t xml:space="preserve"> PLOT 10 BALLANEETTY FARM NYABIRA </t>
  </si>
  <si>
    <t xml:space="preserve">WALTER MASHINGAIDZE</t>
  </si>
  <si>
    <t xml:space="preserve"> 70-135325-Y-71 </t>
  </si>
  <si>
    <t xml:space="preserve"> NYANDIMA TAMUKA </t>
  </si>
  <si>
    <t xml:space="preserve"> 34-111439A34 </t>
  </si>
  <si>
    <t xml:space="preserve"> KASUSU GODKNOWS </t>
  </si>
  <si>
    <t xml:space="preserve"> 86-043996-G-45 </t>
  </si>
  <si>
    <t xml:space="preserve"> NYAMUFANA GIFT </t>
  </si>
  <si>
    <t xml:space="preserve"> 86-071829-K-71 </t>
  </si>
  <si>
    <t xml:space="preserve"> MANKANYA RONALD </t>
  </si>
  <si>
    <t xml:space="preserve"> HUMMON HALL </t>
  </si>
  <si>
    <t xml:space="preserve"> 67-110504-Z-67 </t>
  </si>
  <si>
    <t xml:space="preserve"> MAPFOCHE TICHAONA </t>
  </si>
  <si>
    <t xml:space="preserve"> COWLEY FARM </t>
  </si>
  <si>
    <t xml:space="preserve"> 63-1164413-Z-18 </t>
  </si>
  <si>
    <t xml:space="preserve"> MASHINGAIDZE WALTER </t>
  </si>
  <si>
    <t xml:space="preserve"> NEWLANDS FARM </t>
  </si>
  <si>
    <t xml:space="preserve"> 63-1144169-V-11 </t>
  </si>
  <si>
    <t xml:space="preserve"> MAGAYA BATSIRAI </t>
  </si>
  <si>
    <t xml:space="preserve"> NIDDERDALE  PLOT 1 </t>
  </si>
  <si>
    <t xml:space="preserve"> 86-047930-H-86 </t>
  </si>
  <si>
    <t xml:space="preserve"> TSOKA AQUILIA </t>
  </si>
  <si>
    <t xml:space="preserve"> PLOT 14,15,16 MVOU </t>
  </si>
  <si>
    <t xml:space="preserve"> 63-212834-B-42 </t>
  </si>
  <si>
    <t xml:space="preserve"> MPESWE DARLINGTON </t>
  </si>
  <si>
    <t xml:space="preserve"> CHIKOMOCHEMUNGA PLOT 2 </t>
  </si>
  <si>
    <t xml:space="preserve"> 70-094996-M-70 </t>
  </si>
  <si>
    <t xml:space="preserve"> MUPAKO KNIGHT </t>
  </si>
  <si>
    <t xml:space="preserve"> INYATI FARM, Banket </t>
  </si>
  <si>
    <t xml:space="preserve"> 15-103673-K-15 </t>
  </si>
  <si>
    <t xml:space="preserve"> MUTANGARA LENIN </t>
  </si>
  <si>
    <t xml:space="preserve"> HIGHDON FARM </t>
  </si>
  <si>
    <t xml:space="preserve"> 70-220175-B-07 </t>
  </si>
  <si>
    <t xml:space="preserve"> TAGWASHA CHAKA LENGTON </t>
  </si>
  <si>
    <t xml:space="preserve"> ILSHAM FARM, TRELAWNEY </t>
  </si>
  <si>
    <t xml:space="preserve"> 63-2039405-C-34 </t>
  </si>
  <si>
    <t xml:space="preserve"> MHUNGU EDWIN </t>
  </si>
  <si>
    <t xml:space="preserve"> CHITOMBORWIZI 60 FARM </t>
  </si>
  <si>
    <t xml:space="preserve"> 85-038428-Y-85 </t>
  </si>
  <si>
    <t xml:space="preserve"> MADZINGO CLEMENCE </t>
  </si>
  <si>
    <t xml:space="preserve"> CHINOMWE ESTATE RAFINGORA </t>
  </si>
  <si>
    <t xml:space="preserve"> 22-062363-D-83 </t>
  </si>
  <si>
    <t xml:space="preserve"> GARAKARA FREDDY </t>
  </si>
  <si>
    <t xml:space="preserve"> COMBE FARM , Banket </t>
  </si>
  <si>
    <t xml:space="preserve"> 63-767066-C-70 </t>
  </si>
  <si>
    <t xml:space="preserve"> GWERENGWE JECOBUS </t>
  </si>
  <si>
    <t xml:space="preserve"> ROYAL BUCKS FARM , Rafingora </t>
  </si>
  <si>
    <t xml:space="preserve"> 22-023677-D-22 </t>
  </si>
  <si>
    <t xml:space="preserve"> KANENGONI TAMBUDZAI </t>
  </si>
  <si>
    <t xml:space="preserve"> MUSINA FARM ,  </t>
  </si>
  <si>
    <t xml:space="preserve"> 14-096080-A-12 </t>
  </si>
  <si>
    <t xml:space="preserve"> MUPESWE KATHERINE </t>
  </si>
  <si>
    <t xml:space="preserve"> CHIKOMOCHEMUNGA PLOT 2 ,  </t>
  </si>
  <si>
    <t xml:space="preserve"> 63-1053245-P-26 </t>
  </si>
  <si>
    <t xml:space="preserve"> CHAPOLA STEWARD </t>
  </si>
  <si>
    <t xml:space="preserve"> PINDINPARK FARM , Banket </t>
  </si>
  <si>
    <t xml:space="preserve"> 70-094039-X-70 </t>
  </si>
  <si>
    <t xml:space="preserve"> MASHIRI GERALD SIMBARASHE </t>
  </si>
  <si>
    <t xml:space="preserve"> DUNHAILE FARM , Banket </t>
  </si>
  <si>
    <t xml:space="preserve"> 08-768712-H-70 </t>
  </si>
  <si>
    <t xml:space="preserve"> MUTONGI GRACIOUS  </t>
  </si>
  <si>
    <t xml:space="preserve"> PINDI PARK FARM , BANKET </t>
  </si>
  <si>
    <t xml:space="preserve"> 83-118681-R-83 </t>
  </si>
  <si>
    <t xml:space="preserve"> CHIPEMBE BRYNE F </t>
  </si>
  <si>
    <t xml:space="preserve"> DOONDO FARM, Banket </t>
  </si>
  <si>
    <t xml:space="preserve"> 24-063912-A-83 </t>
  </si>
  <si>
    <t xml:space="preserve"> NKULULEKO GEZA </t>
  </si>
  <si>
    <t xml:space="preserve"> SHORELIVER FARM P 9 </t>
  </si>
  <si>
    <t xml:space="preserve"> 63-93422-B-12 </t>
  </si>
  <si>
    <t xml:space="preserve"> MANDISHONA PRINCE </t>
  </si>
  <si>
    <t xml:space="preserve"> DONDO FARM , Banket </t>
  </si>
  <si>
    <t xml:space="preserve"> 38-2020247-Y-38 </t>
  </si>
  <si>
    <t xml:space="preserve"> NYAHOJA  TENDAI </t>
  </si>
  <si>
    <t xml:space="preserve"> ARYSHIRE FARM , MAZVIKADEI </t>
  </si>
  <si>
    <t xml:space="preserve"> 86-003277-X-71 </t>
  </si>
  <si>
    <t xml:space="preserve"> MPOFU COLLINS </t>
  </si>
  <si>
    <t xml:space="preserve"> MUTOMBOIS FARM, BANKET </t>
  </si>
  <si>
    <t xml:space="preserve"> 28-2009457-S-19 </t>
  </si>
  <si>
    <t xml:space="preserve"> MUNYEDE PARADZAI </t>
  </si>
  <si>
    <t xml:space="preserve"> SCAFEL FARM , CHINHOYI </t>
  </si>
  <si>
    <t xml:space="preserve"> 70-125696-J-70 </t>
  </si>
  <si>
    <t xml:space="preserve"> RUKWEZA CEPHAS </t>
  </si>
  <si>
    <t xml:space="preserve"> TRELAWNEY ESTATES </t>
  </si>
  <si>
    <t xml:space="preserve"> 04-069427-P-04 </t>
  </si>
  <si>
    <t xml:space="preserve"> CHAFANZA NIGEL </t>
  </si>
  <si>
    <t xml:space="preserve"> BESSEVILE FARM </t>
  </si>
  <si>
    <t xml:space="preserve"> 70-249333-V-42 </t>
  </si>
  <si>
    <t xml:space="preserve"> MUSENDO LORRENCE </t>
  </si>
  <si>
    <t xml:space="preserve"> AYSHER FARM </t>
  </si>
  <si>
    <t xml:space="preserve"> 27-085924-W-27 </t>
  </si>
  <si>
    <t xml:space="preserve"> KUHONDO MIKE </t>
  </si>
  <si>
    <t xml:space="preserve"> 55 MOUNT GOMERY </t>
  </si>
  <si>
    <t xml:space="preserve"> 70-128645-M-45 </t>
  </si>
  <si>
    <t xml:space="preserve"> MANHIVI ALFRED </t>
  </si>
  <si>
    <t xml:space="preserve"> WEIGHMOLT , MAZVIKADEI </t>
  </si>
  <si>
    <t xml:space="preserve"> 67-124444-B-12 </t>
  </si>
  <si>
    <t xml:space="preserve"> MUPANGA WILSON (Chairman) </t>
  </si>
  <si>
    <t xml:space="preserve"> JUNCTION FARM (Group) </t>
  </si>
  <si>
    <t xml:space="preserve"> 70-128469-W-70 </t>
  </si>
  <si>
    <t xml:space="preserve"> MUTANGADURA CHRIS </t>
  </si>
  <si>
    <t xml:space="preserve"> HOMEFILED FARM , DARWENDALE </t>
  </si>
  <si>
    <t xml:space="preserve"> 23-037202-L-27 </t>
  </si>
  <si>
    <t xml:space="preserve"> SIMANGO BILTON </t>
  </si>
  <si>
    <t xml:space="preserve"> PLOT KEMASHA ,  </t>
  </si>
  <si>
    <t xml:space="preserve"> 86-052694-L-13 </t>
  </si>
  <si>
    <t xml:space="preserve"> CHOMBO MARIAN </t>
  </si>
  <si>
    <t xml:space="preserve"> ALAN GRANGE FARM , RAFINGORA </t>
  </si>
  <si>
    <t xml:space="preserve"> 63-620371-F-70* </t>
  </si>
  <si>
    <t xml:space="preserve"> MUTIZWA SARAH </t>
  </si>
  <si>
    <t xml:space="preserve"> 38-421689-V-38* </t>
  </si>
  <si>
    <t xml:space="preserve"> CHIKARI TINOS </t>
  </si>
  <si>
    <t xml:space="preserve"> PLOT 40 TSANZWA </t>
  </si>
  <si>
    <t xml:space="preserve">MISHECK PARADZANWA</t>
  </si>
  <si>
    <t xml:space="preserve"> 70-220369-M-38 </t>
  </si>
  <si>
    <t xml:space="preserve"> MAKONDE </t>
  </si>
  <si>
    <t xml:space="preserve"> NYACHOWE LEOS </t>
  </si>
  <si>
    <t xml:space="preserve"> FENEMERE FARM PLOT1  </t>
  </si>
  <si>
    <t xml:space="preserve"> 70-127936-R-70 </t>
  </si>
  <si>
    <t xml:space="preserve"> ZVOMA TARISAI </t>
  </si>
  <si>
    <t xml:space="preserve"> 63-733900-C-15 </t>
  </si>
  <si>
    <t xml:space="preserve"> MAGAMBE PANGANAI </t>
  </si>
  <si>
    <t xml:space="preserve"> NOTHWOOD FARM </t>
  </si>
  <si>
    <t xml:space="preserve"> 29-052102-W-70 </t>
  </si>
  <si>
    <t xml:space="preserve"> KADZURA RUTH </t>
  </si>
  <si>
    <t xml:space="preserve"> 124 CHITOMBORWIZI </t>
  </si>
  <si>
    <t xml:space="preserve"> 70-219167-F-70 </t>
  </si>
  <si>
    <t xml:space="preserve"> MUTISI ELISHA </t>
  </si>
  <si>
    <t xml:space="preserve"> MASASA </t>
  </si>
  <si>
    <t xml:space="preserve"> 13-017843-D-13 </t>
  </si>
  <si>
    <t xml:space="preserve"> CHIPISA ZVIITO </t>
  </si>
  <si>
    <t xml:space="preserve"> NYAHWA FARM TRELAWNEY </t>
  </si>
  <si>
    <t xml:space="preserve"> 71-064619-A-71 </t>
  </si>
  <si>
    <t xml:space="preserve"> KAROVANGORO TAKUDZWA </t>
  </si>
  <si>
    <t xml:space="preserve"> TINTO FARM </t>
  </si>
  <si>
    <t xml:space="preserve"> 63-2805515-F-25 </t>
  </si>
  <si>
    <t xml:space="preserve"> CHOMBO ENOCK </t>
  </si>
  <si>
    <t xml:space="preserve"> DIVONIA GRANGEMORE FARM </t>
  </si>
  <si>
    <t xml:space="preserve"> 63-2084938-V-70 </t>
  </si>
  <si>
    <t xml:space="preserve"> CHIVENDE CHAMUNORWA </t>
  </si>
  <si>
    <t xml:space="preserve"> MWALAOYERA FARM </t>
  </si>
  <si>
    <t xml:space="preserve"> 70-207153-X-18 </t>
  </si>
  <si>
    <t xml:space="preserve"> MUTASA FEMBERAI </t>
  </si>
  <si>
    <t xml:space="preserve"> ROYDEN FARM </t>
  </si>
  <si>
    <t xml:space="preserve"> 63-880839-T-75 </t>
  </si>
  <si>
    <t xml:space="preserve"> MACHAMIRE CALVIN J </t>
  </si>
  <si>
    <t xml:space="preserve"> MAQUADZI FARM </t>
  </si>
  <si>
    <t xml:space="preserve"> 70-107344-J-42 </t>
  </si>
  <si>
    <t xml:space="preserve"> BVUTE NOWA </t>
  </si>
  <si>
    <t xml:space="preserve"> NYAHWA FARM </t>
  </si>
  <si>
    <t xml:space="preserve"> 63-1325704-Q-04 </t>
  </si>
  <si>
    <t xml:space="preserve"> ZULU SIMBARASHE M </t>
  </si>
  <si>
    <t xml:space="preserve"> KENZMORE FARM </t>
  </si>
  <si>
    <t xml:space="preserve"> 70-114004-Y-70 </t>
  </si>
  <si>
    <t xml:space="preserve"> MAPANI MUTAMBA </t>
  </si>
  <si>
    <t xml:space="preserve"> NEWLANDS FARM PLOT 8 </t>
  </si>
  <si>
    <t xml:space="preserve"> 24-084541-Y-24 </t>
  </si>
  <si>
    <t xml:space="preserve"> CHIMANYIWA ZVENYIKA </t>
  </si>
  <si>
    <t xml:space="preserve"> KUMIRI FARM </t>
  </si>
  <si>
    <t xml:space="preserve"> 70-222892-E-67 </t>
  </si>
  <si>
    <t xml:space="preserve"> ZULU DAMARESI </t>
  </si>
  <si>
    <t xml:space="preserve"> MPANGURE FARM </t>
  </si>
  <si>
    <t xml:space="preserve"> 05-076323-R-05 </t>
  </si>
  <si>
    <t xml:space="preserve"> MUWISHI KENNETH </t>
  </si>
  <si>
    <t xml:space="preserve"> 47-075422-L-47 </t>
  </si>
  <si>
    <t xml:space="preserve"> MABURUTSE THERESA </t>
  </si>
  <si>
    <t xml:space="preserve"> CHIKOMOCHOMUNGA </t>
  </si>
  <si>
    <t xml:space="preserve"> 77-033028-B-77 </t>
  </si>
  <si>
    <t xml:space="preserve"> CHIURA PERFECT </t>
  </si>
  <si>
    <t xml:space="preserve"> COATS WORLD ESTATES </t>
  </si>
  <si>
    <t xml:space="preserve"> 80-069883-F-80 </t>
  </si>
  <si>
    <t xml:space="preserve"> CHINDEDZA RONALD </t>
  </si>
  <si>
    <t xml:space="preserve"> PINDI PARK FARM </t>
  </si>
  <si>
    <t xml:space="preserve"> 63-1114504-A-27 </t>
  </si>
  <si>
    <t xml:space="preserve"> MAKASI DAVID </t>
  </si>
  <si>
    <t xml:space="preserve"> PORTLET ESTATE , CHITOMBORWIZI </t>
  </si>
  <si>
    <t xml:space="preserve"> 08-187253-M-22 </t>
  </si>
  <si>
    <t xml:space="preserve"> MADZINGO E.D </t>
  </si>
  <si>
    <t xml:space="preserve"> RUFARO FARM PLOT 4 </t>
  </si>
  <si>
    <t xml:space="preserve"> 63-132172-N-83 </t>
  </si>
  <si>
    <t xml:space="preserve"> MUBAKO PEPUKAI </t>
  </si>
  <si>
    <t xml:space="preserve"> PLOT 3 BETWEEN RIVERS BANKET </t>
  </si>
  <si>
    <t xml:space="preserve"> 63-2118171-S-83 </t>
  </si>
  <si>
    <t xml:space="preserve"> DUTIRO KELVIN </t>
  </si>
  <si>
    <t xml:space="preserve"> PLOT 5 CHEAPSTOW FARM </t>
  </si>
  <si>
    <t xml:space="preserve"> 86-058576-E-86 </t>
  </si>
  <si>
    <t xml:space="preserve"> CHININGA VICTOR </t>
  </si>
  <si>
    <t xml:space="preserve"> NKODZO FARM </t>
  </si>
  <si>
    <t xml:space="preserve"> 63-673326-L-71 </t>
  </si>
  <si>
    <t xml:space="preserve"> MATAMBO GERALD </t>
  </si>
  <si>
    <t xml:space="preserve"> ST NINIAS FARM </t>
  </si>
  <si>
    <t xml:space="preserve"> 38-085766-W-38 </t>
  </si>
  <si>
    <t xml:space="preserve"> KWANAYI G </t>
  </si>
  <si>
    <t xml:space="preserve"> PLOT 40 BICKLIEGHVALE FARM </t>
  </si>
  <si>
    <t xml:space="preserve"> 86-022222-P-86 </t>
  </si>
  <si>
    <t xml:space="preserve"> JONGA R </t>
  </si>
  <si>
    <t xml:space="preserve"> 17 UMZURURU FARM </t>
  </si>
  <si>
    <t xml:space="preserve"> 63-686722-X-15 </t>
  </si>
  <si>
    <t xml:space="preserve"> PARA REGIMENT (ARMY) </t>
  </si>
  <si>
    <t xml:space="preserve"> PARA FARM </t>
  </si>
  <si>
    <t xml:space="preserve"> 45-136776-M-45 </t>
  </si>
  <si>
    <t xml:space="preserve"> MWAMI SIAMSIPA </t>
  </si>
  <si>
    <t xml:space="preserve"> MOTTON FARM </t>
  </si>
  <si>
    <t xml:space="preserve"> 32-113204-F-67 </t>
  </si>
  <si>
    <t xml:space="preserve"> SHUMBA TAPERA </t>
  </si>
  <si>
    <t xml:space="preserve"> CHIKOMOCHEMUNGA PLOT 5 </t>
  </si>
  <si>
    <t xml:space="preserve"> 11-031055-B-03 </t>
  </si>
  <si>
    <t xml:space="preserve"> MWANZA TAMBUDZAI </t>
  </si>
  <si>
    <t xml:space="preserve"> CHIKOMOCHEMUNGA PLOT 13 </t>
  </si>
  <si>
    <t xml:space="preserve"> 86-103270-S-68 </t>
  </si>
  <si>
    <t xml:space="preserve"> RUKODZI SUSAN </t>
  </si>
  <si>
    <t xml:space="preserve"> NYARUGWE FARM PLOT 2 </t>
  </si>
  <si>
    <t xml:space="preserve"> 63-549489-F-80 </t>
  </si>
  <si>
    <t xml:space="preserve"> MANJENA LORRAINE </t>
  </si>
  <si>
    <t xml:space="preserve"> JUNCTION FARM PLIOT 12 </t>
  </si>
  <si>
    <t xml:space="preserve"> 32-119330-P-86 </t>
  </si>
  <si>
    <t xml:space="preserve"> KUNZE R.G </t>
  </si>
  <si>
    <t xml:space="preserve"> MVOU FARM </t>
  </si>
  <si>
    <t xml:space="preserve"> 43-013185-L-32 </t>
  </si>
  <si>
    <t xml:space="preserve"> CHIKAKA VERONICA </t>
  </si>
  <si>
    <t xml:space="preserve"> MAKWIDIBA FARM PLOT 28 </t>
  </si>
  <si>
    <t xml:space="preserve"> 70-034606W70 </t>
  </si>
  <si>
    <t xml:space="preserve"> MHLANGA AMIGO </t>
  </si>
  <si>
    <t xml:space="preserve"> MINIHANA FARM PLOT 1 </t>
  </si>
  <si>
    <t xml:space="preserve"> 67-017826-M-67 </t>
  </si>
  <si>
    <t xml:space="preserve"> SAJENI MWAYI D </t>
  </si>
  <si>
    <t xml:space="preserve"> CHILINDE FARM RAFINGORA </t>
  </si>
  <si>
    <t xml:space="preserve"> 63-1132594-N-70 </t>
  </si>
  <si>
    <t xml:space="preserve"> MUSONA LOVEJOY </t>
  </si>
  <si>
    <t xml:space="preserve"> 70132473Y70 </t>
  </si>
  <si>
    <t xml:space="preserve"> MUSHAWEMHUKA JOSSSAM </t>
  </si>
  <si>
    <t xml:space="preserve"> 7010923K7 </t>
  </si>
  <si>
    <t xml:space="preserve"> NYAMUPHANA GIFT </t>
  </si>
  <si>
    <t xml:space="preserve"> Koodhill plot 12 </t>
  </si>
  <si>
    <t xml:space="preserve"> 86071829K71 </t>
  </si>
  <si>
    <t xml:space="preserve"> NGOZI STONE </t>
  </si>
  <si>
    <t xml:space="preserve"> Plot 4 Doondo Zvimba </t>
  </si>
  <si>
    <t xml:space="preserve"> 38089143R38 </t>
  </si>
  <si>
    <t xml:space="preserve"> BEREJENA STAINY </t>
  </si>
  <si>
    <t xml:space="preserve"> Mbidzi Farm Std 10 </t>
  </si>
  <si>
    <t xml:space="preserve"> 22011529Z12 </t>
  </si>
  <si>
    <t xml:space="preserve"> CHAPANDUKA OLIVER </t>
  </si>
  <si>
    <t xml:space="preserve"> 63387245D47 </t>
  </si>
  <si>
    <t xml:space="preserve"> HUNGWE LOVENDER </t>
  </si>
  <si>
    <t xml:space="preserve"> Bicklerighville Eresi Farm Banket </t>
  </si>
  <si>
    <t xml:space="preserve"> 631423J42 </t>
  </si>
  <si>
    <t xml:space="preserve"> NZIRAMASANGA RUVIMBO </t>
  </si>
  <si>
    <t xml:space="preserve"> Plot 9 Blessville grange Banket </t>
  </si>
  <si>
    <t xml:space="preserve"> 70154332H70 </t>
  </si>
  <si>
    <t xml:space="preserve"> Dondo Farm Plot 2  </t>
  </si>
  <si>
    <t xml:space="preserve"> 382020247Y38 </t>
  </si>
  <si>
    <t xml:space="preserve"> MAGWENZI PETER </t>
  </si>
  <si>
    <t xml:space="preserve"> Plot 12 Chikomo cheMhunga Banket </t>
  </si>
  <si>
    <t xml:space="preserve"> 63375058G07 </t>
  </si>
  <si>
    <t xml:space="preserve"> Chikomochemhanga plot 5 Banket </t>
  </si>
  <si>
    <t xml:space="preserve"> 11031055B03 </t>
  </si>
  <si>
    <t xml:space="preserve"> PLOT 9BESSIVALE GRANGE </t>
  </si>
  <si>
    <t xml:space="preserve"> 70-15332-H-70 </t>
  </si>
  <si>
    <t xml:space="preserve"> TOMANA REUBEN </t>
  </si>
  <si>
    <t xml:space="preserve"> DULWICH EXTENSION PLOT 7 </t>
  </si>
  <si>
    <t xml:space="preserve"> 50-065951-L-50 </t>
  </si>
  <si>
    <t xml:space="preserve"> MUZUVA NOEL </t>
  </si>
  <si>
    <t xml:space="preserve"> LAMOT LOT 2  </t>
  </si>
  <si>
    <t xml:space="preserve"> 63-361355-M43 </t>
  </si>
  <si>
    <t xml:space="preserve"> VHIYA GILBERT </t>
  </si>
  <si>
    <t xml:space="preserve"> SUB DIVISION ROYAL BUCKS </t>
  </si>
  <si>
    <t xml:space="preserve"> 71-084930-C-66 </t>
  </si>
  <si>
    <t xml:space="preserve"> MAKUKUTSI BIGBRAIN </t>
  </si>
  <si>
    <t xml:space="preserve"> MUSORI FARM PLOT 6  </t>
  </si>
  <si>
    <t xml:space="preserve"> 70-086984-D-71 </t>
  </si>
  <si>
    <t xml:space="preserve"> MATICHIVEI FOMBE </t>
  </si>
  <si>
    <t xml:space="preserve"> DHUNDU </t>
  </si>
  <si>
    <t xml:space="preserve"> 71-114770-M-71 </t>
  </si>
  <si>
    <t xml:space="preserve"> MACHINGAMBI COLLEN </t>
  </si>
  <si>
    <t xml:space="preserve"> NYARAPINDA FARM </t>
  </si>
  <si>
    <t xml:space="preserve"> 26-144171-B-26 </t>
  </si>
  <si>
    <t xml:space="preserve"> CHIHUNDA SIMBA </t>
  </si>
  <si>
    <t xml:space="preserve"> PLOT 5 MARADZA FARM </t>
  </si>
  <si>
    <t xml:space="preserve"> 86-076406-K-86 </t>
  </si>
  <si>
    <t xml:space="preserve"> MUSHONGA CHIPO </t>
  </si>
  <si>
    <t xml:space="preserve"> NCHEFU FARM </t>
  </si>
  <si>
    <t xml:space="preserve"> 15-161603-c-70 </t>
  </si>
  <si>
    <t xml:space="preserve"> MUKWAIRA LOVEMORE </t>
  </si>
  <si>
    <t xml:space="preserve"> BLENCATHRA FARM , Trelawney </t>
  </si>
  <si>
    <t xml:space="preserve"> 45-125490-V-38 </t>
  </si>
  <si>
    <t xml:space="preserve"> CHANETSA IREEN </t>
  </si>
  <si>
    <t xml:space="preserve"> CHIKOMOCHEMUNGA PLOT 15 </t>
  </si>
  <si>
    <t xml:space="preserve"> 71-022719-G-71 </t>
  </si>
  <si>
    <t xml:space="preserve"> HUMANIKWA MUTIMBA </t>
  </si>
  <si>
    <t xml:space="preserve"> 63-221961-X-24 </t>
  </si>
  <si>
    <t xml:space="preserve"> CHADEHUMBE TAWANDA </t>
  </si>
  <si>
    <t xml:space="preserve"> 58-123565-M-24 </t>
  </si>
  <si>
    <t xml:space="preserve"> MOYO OBEDIA </t>
  </si>
  <si>
    <t xml:space="preserve"> ZIMPAM </t>
  </si>
  <si>
    <t xml:space="preserve"> 70-054329-H-70* </t>
  </si>
  <si>
    <t xml:space="preserve"> MAWERE MICHIEL </t>
  </si>
  <si>
    <t xml:space="preserve"> 70-070199-J-70 </t>
  </si>
  <si>
    <t xml:space="preserve"> TENDENEDZAI JOB </t>
  </si>
  <si>
    <t xml:space="preserve"> 27-1128459-E-27 </t>
  </si>
  <si>
    <t xml:space="preserve"> KWANGWARE AGNES </t>
  </si>
  <si>
    <t xml:space="preserve"> 04-124747-V-04 </t>
  </si>
  <si>
    <t xml:space="preserve"> CHIVAVARIRWA CHARLOTE  </t>
  </si>
  <si>
    <t xml:space="preserve"> LONGWOOD FARM  </t>
  </si>
  <si>
    <t xml:space="preserve"> 63-1135169-M-48 </t>
  </si>
  <si>
    <t xml:space="preserve"> PENYISA TOM </t>
  </si>
  <si>
    <t xml:space="preserve"> BRAESIDE FARM PLOT18 </t>
  </si>
  <si>
    <t xml:space="preserve"> 63-868621-N-13 </t>
  </si>
  <si>
    <t xml:space="preserve"> KANDARI ADAM </t>
  </si>
  <si>
    <t xml:space="preserve"> 86-044472-Z-38 </t>
  </si>
  <si>
    <t xml:space="preserve"> MUSVOSVI MARSHAL T </t>
  </si>
  <si>
    <t xml:space="preserve"> WEIGHMOUTH FARM </t>
  </si>
  <si>
    <t xml:space="preserve"> 63-1242213-P-86 </t>
  </si>
  <si>
    <t xml:space="preserve"> NYADZAYO JOSEPH </t>
  </si>
  <si>
    <t xml:space="preserve"> ENDBASE FARM LOT 1 </t>
  </si>
  <si>
    <t xml:space="preserve"> 63-717356-V-70 </t>
  </si>
  <si>
    <t xml:space="preserve"> MAREVO ELISHA </t>
  </si>
  <si>
    <t xml:space="preserve"> PLLOR 13 LOGIE FARM </t>
  </si>
  <si>
    <t xml:space="preserve"> 08-029245-P-15 </t>
  </si>
  <si>
    <t xml:space="preserve"> CHISHAKA BLESSMORE </t>
  </si>
  <si>
    <t xml:space="preserve"> SAMOS FARM PLOT 31 </t>
  </si>
  <si>
    <t xml:space="preserve"> 70-039485-Z-70 </t>
  </si>
  <si>
    <t xml:space="preserve"> MBIRI GOODLUCK BYWELL </t>
  </si>
  <si>
    <t xml:space="preserve"> PLOT 14 BASSET FARM </t>
  </si>
  <si>
    <t xml:space="preserve"> 86-013614-H-86 </t>
  </si>
  <si>
    <t xml:space="preserve"> CHITSIKO MARYLINE </t>
  </si>
  <si>
    <t xml:space="preserve"> TEMPLETON FARM PLOT 3 </t>
  </si>
  <si>
    <t xml:space="preserve"> 63-1220345-V-61 </t>
  </si>
  <si>
    <t xml:space="preserve"> MWALE GEDION </t>
  </si>
  <si>
    <t xml:space="preserve"> CHIKOMOCHEMHUNGA </t>
  </si>
  <si>
    <t xml:space="preserve"> 86-01554-D-86 </t>
  </si>
  <si>
    <t xml:space="preserve"> MAREWO ELISHA </t>
  </si>
  <si>
    <t xml:space="preserve"> PLOT 13 LOGIE FARM BANKET </t>
  </si>
  <si>
    <t xml:space="preserve"> MUCHECHETERE HAPPSON </t>
  </si>
  <si>
    <t xml:space="preserve"> PLOT 5BURYHILL ESTATE BANKET </t>
  </si>
  <si>
    <t xml:space="preserve"> 63-285372-X-27 </t>
  </si>
  <si>
    <t xml:space="preserve"> MUYAMBI LAZARUS </t>
  </si>
  <si>
    <t xml:space="preserve"> PLOT 10 MLEMBWE FARM  </t>
  </si>
  <si>
    <t xml:space="preserve"> 08-087990-S-26 </t>
  </si>
  <si>
    <t xml:space="preserve"> CHISVO JACQUELINE C </t>
  </si>
  <si>
    <t xml:space="preserve"> 63-1113423-A-47 </t>
  </si>
  <si>
    <t xml:space="preserve"> TAPFUMANEYI BANKET </t>
  </si>
  <si>
    <t xml:space="preserve"> 63-453849 Z 80 </t>
  </si>
  <si>
    <t xml:space="preserve"> JUNCTION GROUP </t>
  </si>
  <si>
    <t xml:space="preserve"> 70-111219 W 70 </t>
  </si>
  <si>
    <t xml:space="preserve">TENDAI BARE-  COMMISSIONER</t>
  </si>
  <si>
    <t xml:space="preserve"> NEHANDA NOMETTER  </t>
  </si>
  <si>
    <t xml:space="preserve"> PLOT 3MAKOSA RAFFINGORA </t>
  </si>
  <si>
    <t xml:space="preserve"> 18-071387-L-18 </t>
  </si>
  <si>
    <t xml:space="preserve"> MUTARA COMMENT T </t>
  </si>
  <si>
    <t xml:space="preserve"> CHIMUSENGA FARM </t>
  </si>
  <si>
    <t xml:space="preserve"> 24-162440-W-07 </t>
  </si>
  <si>
    <t xml:space="preserve"> MASHURA LIBERTY </t>
  </si>
  <si>
    <t xml:space="preserve"> UMVUMI FARM , Doma </t>
  </si>
  <si>
    <t xml:space="preserve"> 14-197494-H-54 </t>
  </si>
  <si>
    <t xml:space="preserve"> BENHURA CHANDAIDA DIDMUS </t>
  </si>
  <si>
    <t xml:space="preserve"> WOELWEHOEK </t>
  </si>
  <si>
    <t xml:space="preserve"> 68-034449-M-42 </t>
  </si>
  <si>
    <t xml:space="preserve"> ZHOU BRIGHTON </t>
  </si>
  <si>
    <t xml:space="preserve"> KOSSANA FARM </t>
  </si>
  <si>
    <t xml:space="preserve"> 08-269848-P-03 </t>
  </si>
  <si>
    <t xml:space="preserve"> MAPANZURE GARAINESU </t>
  </si>
  <si>
    <t xml:space="preserve"> GEDULD FARM </t>
  </si>
  <si>
    <t xml:space="preserve"> 70-313090-W-26 </t>
  </si>
  <si>
    <t xml:space="preserve"> MAPANZURE ITAI </t>
  </si>
  <si>
    <t xml:space="preserve"> GEDULD FARM PLOT 3 </t>
  </si>
  <si>
    <t xml:space="preserve"> 26-073211-W-26 </t>
  </si>
  <si>
    <t xml:space="preserve"> RUSIKE ELIJAH </t>
  </si>
  <si>
    <t xml:space="preserve"> WOLWOEKE FARM </t>
  </si>
  <si>
    <t xml:space="preserve"> 63-583721-P-25 </t>
  </si>
  <si>
    <t xml:space="preserve"> CAKANA USHER </t>
  </si>
  <si>
    <t xml:space="preserve"> VICTORY FARM </t>
  </si>
  <si>
    <t xml:space="preserve"> 08-481568-V-70 </t>
  </si>
  <si>
    <t xml:space="preserve"> HOVE ZIVAI </t>
  </si>
  <si>
    <t xml:space="preserve"> WOLWEHOEK PLOT 17 </t>
  </si>
  <si>
    <t xml:space="preserve"> 63-454778-J-03 </t>
  </si>
  <si>
    <t xml:space="preserve"> MUSHAMBI PRESLEY </t>
  </si>
  <si>
    <t xml:space="preserve"> GEDULD FARM 2 </t>
  </si>
  <si>
    <t xml:space="preserve"> 70-2001710-L-38 </t>
  </si>
  <si>
    <t xml:space="preserve"> MAPANZURE ITAI JUNIOR </t>
  </si>
  <si>
    <t xml:space="preserve"> 382012453B26 </t>
  </si>
  <si>
    <t xml:space="preserve"> NYAMAPFENI TENDAI </t>
  </si>
  <si>
    <t xml:space="preserve"> GREENFIELDS FARM </t>
  </si>
  <si>
    <t xml:space="preserve"> 70-243333-Y-50 </t>
  </si>
  <si>
    <t xml:space="preserve"> NYAMAYARO FARAI </t>
  </si>
  <si>
    <t xml:space="preserve"> GUMA FARM </t>
  </si>
  <si>
    <t xml:space="preserve">MOFFAT SEFU </t>
  </si>
  <si>
    <t xml:space="preserve"> 25-046225-G-25 </t>
  </si>
  <si>
    <t xml:space="preserve"> MUSHAYAVANHU PRETTY </t>
  </si>
  <si>
    <t xml:space="preserve"> TEVERED PLOT 14 </t>
  </si>
  <si>
    <t xml:space="preserve"> 63-1186544-E-38 </t>
  </si>
  <si>
    <t xml:space="preserve"> SEFU MOFFAT </t>
  </si>
  <si>
    <t xml:space="preserve"> MUCHERENGI FARM 13 , Mhangura </t>
  </si>
  <si>
    <t xml:space="preserve"> 63-1215794 Y 38 </t>
  </si>
  <si>
    <t xml:space="preserve"> MUZAMBINDO DANIEL </t>
  </si>
  <si>
    <t xml:space="preserve"> TSWANDAZWA FARM </t>
  </si>
  <si>
    <t xml:space="preserve"> 29-032540-H18 </t>
  </si>
  <si>
    <t xml:space="preserve"> MUNYARADZI  MATIYENGA</t>
  </si>
  <si>
    <t xml:space="preserve"> GLEN VIEW FARM , MHANGURA </t>
  </si>
  <si>
    <t xml:space="preserve"> 70-108906-G-70 </t>
  </si>
  <si>
    <t xml:space="preserve">0773376940</t>
  </si>
  <si>
    <t xml:space="preserve"> MUTANGA NYARADZAI DOREEN </t>
  </si>
  <si>
    <t xml:space="preserve"> MUCHERENGI FARM </t>
  </si>
  <si>
    <t xml:space="preserve"> 70-211203-Z-86 </t>
  </si>
  <si>
    <t xml:space="preserve"> MANGOMBE FARAI  </t>
  </si>
  <si>
    <t xml:space="preserve"> ENDEAVOR FARM , Mucherengi </t>
  </si>
  <si>
    <t xml:space="preserve"> 63-442750-K-38 </t>
  </si>
  <si>
    <t xml:space="preserve"> MWANASA TAKESURE </t>
  </si>
  <si>
    <t xml:space="preserve"> 70-153293-D-44 </t>
  </si>
  <si>
    <t xml:space="preserve"> SEFU PROSPER </t>
  </si>
  <si>
    <t xml:space="preserve"> CHIRIDZA FARM PLOT 4 </t>
  </si>
  <si>
    <t xml:space="preserve"> 63-1337376-C-38 </t>
  </si>
  <si>
    <t xml:space="preserve"> VANHUVAONE LOVEMORE P </t>
  </si>
  <si>
    <t xml:space="preserve"> CHIZASI FARM </t>
  </si>
  <si>
    <t xml:space="preserve"> 04-12137-T-04 </t>
  </si>
  <si>
    <t xml:space="preserve"> MUDONDO AGRIPPER </t>
  </si>
  <si>
    <t xml:space="preserve"> SOLVANG FARM </t>
  </si>
  <si>
    <t xml:space="preserve"> 63-260149-F-26 </t>
  </si>
  <si>
    <t xml:space="preserve"> CHITIYO MELODY MWALE </t>
  </si>
  <si>
    <t xml:space="preserve"> 70-147066-K-70 </t>
  </si>
  <si>
    <t xml:space="preserve"> MUNYONGA FUNNY </t>
  </si>
  <si>
    <t xml:space="preserve"> PLOT 16 TSVANZVA FARM </t>
  </si>
  <si>
    <t xml:space="preserve"> 70-042167-P-38 </t>
  </si>
  <si>
    <t xml:space="preserve"> CHITSA JOSEPH </t>
  </si>
  <si>
    <t xml:space="preserve"> PLOT 12 SLOVANG </t>
  </si>
  <si>
    <t xml:space="preserve"> 22-269632-W-27 </t>
  </si>
  <si>
    <t xml:space="preserve"> DAKWA INNOCENT </t>
  </si>
  <si>
    <t xml:space="preserve"> PLOT 28 GUMA FARM </t>
  </si>
  <si>
    <t xml:space="preserve"> 70-068540-F-70 </t>
  </si>
  <si>
    <t xml:space="preserve"> MASENGU RAKI LUCKY </t>
  </si>
  <si>
    <t xml:space="preserve"> GLENVIEW FARM </t>
  </si>
  <si>
    <t xml:space="preserve"> 63-641640-V-70 </t>
  </si>
  <si>
    <t xml:space="preserve"> ZUNGUNDE TOGARASEI L </t>
  </si>
  <si>
    <t xml:space="preserve"> TSVANZVA FARM </t>
  </si>
  <si>
    <t xml:space="preserve"> 47-008704-R-47 </t>
  </si>
  <si>
    <t xml:space="preserve"> MAGUVAZA MICHAEL </t>
  </si>
  <si>
    <t xml:space="preserve"> 70-213206-B-22 </t>
  </si>
  <si>
    <t xml:space="preserve"> HOWERA VENUS </t>
  </si>
  <si>
    <t xml:space="preserve"> MORNINGSTAR FARM </t>
  </si>
  <si>
    <t xml:space="preserve"> 70-2004109-T-50 </t>
  </si>
  <si>
    <t xml:space="preserve"> TAPFUMANEI RUTH </t>
  </si>
  <si>
    <t xml:space="preserve"> SLOVANG FARM </t>
  </si>
  <si>
    <t xml:space="preserve"> 63-227444-G-43 </t>
  </si>
  <si>
    <t xml:space="preserve"> MUDYIWA ROBINSON </t>
  </si>
  <si>
    <t xml:space="preserve"> SUNKIT FARM </t>
  </si>
  <si>
    <t xml:space="preserve"> 70-226419-N-27 </t>
  </si>
  <si>
    <t xml:space="preserve"> ZVINORUKWA RC </t>
  </si>
  <si>
    <t xml:space="preserve"> CHIRIDZA FARM PLOT3 </t>
  </si>
  <si>
    <t xml:space="preserve"> 70-2002998-L-18 </t>
  </si>
  <si>
    <t xml:space="preserve"> NYAHONDO DOROTH </t>
  </si>
  <si>
    <t xml:space="preserve"> PLOT 1 KAYALAMI FARM </t>
  </si>
  <si>
    <t xml:space="preserve"> 22-083153-B-04 </t>
  </si>
  <si>
    <t xml:space="preserve"> MASHIRI ZVIREVO JINJA </t>
  </si>
  <si>
    <t xml:space="preserve"> CHISIMBE FARM </t>
  </si>
  <si>
    <t xml:space="preserve"> 24-2000587-Q-77 </t>
  </si>
  <si>
    <t xml:space="preserve"> TSAMBATARE GLADYS  </t>
  </si>
  <si>
    <t xml:space="preserve"> Plot 4 Chiridza Farm Mhangura </t>
  </si>
  <si>
    <t xml:space="preserve"> 38077383J38 </t>
  </si>
  <si>
    <t xml:space="preserve"> MUCHENJE OCTAVEN M </t>
  </si>
  <si>
    <t xml:space="preserve"> PLOT 6 CHIZASI </t>
  </si>
  <si>
    <t xml:space="preserve"> 85-030509-Q-85 </t>
  </si>
  <si>
    <t xml:space="preserve"> MAZONDE FARAI </t>
  </si>
  <si>
    <t xml:space="preserve"> TSANDZWA FARM , Doma </t>
  </si>
  <si>
    <t xml:space="preserve"> 32-133223-Q-27 </t>
  </si>
  <si>
    <t xml:space="preserve"> CHITEHWE DERRECK </t>
  </si>
  <si>
    <t xml:space="preserve"> ENDEAVOUR ESTATE </t>
  </si>
  <si>
    <t xml:space="preserve"> 63-457624-C-32 </t>
  </si>
  <si>
    <t xml:space="preserve"> NDOGWEDU ZAKARIA </t>
  </si>
  <si>
    <t xml:space="preserve"> MUCHERENGI </t>
  </si>
  <si>
    <t xml:space="preserve"> 63-1156095-H-22 </t>
  </si>
  <si>
    <t xml:space="preserve"> GWESHE WONDER </t>
  </si>
  <si>
    <t xml:space="preserve"> TREELANDS FARM , MHANGURA </t>
  </si>
  <si>
    <t xml:space="preserve"> 63-470729-X-26 </t>
  </si>
  <si>
    <t xml:space="preserve"> MZIZI TAKESURE </t>
  </si>
  <si>
    <t xml:space="preserve"> ARDA ENDEVOUR FARM PLOT 9 </t>
  </si>
  <si>
    <t xml:space="preserve"> 35-023185 D 35 </t>
  </si>
  <si>
    <t xml:space="preserve"> OBERT MUJENGE </t>
  </si>
  <si>
    <t xml:space="preserve"> PLOT 26 GUMA </t>
  </si>
  <si>
    <t xml:space="preserve"> 70105392M71 </t>
  </si>
  <si>
    <t xml:space="preserve"> GUTI VITALIS CHARLES </t>
  </si>
  <si>
    <t xml:space="preserve"> TWO TREE FARM MHANGURA </t>
  </si>
  <si>
    <t xml:space="preserve"> 63-195584 B 47 </t>
  </si>
  <si>
    <t xml:space="preserve"> MWALE ISAACS Y </t>
  </si>
  <si>
    <t xml:space="preserve"> PLOT 18 CHIPINGABADZA </t>
  </si>
  <si>
    <t xml:space="preserve"> 70-001558 Z 70 </t>
  </si>
  <si>
    <t xml:space="preserve"> MASHIRI PAUL </t>
  </si>
  <si>
    <t xml:space="preserve"> CHIRIDZA FARM </t>
  </si>
  <si>
    <t xml:space="preserve"> 63-549591 R 77 </t>
  </si>
  <si>
    <t xml:space="preserve"> MURUMBI DEBRAH </t>
  </si>
  <si>
    <t xml:space="preserve"> NORTHEND FARM PLOT 36 </t>
  </si>
  <si>
    <t xml:space="preserve"> 43-060321 W 43 </t>
  </si>
  <si>
    <t xml:space="preserve"> MATANGA JOSEPHAT M </t>
  </si>
  <si>
    <t xml:space="preserve"> 18-042232 W 18 </t>
  </si>
  <si>
    <t xml:space="preserve"> VAGERE ERIA </t>
  </si>
  <si>
    <t xml:space="preserve"> PLOT 25 MUCHERENGI </t>
  </si>
  <si>
    <t xml:space="preserve"> 37-058410 E 26 </t>
  </si>
  <si>
    <t xml:space="preserve"> CHITANAKWE RODNEY </t>
  </si>
  <si>
    <t xml:space="preserve">THEMBEKILE GATA</t>
  </si>
  <si>
    <t xml:space="preserve"> 63-2374699 C 27 </t>
  </si>
  <si>
    <t xml:space="preserve"> DENHERE SHONHAYI </t>
  </si>
  <si>
    <t xml:space="preserve"> HIGHBERRY FARM </t>
  </si>
  <si>
    <t xml:space="preserve">RICHARD JENAMI</t>
  </si>
  <si>
    <t xml:space="preserve"> 63-576825T-77 </t>
  </si>
  <si>
    <t xml:space="preserve"> MUREFU LAHLIWE </t>
  </si>
  <si>
    <t xml:space="preserve"> HIGHBERRY FARM  </t>
  </si>
  <si>
    <t xml:space="preserve"> 08-506842-R-43 </t>
  </si>
  <si>
    <t xml:space="preserve"> MATURA HERALD </t>
  </si>
  <si>
    <t xml:space="preserve"> PLATEAU FARM PLOT 64 </t>
  </si>
  <si>
    <t xml:space="preserve"> 08-567298-E-48 </t>
  </si>
  <si>
    <t xml:space="preserve"> ZVOBGO DAN MAGWENZI </t>
  </si>
  <si>
    <t xml:space="preserve"> PIRINGANI FARM , Mangura </t>
  </si>
  <si>
    <t xml:space="preserve"> 63-748865-T-22 </t>
  </si>
  <si>
    <t xml:space="preserve"> KAFINYA SIMBARASHE </t>
  </si>
  <si>
    <t xml:space="preserve"> HIGHBURY PLOT 27 </t>
  </si>
  <si>
    <t xml:space="preserve"> 70-244486-B-70 </t>
  </si>
  <si>
    <t xml:space="preserve"> MUBAIWA NDUDZA ALBERT </t>
  </si>
  <si>
    <t xml:space="preserve"> MANGAMWA FARM </t>
  </si>
  <si>
    <t xml:space="preserve"> 07-145390-C-07 </t>
  </si>
  <si>
    <t xml:space="preserve"> NHARA SIMBARASHE TAWIPA </t>
  </si>
  <si>
    <t xml:space="preserve"> 63-1183234-G-32 </t>
  </si>
  <si>
    <t xml:space="preserve"> MANYENGAVANA DAVID </t>
  </si>
  <si>
    <t xml:space="preserve"> TWO TREE FARM </t>
  </si>
  <si>
    <t xml:space="preserve"> 70-088292-A-75 </t>
  </si>
  <si>
    <t xml:space="preserve"> NYAMAYARO WENCESLAS </t>
  </si>
  <si>
    <t xml:space="preserve"> HIGHBERRY ESTATE </t>
  </si>
  <si>
    <t xml:space="preserve"> 25-022052-G-25 </t>
  </si>
  <si>
    <t xml:space="preserve"> MANGEYA RUVIMBO </t>
  </si>
  <si>
    <t xml:space="preserve"> MANGAMWA PLOT 29 HIGHBERRY </t>
  </si>
  <si>
    <t xml:space="preserve"> 70-2017925-L-22 </t>
  </si>
  <si>
    <t xml:space="preserve"> MAPOSA MALVIN </t>
  </si>
  <si>
    <t xml:space="preserve"> HIGHBERRY 18  </t>
  </si>
  <si>
    <t xml:space="preserve"> 63-709357-A-58 </t>
  </si>
  <si>
    <t xml:space="preserve"> SHUMBA H </t>
  </si>
  <si>
    <t xml:space="preserve"> DITYWE FARM </t>
  </si>
  <si>
    <t xml:space="preserve"> 70-425484-Z-40* </t>
  </si>
  <si>
    <t xml:space="preserve"> MANYANGE SHEPERD </t>
  </si>
  <si>
    <t xml:space="preserve"> RIVINGSTON FARM </t>
  </si>
  <si>
    <t xml:space="preserve"> 70-275607-D-70 </t>
  </si>
  <si>
    <t xml:space="preserve"> MAKWENA BONGANI L </t>
  </si>
  <si>
    <t xml:space="preserve"> HIGH-BERRY PLOT 16 </t>
  </si>
  <si>
    <t xml:space="preserve"> 70-068017-M-43 </t>
  </si>
  <si>
    <t xml:space="preserve"> ZUZE ABEL </t>
  </si>
  <si>
    <t xml:space="preserve"> LIVINGTON FARM </t>
  </si>
  <si>
    <t xml:space="preserve"> 50-071082-N-50 </t>
  </si>
  <si>
    <t xml:space="preserve"> NYIKADZINO TAFADZWA </t>
  </si>
  <si>
    <t xml:space="preserve"> ROBSDALE FARM </t>
  </si>
  <si>
    <t xml:space="preserve"> 63-1179639-Z-38 </t>
  </si>
  <si>
    <t xml:space="preserve"> MASANGO PAUCHENI </t>
  </si>
  <si>
    <t xml:space="preserve"> 70-000124-Q-38 </t>
  </si>
  <si>
    <t xml:space="preserve"> NYARUMWE H </t>
  </si>
  <si>
    <t xml:space="preserve"> 63-459238-G-47 </t>
  </si>
  <si>
    <t xml:space="preserve"> MUSARURWA M </t>
  </si>
  <si>
    <t xml:space="preserve"> UMBOWE FARM </t>
  </si>
  <si>
    <t xml:space="preserve"> 38-028836-Q-38 </t>
  </si>
  <si>
    <t xml:space="preserve"> SAKA TAFIDZA </t>
  </si>
  <si>
    <t xml:space="preserve"> PLOT 41 ZEBRA VLEI </t>
  </si>
  <si>
    <t xml:space="preserve"> 38-136770-K-70 </t>
  </si>
  <si>
    <t xml:space="preserve"> JENAMI RICHARD </t>
  </si>
  <si>
    <t xml:space="preserve"> MATOVANYIKA FARM </t>
  </si>
  <si>
    <t xml:space="preserve"> 63-235240-F-70 </t>
  </si>
  <si>
    <t xml:space="preserve"> CHIKUVADZE FIDELIS </t>
  </si>
  <si>
    <t xml:space="preserve"> PLOT 35 PLATEU MHUNGURA </t>
  </si>
  <si>
    <t xml:space="preserve"> 08-026871-J-83 </t>
  </si>
  <si>
    <t xml:space="preserve"> SHUMBA MODESTA  </t>
  </si>
  <si>
    <t xml:space="preserve"> PLOT 10 DITYWE </t>
  </si>
  <si>
    <t xml:space="preserve"> 22143059R03 </t>
  </si>
  <si>
    <t xml:space="preserve"> MUNYANYI CHRISTOPHER </t>
  </si>
  <si>
    <t xml:space="preserve"> PLOT 9 HIGHBERRY ESTATES </t>
  </si>
  <si>
    <t xml:space="preserve"> 58-110147-C-66 </t>
  </si>
  <si>
    <t xml:space="preserve"> MAGAYA WEBSTER </t>
  </si>
  <si>
    <t xml:space="preserve"> OLD CITRUS FARM </t>
  </si>
  <si>
    <t xml:space="preserve">BATSIRAYI MAGAYA</t>
  </si>
  <si>
    <t xml:space="preserve"> 86-2003688-E-70 </t>
  </si>
  <si>
    <t xml:space="preserve"> CHIYANGWA BRUCE </t>
  </si>
  <si>
    <t xml:space="preserve"> 63-2063267-P-70 </t>
  </si>
  <si>
    <t xml:space="preserve"> GURAMATUNHU OBEY </t>
  </si>
  <si>
    <t xml:space="preserve"> CLENT FARM, PORTLET </t>
  </si>
  <si>
    <t xml:space="preserve">TAFADZWA MUSIIWA</t>
  </si>
  <si>
    <t xml:space="preserve"> 38-136292-Q-38 </t>
  </si>
  <si>
    <t xml:space="preserve"> MUNYEBA PARADZAI </t>
  </si>
  <si>
    <t xml:space="preserve"> SCAFFEL </t>
  </si>
  <si>
    <t xml:space="preserve"> SHIKITA B TENDAI </t>
  </si>
  <si>
    <t xml:space="preserve"> KANAMI ALASKA </t>
  </si>
  <si>
    <t xml:space="preserve"> 63-1111302-V-75 </t>
  </si>
  <si>
    <t xml:space="preserve"> DZARAMBA TATENDA </t>
  </si>
  <si>
    <t xml:space="preserve"> MSINA FARM , MTUNZI </t>
  </si>
  <si>
    <t xml:space="preserve"> 70-2033630-G-70 </t>
  </si>
  <si>
    <t xml:space="preserve"> MAGWADA PENIKATI  </t>
  </si>
  <si>
    <t xml:space="preserve"> 15-007643-E-15 </t>
  </si>
  <si>
    <t xml:space="preserve"> NGIRAZI OBERT </t>
  </si>
  <si>
    <t xml:space="preserve">   </t>
  </si>
  <si>
    <t xml:space="preserve"> 07-071953-E-07 </t>
  </si>
  <si>
    <t xml:space="preserve"> KWASHIRA LEONARD </t>
  </si>
  <si>
    <t xml:space="preserve"> HILRISE FARM PLOT 5 </t>
  </si>
  <si>
    <t xml:space="preserve"> 63-875029-D-66 </t>
  </si>
  <si>
    <t xml:space="preserve"> KWARAMBA TINONTENDA K </t>
  </si>
  <si>
    <t xml:space="preserve"> NATALIA FARM </t>
  </si>
  <si>
    <t xml:space="preserve"> 70-252720-B-05 </t>
  </si>
  <si>
    <t xml:space="preserve"> MANYEPA JOHN </t>
  </si>
  <si>
    <t xml:space="preserve"> MANYEPA FARM CHITOMBORWIZI </t>
  </si>
  <si>
    <t xml:space="preserve"> 70-207614-Y-70 </t>
  </si>
  <si>
    <t xml:space="preserve"> MARUTA TINASHE </t>
  </si>
  <si>
    <t xml:space="preserve"> CHITOMBORWIZI PLOT 259 </t>
  </si>
  <si>
    <t xml:space="preserve"> 70-211312-S-70 </t>
  </si>
  <si>
    <t xml:space="preserve"> MANGOVE TAFADZWA ABEL </t>
  </si>
  <si>
    <t xml:space="preserve"> AVONDALE PLOT 14 </t>
  </si>
  <si>
    <t xml:space="preserve"> 26-085281-Q-26 </t>
  </si>
  <si>
    <t xml:space="preserve"> MUFUDZA KELVIN </t>
  </si>
  <si>
    <t xml:space="preserve"> HIGHWAY FARM </t>
  </si>
  <si>
    <t xml:space="preserve"> 42-113550-K-42 </t>
  </si>
  <si>
    <t xml:space="preserve"> MASVORA NYASHA </t>
  </si>
  <si>
    <t xml:space="preserve"> GLEN SHIELDS PLOT 6 </t>
  </si>
  <si>
    <t xml:space="preserve"> 70-241477-F-70 </t>
  </si>
  <si>
    <t xml:space="preserve"> MUSHAYI RUMBIDZAI </t>
  </si>
  <si>
    <t xml:space="preserve"> SISO MANYAMBA </t>
  </si>
  <si>
    <t xml:space="preserve"> 70-299155-Z-38 </t>
  </si>
  <si>
    <t xml:space="preserve"> MUGOVA T.I </t>
  </si>
  <si>
    <t xml:space="preserve"> ATHENS </t>
  </si>
  <si>
    <t xml:space="preserve"> 63-363765-G-04 </t>
  </si>
  <si>
    <t xml:space="preserve"> KARUMA CLEMENT </t>
  </si>
  <si>
    <t xml:space="preserve"> HILRISE FARM </t>
  </si>
  <si>
    <t xml:space="preserve"> 70-206901-Y-43 </t>
  </si>
  <si>
    <t xml:space="preserve"> NYATHI NQOBILE </t>
  </si>
  <si>
    <t xml:space="preserve"> ROCOCO FARM </t>
  </si>
  <si>
    <t xml:space="preserve"> 70-250927-C-28 </t>
  </si>
  <si>
    <t xml:space="preserve"> MAVHIMA FARAI </t>
  </si>
  <si>
    <t xml:space="preserve"> 18-0404481-M-18 </t>
  </si>
  <si>
    <t xml:space="preserve"> SHARA DENIS </t>
  </si>
  <si>
    <t xml:space="preserve"> 45-156161-H-45 </t>
  </si>
  <si>
    <t xml:space="preserve"> MUTSURE NYASHA </t>
  </si>
  <si>
    <t xml:space="preserve"> BLAAUVLIE FARM </t>
  </si>
  <si>
    <t xml:space="preserve"> 63-2312342-Y-26 </t>
  </si>
  <si>
    <t xml:space="preserve"> MATIZA TALENT </t>
  </si>
  <si>
    <t xml:space="preserve"> KILMAURS FARM </t>
  </si>
  <si>
    <t xml:space="preserve"> 70-229049-X-18 </t>
  </si>
  <si>
    <t xml:space="preserve"> NYAMAPFENI BRIAN </t>
  </si>
  <si>
    <t xml:space="preserve"> HIGHLANDS FARM </t>
  </si>
  <si>
    <t xml:space="preserve"> 63-1264916-R-50 </t>
  </si>
  <si>
    <t xml:space="preserve"> MAKUDO PAXON </t>
  </si>
  <si>
    <t xml:space="preserve"> 70-27547K26 </t>
  </si>
  <si>
    <t xml:space="preserve"> MUPANDAGUTA WILLIUM </t>
  </si>
  <si>
    <t xml:space="preserve"> SLIGO FARM </t>
  </si>
  <si>
    <t xml:space="preserve"> 70-252555-X-70 </t>
  </si>
  <si>
    <t xml:space="preserve"> CHIZEMA I </t>
  </si>
  <si>
    <t xml:space="preserve"> LISTON SHIELD FARM MAGOGI </t>
  </si>
  <si>
    <t xml:space="preserve"> 70-70267713-Y-26 </t>
  </si>
  <si>
    <t xml:space="preserve"> MUKWAIRA EPHRAM </t>
  </si>
  <si>
    <t xml:space="preserve"> CHITOMBORWIZI FARM </t>
  </si>
  <si>
    <t xml:space="preserve"> 70-2016885-F-15 </t>
  </si>
  <si>
    <t xml:space="preserve"> MAKUMBE PHENIUS </t>
  </si>
  <si>
    <t xml:space="preserve"> KENNELWORTHY </t>
  </si>
  <si>
    <t xml:space="preserve"> 63-355567-W-70 </t>
  </si>
  <si>
    <t xml:space="preserve"> MAGAYA NELSON </t>
  </si>
  <si>
    <t xml:space="preserve"> kENNELWORTH Frm </t>
  </si>
  <si>
    <t xml:space="preserve"> 70-203024-D-45 </t>
  </si>
  <si>
    <t xml:space="preserve"> MUTERO RICHARD </t>
  </si>
  <si>
    <t xml:space="preserve"> PLOT 1 HILLRISE FARM </t>
  </si>
  <si>
    <t xml:space="preserve"> 63-849035-Z-26 </t>
  </si>
  <si>
    <t xml:space="preserve"> VINYU AGRIPPA </t>
  </si>
  <si>
    <t xml:space="preserve"> 188 CHITOMBORWIZI </t>
  </si>
  <si>
    <t xml:space="preserve"> 70-133175-L-70 </t>
  </si>
  <si>
    <t xml:space="preserve"> MASENDU LENNON </t>
  </si>
  <si>
    <t xml:space="preserve"> Plot 1A Khanyami estate Chinhoyi </t>
  </si>
  <si>
    <t xml:space="preserve"> 631455614X18 </t>
  </si>
  <si>
    <t xml:space="preserve"> KHOSA GERALD </t>
  </si>
  <si>
    <t xml:space="preserve"> #2 Highland Farm Makonde </t>
  </si>
  <si>
    <t xml:space="preserve"> 03059244P70 </t>
  </si>
  <si>
    <t xml:space="preserve"> DANI TSAURAI </t>
  </si>
  <si>
    <t xml:space="preserve"> Msina Farm plot 23 Chinhoyi </t>
  </si>
  <si>
    <t xml:space="preserve"> 70070519G38 </t>
  </si>
  <si>
    <t xml:space="preserve"> MUFUDZA JOHN </t>
  </si>
  <si>
    <t xml:space="preserve"> Plot 16 Highway Chinhoyi </t>
  </si>
  <si>
    <t xml:space="preserve"> 75151535A44 </t>
  </si>
  <si>
    <t xml:space="preserve"> MANGISI TAWANDA </t>
  </si>
  <si>
    <t xml:space="preserve"> AGILE FARM , Golden Kopje </t>
  </si>
  <si>
    <t xml:space="preserve"> 24-113079-S-26 </t>
  </si>
  <si>
    <t xml:space="preserve"> FRANCIS WINFRIDA </t>
  </si>
  <si>
    <t xml:space="preserve"> GIPSLANDER BAGUTA </t>
  </si>
  <si>
    <t xml:space="preserve"> 22-195379-L-22 </t>
  </si>
  <si>
    <t xml:space="preserve"> MUZA HAPPY </t>
  </si>
  <si>
    <t xml:space="preserve"> PLOT 1 BAGUTA EXTENSION </t>
  </si>
  <si>
    <t xml:space="preserve"> 08-510183-Y-24 </t>
  </si>
  <si>
    <t xml:space="preserve"> MAHACHI VICTOR </t>
  </si>
  <si>
    <t xml:space="preserve"> PLOT 5 ROCOCO FARM CHITOMBORWIZI </t>
  </si>
  <si>
    <t xml:space="preserve"> 24-088989-H-20 </t>
  </si>
  <si>
    <t xml:space="preserve"> TSVERE TAFADZWA </t>
  </si>
  <si>
    <t xml:space="preserve"> 22-204902-M-43 </t>
  </si>
  <si>
    <t xml:space="preserve"> NHEMACHENA NOEL </t>
  </si>
  <si>
    <t xml:space="preserve"> SUBDIVISION 1 BAGUTA </t>
  </si>
  <si>
    <t xml:space="preserve"> 45-059221-N-45 </t>
  </si>
  <si>
    <t xml:space="preserve"> PIRIRAI CHIPO BLESSING </t>
  </si>
  <si>
    <t xml:space="preserve"> LEADHILLS FARM , LIONS DEN </t>
  </si>
  <si>
    <t xml:space="preserve"> 59-055920-R-38 </t>
  </si>
  <si>
    <t xml:space="preserve"> HINZE KORNELL </t>
  </si>
  <si>
    <t xml:space="preserve"> LIONDEN FARM , ALASKA </t>
  </si>
  <si>
    <t xml:space="preserve"> 70-089062-M-00 </t>
  </si>
  <si>
    <t xml:space="preserve"> CHIDARIKIRE GAMUCHIRAI </t>
  </si>
  <si>
    <t xml:space="preserve"> SHEEPRIDGE FARM , </t>
  </si>
  <si>
    <t xml:space="preserve"> 70-248534-B-32 </t>
  </si>
  <si>
    <t xml:space="preserve"> MADA PRINCE </t>
  </si>
  <si>
    <t xml:space="preserve"> SHEEPRIDGE FARM </t>
  </si>
  <si>
    <t xml:space="preserve"> 70-224430-B-04 </t>
  </si>
  <si>
    <t xml:space="preserve"> MATARUTSE PETER </t>
  </si>
  <si>
    <t xml:space="preserve"> 22-029770-B-83 </t>
  </si>
  <si>
    <t xml:space="preserve"> GWANZURA MUBAIRO SHASHA </t>
  </si>
  <si>
    <t xml:space="preserve"> NASSAU FARM , Lions Den </t>
  </si>
  <si>
    <t xml:space="preserve"> 38-049719-P-38 </t>
  </si>
  <si>
    <t xml:space="preserve"> MHLANGA JOSIAH </t>
  </si>
  <si>
    <t xml:space="preserve"> AVONDALE FARM , LIONS DEN </t>
  </si>
  <si>
    <t xml:space="preserve"> 58015120-M-23 </t>
  </si>
  <si>
    <t xml:space="preserve"> VAMBE PAULINE </t>
  </si>
  <si>
    <t xml:space="preserve"> ARMIDALE FARM, LOT 1, CHINHOYI </t>
  </si>
  <si>
    <t xml:space="preserve"> 38-028694-L-38 </t>
  </si>
  <si>
    <t xml:space="preserve"> RANSOM MADZIVA NHERERA </t>
  </si>
  <si>
    <t xml:space="preserve"> KENILWORTHY FARM </t>
  </si>
  <si>
    <t xml:space="preserve"> 22-117262-B-22 </t>
  </si>
  <si>
    <t xml:space="preserve"> MAGONDE ISHMAEL </t>
  </si>
  <si>
    <t xml:space="preserve"> ROMSEY FARM </t>
  </si>
  <si>
    <t xml:space="preserve"> 70-218261-W-70 </t>
  </si>
  <si>
    <t xml:space="preserve"> GYPSLANDER FARM 7 </t>
  </si>
  <si>
    <t xml:space="preserve">TAFADZWA MUSIIWA </t>
  </si>
  <si>
    <t xml:space="preserve"> 70-273836-D-38 </t>
  </si>
  <si>
    <t xml:space="preserve"> DENGA PINIEL </t>
  </si>
  <si>
    <t xml:space="preserve"> BORN ACCOBS FARM </t>
  </si>
  <si>
    <t xml:space="preserve"> 18-043027-K-18 </t>
  </si>
  <si>
    <t xml:space="preserve"> MAREGERE TIMOTHY </t>
  </si>
  <si>
    <t xml:space="preserve"> GYPPSLANDER FARM </t>
  </si>
  <si>
    <t xml:space="preserve"> 12-001446-Z-22 </t>
  </si>
  <si>
    <t xml:space="preserve"> MUNYORO MAINSEED </t>
  </si>
  <si>
    <t xml:space="preserve"> NYAMAKARI FARM </t>
  </si>
  <si>
    <t xml:space="preserve"> 15-039104-B-15 </t>
  </si>
  <si>
    <t xml:space="preserve"> NHERERA R.M </t>
  </si>
  <si>
    <t xml:space="preserve"> KENIWORTHY FARM </t>
  </si>
  <si>
    <t xml:space="preserve"> NYARUBERO MISHECK </t>
  </si>
  <si>
    <t xml:space="preserve"> LORATEN FARM </t>
  </si>
  <si>
    <t xml:space="preserve"> 63-758933-M-63 </t>
  </si>
  <si>
    <t xml:space="preserve"> MUBVUMBI CHARLES </t>
  </si>
  <si>
    <t xml:space="preserve"> PLOT 7 SHEEP RIDGE FARM </t>
  </si>
  <si>
    <t xml:space="preserve"> 63-720722-J-48 </t>
  </si>
  <si>
    <t xml:space="preserve"> MASANGO RONNIE T </t>
  </si>
  <si>
    <t xml:space="preserve"> PLOT 12 LIONS DEN FARM </t>
  </si>
  <si>
    <t xml:space="preserve"> 70-250924-Z-45 </t>
  </si>
  <si>
    <t xml:space="preserve"> NYATALA STANLEY </t>
  </si>
  <si>
    <t xml:space="preserve"> Lions Den Farm Plot 2 </t>
  </si>
  <si>
    <t xml:space="preserve"> 63798506B63 </t>
  </si>
  <si>
    <t xml:space="preserve"> HLOMAI GEOGE </t>
  </si>
  <si>
    <t xml:space="preserve"> PLOT 20 MAWARE FARM </t>
  </si>
  <si>
    <t xml:space="preserve"> 37-083660-A-37 </t>
  </si>
  <si>
    <t xml:space="preserve"> MUSONA MAMBO </t>
  </si>
  <si>
    <t xml:space="preserve"> LIONS DEN FARMN , Lions Den </t>
  </si>
  <si>
    <t xml:space="preserve"> 70-016989-X-70 </t>
  </si>
  <si>
    <t xml:space="preserve"> MURUNGWENI P.MASIMBA  </t>
  </si>
  <si>
    <t xml:space="preserve"> 59-044788-R-25 </t>
  </si>
  <si>
    <t xml:space="preserve"> CHIKWEYA LOVEMORE </t>
  </si>
  <si>
    <t xml:space="preserve"> 18-033935-C-18 </t>
  </si>
  <si>
    <t xml:space="preserve"> MUCHEDZI TINASHE BEN </t>
  </si>
  <si>
    <t xml:space="preserve"> FISCHERS FARM </t>
  </si>
  <si>
    <t xml:space="preserve"> 70-2013385-B-42 </t>
  </si>
  <si>
    <t xml:space="preserve"> CHIOME L </t>
  </si>
  <si>
    <t xml:space="preserve"> PLOT 13 UMBOWE </t>
  </si>
  <si>
    <t xml:space="preserve"> 42-087466-V-42 </t>
  </si>
  <si>
    <t xml:space="preserve"> ZIMVUMI TONDERAI  CAESAR </t>
  </si>
  <si>
    <t xml:space="preserve"> ANGWA FARM </t>
  </si>
  <si>
    <t xml:space="preserve"> 58-011111-E-80 </t>
  </si>
  <si>
    <t xml:space="preserve"> NGWARU WEBSTER </t>
  </si>
  <si>
    <t xml:space="preserve"> FAIRPLAY FARM PLOT 5 </t>
  </si>
  <si>
    <t xml:space="preserve"> 42-131161-P-42 </t>
  </si>
  <si>
    <t xml:space="preserve"> KARIMATSENGA W </t>
  </si>
  <si>
    <t xml:space="preserve"> KUTI ESTATES </t>
  </si>
  <si>
    <t xml:space="preserve"> 70-000067-D-38 </t>
  </si>
  <si>
    <t xml:space="preserve"> MAPONGA IVINE </t>
  </si>
  <si>
    <t xml:space="preserve"> 32-143622-T-15 </t>
  </si>
  <si>
    <t xml:space="preserve"> ZHOU TRYMORE </t>
  </si>
  <si>
    <t xml:space="preserve"> BLAAUWVLEI FARM PLOT 8 </t>
  </si>
  <si>
    <t xml:space="preserve"> 37-087814-Q-47 </t>
  </si>
  <si>
    <t xml:space="preserve"> MATADI PATRICK </t>
  </si>
  <si>
    <t xml:space="preserve"> PLOT 2 MUNI FARM LIONSDEN </t>
  </si>
  <si>
    <t xml:space="preserve"> 43-155405-Y-42 </t>
  </si>
  <si>
    <t xml:space="preserve"> MEKI CARRINGTON </t>
  </si>
  <si>
    <t xml:space="preserve"> PLOT 35 MUNI FARM VILLAGE 1 </t>
  </si>
  <si>
    <t xml:space="preserve"> 70-147426-B-26 </t>
  </si>
  <si>
    <t xml:space="preserve"> MAFIRAKUREVA RATI </t>
  </si>
  <si>
    <t xml:space="preserve"> PLOT 9 MUNI FARM  </t>
  </si>
  <si>
    <t xml:space="preserve"> 70-021202-B-32 </t>
  </si>
  <si>
    <t xml:space="preserve"> MAKONZI THOMAS </t>
  </si>
  <si>
    <t xml:space="preserve"> PLOT 33 MUNI FARM </t>
  </si>
  <si>
    <t xml:space="preserve"> 70-219121-F-70 </t>
  </si>
  <si>
    <t xml:space="preserve"> NHAMBENI BLESSING MUFARO </t>
  </si>
  <si>
    <t xml:space="preserve"> OLD CITRUS FARM CHINHOYI </t>
  </si>
  <si>
    <t xml:space="preserve"> 58-273779-W-77 </t>
  </si>
  <si>
    <t xml:space="preserve"> CHIKONDOWA TINASHE  </t>
  </si>
  <si>
    <t xml:space="preserve"> ROSSETA FARM 16 , DOMA </t>
  </si>
  <si>
    <t xml:space="preserve">TINASHE CHIKONDOWA</t>
  </si>
  <si>
    <t xml:space="preserve"> 29-156984-Y-07 </t>
  </si>
  <si>
    <t xml:space="preserve"> CHIKONDOWA TINEVIMBO </t>
  </si>
  <si>
    <t xml:space="preserve"> ROSSETA FARM 22, Doma </t>
  </si>
  <si>
    <t xml:space="preserve"> 70-216775-V-07 </t>
  </si>
  <si>
    <t xml:space="preserve"> CHIMBANGU CHAMUNORWA </t>
  </si>
  <si>
    <t xml:space="preserve"> KOSSANA FARM ,  </t>
  </si>
  <si>
    <t xml:space="preserve"> 70-125085-S-71 </t>
  </si>
  <si>
    <t xml:space="preserve"> CHISHAMISO OBERT </t>
  </si>
  <si>
    <t xml:space="preserve"> RUKUTE FARM </t>
  </si>
  <si>
    <t xml:space="preserve"> 70-145824-K-70 </t>
  </si>
  <si>
    <t xml:space="preserve"> KUNDISHORA KUDAKWASHE </t>
  </si>
  <si>
    <t xml:space="preserve"> WILDEN FARN </t>
  </si>
  <si>
    <t xml:space="preserve"> 70-237130-F-38 </t>
  </si>
  <si>
    <t xml:space="preserve"> NYIKA ONIUS </t>
  </si>
  <si>
    <t xml:space="preserve"> PLOT 21 CHIPINGABADZA FARM </t>
  </si>
  <si>
    <t xml:space="preserve"> 26-082266-N-26 </t>
  </si>
  <si>
    <t xml:space="preserve"> PAMIRE BENJAMIN </t>
  </si>
  <si>
    <t xml:space="preserve"> KOSSANA FARM LOT 3 </t>
  </si>
  <si>
    <t xml:space="preserve"> 26-085372-P-26 </t>
  </si>
  <si>
    <t xml:space="preserve"> MAVHURA NATMORE </t>
  </si>
  <si>
    <t xml:space="preserve"> CHIPINGABADZA FARM </t>
  </si>
  <si>
    <t xml:space="preserve"> 48-019614-G-71 </t>
  </si>
  <si>
    <t xml:space="preserve"> MARAVANYIKA F </t>
  </si>
  <si>
    <t xml:space="preserve"> 29-060676-Q-03 </t>
  </si>
  <si>
    <t xml:space="preserve"> MAKURIRA Z </t>
  </si>
  <si>
    <t xml:space="preserve"> 26-047758-E-26 </t>
  </si>
  <si>
    <t xml:space="preserve"> MUKANDIWA G </t>
  </si>
  <si>
    <t xml:space="preserve"> 63-326533 M 71 </t>
  </si>
  <si>
    <t xml:space="preserve"> MAVHURA ENOS </t>
  </si>
  <si>
    <t xml:space="preserve"> 48-019614 G 71 </t>
  </si>
  <si>
    <t xml:space="preserve"> IMBAYAGO B </t>
  </si>
  <si>
    <t xml:space="preserve"> PLOT 6 CHIPINGABADZA </t>
  </si>
  <si>
    <t xml:space="preserve"> 26-039901-P-26 </t>
  </si>
  <si>
    <t xml:space="preserve"> KENI GOLDMAN </t>
  </si>
  <si>
    <t xml:space="preserve"> PLOT 55 KOSSANA FARM </t>
  </si>
  <si>
    <t xml:space="preserve"> 63-323365-X-71 </t>
  </si>
  <si>
    <t xml:space="preserve"> MUZEYA O </t>
  </si>
  <si>
    <t xml:space="preserve"> PLOT 20 KOISSANA FARM </t>
  </si>
  <si>
    <t xml:space="preserve"> 63-965438-Z-70 </t>
  </si>
  <si>
    <t xml:space="preserve"> SAURAMBA LINDA </t>
  </si>
  <si>
    <t xml:space="preserve"> CHIZASI PLOT 4 </t>
  </si>
  <si>
    <t xml:space="preserve"> 75-329284-F50 </t>
  </si>
  <si>
    <t xml:space="preserve"> SAMANYANGA E </t>
  </si>
  <si>
    <t xml:space="preserve"> PLOT 19 KOSSANA FARM </t>
  </si>
  <si>
    <t xml:space="preserve"> 70-145919-N-70 </t>
  </si>
  <si>
    <t xml:space="preserve"> GONO S </t>
  </si>
  <si>
    <t xml:space="preserve"> PLOT 16 KOSSANA FARM </t>
  </si>
  <si>
    <t xml:space="preserve"> 54-023716-E-54 </t>
  </si>
  <si>
    <t xml:space="preserve"> MATAMBANASHE T </t>
  </si>
  <si>
    <t xml:space="preserve"> PLOT 18 KOSSANA LOT 1 </t>
  </si>
  <si>
    <t xml:space="preserve"> 58-043086-K-26 </t>
  </si>
  <si>
    <t xml:space="preserve"> KUGARA KUDAKWASHE </t>
  </si>
  <si>
    <t xml:space="preserve"> PLOT 24 CHIDINGABADZA DOMA </t>
  </si>
  <si>
    <t xml:space="preserve"> 07-092192-D-07 </t>
  </si>
  <si>
    <t xml:space="preserve"> Plot 18 Kosana Lot 3 Farm </t>
  </si>
  <si>
    <t xml:space="preserve"> 26085372P26 </t>
  </si>
  <si>
    <t xml:space="preserve"> Plot 33 Kossana Lot 3 </t>
  </si>
  <si>
    <t xml:space="preserve"> 08269848P03 </t>
  </si>
  <si>
    <t xml:space="preserve"> GONDO JOHN </t>
  </si>
  <si>
    <t xml:space="preserve"> Kossna Farm Plot 23 </t>
  </si>
  <si>
    <t xml:space="preserve"> 63175734A38 </t>
  </si>
  <si>
    <t xml:space="preserve"> UTSIWEMBANJE REMIDIO </t>
  </si>
  <si>
    <t xml:space="preserve"> CECILMOUR FARM </t>
  </si>
  <si>
    <t xml:space="preserve"> 63-431428-D-38 </t>
  </si>
  <si>
    <t xml:space="preserve"> MBOFANA CECIL </t>
  </si>
  <si>
    <t xml:space="preserve"> CECIL MOUR DOMA </t>
  </si>
  <si>
    <t xml:space="preserve"> 70-115987-D-71 </t>
  </si>
  <si>
    <t xml:space="preserve"> MUSIYIWA TAFADZWA </t>
  </si>
  <si>
    <t xml:space="preserve"> DEVIDE PLOT 3 </t>
  </si>
  <si>
    <t xml:space="preserve"> 70-217393-C-70 </t>
  </si>
  <si>
    <t xml:space="preserve"> MASHAVAVE SIMBARASHE </t>
  </si>
  <si>
    <t xml:space="preserve"> PETROUSWILE PLOT 14, DOMA </t>
  </si>
  <si>
    <t xml:space="preserve"> 63-722130-J-66 </t>
  </si>
  <si>
    <t xml:space="preserve"> FOBS MAODZWA </t>
  </si>
  <si>
    <t xml:space="preserve"> STAILINGVALE , Mhangura </t>
  </si>
  <si>
    <t xml:space="preserve"> 15-139390-h-15 </t>
  </si>
  <si>
    <t xml:space="preserve"> CHIWADE BETTY </t>
  </si>
  <si>
    <t xml:space="preserve"> RIXON RANGE FARM , MHANGURA </t>
  </si>
  <si>
    <t xml:space="preserve">JAMES MASANGO</t>
  </si>
  <si>
    <t xml:space="preserve"> 70-082150-Z-70 </t>
  </si>
  <si>
    <t xml:space="preserve"> FOBO EDMORE </t>
  </si>
  <si>
    <t xml:space="preserve"> DELAROSA PLOT 23 MHANGURA </t>
  </si>
  <si>
    <t xml:space="preserve"> 15-118397-P-45 </t>
  </si>
  <si>
    <t xml:space="preserve"> MUKWACHA PETER </t>
  </si>
  <si>
    <t xml:space="preserve"> PLOT 11 CHAPMAN FARM </t>
  </si>
  <si>
    <t xml:space="preserve"> 67-028407-N-27 </t>
  </si>
  <si>
    <t xml:space="preserve"> MABADA ALEXANDER </t>
  </si>
  <si>
    <t xml:space="preserve"> PLOT 2 TEVRED FARM DOMA </t>
  </si>
  <si>
    <t xml:space="preserve"> 26-114753-A-26 </t>
  </si>
  <si>
    <t xml:space="preserve"> MABHEURA T </t>
  </si>
  <si>
    <t xml:space="preserve"> 38-149944-E-38 </t>
  </si>
  <si>
    <t xml:space="preserve"> TSHABALALA ELIAB N </t>
  </si>
  <si>
    <t xml:space="preserve"> WILDEN FARM </t>
  </si>
  <si>
    <t xml:space="preserve"> 70-2018753-L-53 </t>
  </si>
  <si>
    <t xml:space="preserve"> GATA TEMBEKILE </t>
  </si>
  <si>
    <t xml:space="preserve"> 70-284379-N-13 </t>
  </si>
  <si>
    <t xml:space="preserve"> NCUBE J. TICHAONA </t>
  </si>
  <si>
    <t xml:space="preserve"> GREEN FIELDS </t>
  </si>
  <si>
    <t xml:space="preserve"> 70-073181-A-24 </t>
  </si>
  <si>
    <t xml:space="preserve"> SIBANDA INNOCENT </t>
  </si>
  <si>
    <t xml:space="preserve"> WHINDLAE FARM </t>
  </si>
  <si>
    <t xml:space="preserve"> 58-205081-R-26 </t>
  </si>
  <si>
    <t xml:space="preserve"> CHININGA JEMISTER </t>
  </si>
  <si>
    <t xml:space="preserve"> WILDERNESS FARM MHANGURA </t>
  </si>
  <si>
    <t xml:space="preserve"> 63-424832-J-71 </t>
  </si>
  <si>
    <t xml:space="preserve"> JOWA ALFRED  </t>
  </si>
  <si>
    <t xml:space="preserve"> PTSUWILL FARM </t>
  </si>
  <si>
    <t xml:space="preserve"> 63-1097808-C-86 </t>
  </si>
  <si>
    <t xml:space="preserve"> JONGORO FARAI </t>
  </si>
  <si>
    <t xml:space="preserve"> CHAPMAN FARM </t>
  </si>
  <si>
    <t xml:space="preserve"> 71-005887-L-71 </t>
  </si>
  <si>
    <t xml:space="preserve"> PARADZANWA MISHECK </t>
  </si>
  <si>
    <t xml:space="preserve"> 70-93422-B-38 </t>
  </si>
  <si>
    <t xml:space="preserve"> NCUBE JAMES TICHAONA </t>
  </si>
  <si>
    <t xml:space="preserve"> GWEKWE TAKUNDA </t>
  </si>
  <si>
    <t xml:space="preserve"> TALFOURD FARM </t>
  </si>
  <si>
    <t xml:space="preserve"> 70-2003018-H-45 </t>
  </si>
  <si>
    <t xml:space="preserve"> MURIMBIKA TICHAONA </t>
  </si>
  <si>
    <t xml:space="preserve"> CHAPMAN FARM PLOT 16 </t>
  </si>
  <si>
    <t xml:space="preserve"> 32-079638-W-71 </t>
  </si>
  <si>
    <t xml:space="preserve"> MAKORE O </t>
  </si>
  <si>
    <t xml:space="preserve"> BONE FARM ACCORD </t>
  </si>
  <si>
    <t xml:space="preserve"> 27-158626-V-27 </t>
  </si>
  <si>
    <t xml:space="preserve"> ZHOU CONELIUS </t>
  </si>
  <si>
    <t xml:space="preserve"> KENTAC FARM </t>
  </si>
  <si>
    <t xml:space="preserve"> 03-018460-J-03 </t>
  </si>
  <si>
    <t xml:space="preserve"> NYAMUSA E.E </t>
  </si>
  <si>
    <t xml:space="preserve"> 34-048944-W-34 </t>
  </si>
  <si>
    <t xml:space="preserve"> MUZUZA SHADRECK </t>
  </si>
  <si>
    <t xml:space="preserve"> CECIL MORE PLOT 7 </t>
  </si>
  <si>
    <t xml:space="preserve"> 63-110763-E-63 </t>
  </si>
  <si>
    <t xml:space="preserve"> MKUCHA L.T </t>
  </si>
  <si>
    <t xml:space="preserve"> TAKOMA FARM PLOT 7 </t>
  </si>
  <si>
    <t xml:space="preserve"> 08-655807-K-26 </t>
  </si>
  <si>
    <t xml:space="preserve"> MASOCHA GIFT </t>
  </si>
  <si>
    <t xml:space="preserve"> PLOT 5 SUMMERHILL FARM </t>
  </si>
  <si>
    <t xml:space="preserve"> 63-652632S70 </t>
  </si>
  <si>
    <t xml:space="preserve"> CASTERN TAWANDA REGIS </t>
  </si>
  <si>
    <t xml:space="preserve"> NGOMBE FARM </t>
  </si>
  <si>
    <t xml:space="preserve"> 22-136463-X-22 </t>
  </si>
  <si>
    <t xml:space="preserve"> Hololo Farm Plot 1 </t>
  </si>
  <si>
    <t xml:space="preserve"> 18050481M18 </t>
  </si>
  <si>
    <t xml:space="preserve"> MABHANDE RAYMOND </t>
  </si>
  <si>
    <t xml:space="preserve"> BRUCE FARM  </t>
  </si>
  <si>
    <t xml:space="preserve"> 11-081623-R-11 </t>
  </si>
  <si>
    <t xml:space="preserve"> MASANGO JAMES </t>
  </si>
  <si>
    <t xml:space="preserve"> STERLINGVALE FARM , MHANGURA </t>
  </si>
  <si>
    <t xml:space="preserve"> 70-008723-M-70 </t>
  </si>
  <si>
    <t xml:space="preserve"> MAKAZA SIYENA </t>
  </si>
  <si>
    <t xml:space="preserve"> 63-594880-T-47 </t>
  </si>
  <si>
    <t xml:space="preserve"> CHARUMA MUNYARADZI </t>
  </si>
  <si>
    <t xml:space="preserve"> CHIWARI PLOT 21 MHANGURA </t>
  </si>
  <si>
    <t xml:space="preserve"> 63-860048-V-71 </t>
  </si>
  <si>
    <t xml:space="preserve"> GOREDEMA ASHLY </t>
  </si>
  <si>
    <t xml:space="preserve"> 70-223694-B-86 </t>
  </si>
  <si>
    <t xml:space="preserve"> MANGANDA TATENDA </t>
  </si>
  <si>
    <t xml:space="preserve"> 34-115843-M-34 </t>
  </si>
  <si>
    <t xml:space="preserve"> MOMBESHORA DOUGLAS </t>
  </si>
  <si>
    <t xml:space="preserve"> 70-029741-G-70* </t>
  </si>
  <si>
    <t xml:space="preserve"> PARADZA KINDNESS </t>
  </si>
  <si>
    <t xml:space="preserve"> SUMMERHILL FARM </t>
  </si>
  <si>
    <t xml:space="preserve"> 63-231596-J-70</t>
  </si>
  <si>
    <t xml:space="preserve"> CHIZEMA TAFADZWA </t>
  </si>
  <si>
    <t xml:space="preserve"> 70-270506-J-07 </t>
  </si>
  <si>
    <t xml:space="preserve"> ZIYAMBI SIMBARASHE </t>
  </si>
  <si>
    <t xml:space="preserve"> ALASKA FARM </t>
  </si>
  <si>
    <t xml:space="preserve"> 63-124651-V70* </t>
  </si>
  <si>
    <t xml:space="preserve"> GOMBERA ANATORIA </t>
  </si>
  <si>
    <t xml:space="preserve"> CHITOMBORWIZI </t>
  </si>
  <si>
    <t xml:space="preserve"> 70-027633-R-70 </t>
  </si>
  <si>
    <t xml:space="preserve"> MULISWA NOMHLE </t>
  </si>
  <si>
    <t xml:space="preserve"> 37-006511S66 </t>
  </si>
  <si>
    <t xml:space="preserve"> TSORAI EDNA </t>
  </si>
  <si>
    <t xml:space="preserve"> PLOT 21 ROSETTA </t>
  </si>
  <si>
    <t xml:space="preserve"> 75-162720 H 50 </t>
  </si>
  <si>
    <t xml:space="preserve"> KULEYA ROSEMARY </t>
  </si>
  <si>
    <t xml:space="preserve"> PLOT 71 GAINFULL </t>
  </si>
  <si>
    <t xml:space="preserve"> 15-094778 R 15 </t>
  </si>
  <si>
    <t xml:space="preserve"> DAWA LANCELOT </t>
  </si>
  <si>
    <t xml:space="preserve"> DELAROSA FARM </t>
  </si>
  <si>
    <t xml:space="preserve"> 70-086160 H 71 </t>
  </si>
  <si>
    <t xml:space="preserve"> CHEMHERE DZIDZAI COURAGE </t>
  </si>
  <si>
    <t xml:space="preserve"> 70-227626 A 18 </t>
  </si>
  <si>
    <t xml:space="preserve"> MURUVI ANDREW </t>
  </si>
  <si>
    <t xml:space="preserve"> PLOT 15 GUMA </t>
  </si>
  <si>
    <t xml:space="preserve"> 38-150816 C 38 </t>
  </si>
  <si>
    <t xml:space="preserve"> CHAKWIZIRA SHADRECK </t>
  </si>
  <si>
    <t xml:space="preserve"> PLOT 24 GREENFIELDS </t>
  </si>
  <si>
    <t xml:space="preserve"> 63-227444 G 43 </t>
  </si>
  <si>
    <t xml:space="preserve"> HOVE HARUGUMI </t>
  </si>
  <si>
    <t xml:space="preserve"> PLOT 7 BRENVILLE B </t>
  </si>
  <si>
    <t xml:space="preserve"> 03-035447 Y 03 </t>
  </si>
  <si>
    <t xml:space="preserve"> DYOKO MARKO </t>
  </si>
  <si>
    <t xml:space="preserve"> PLOT 70 WINDALE </t>
  </si>
  <si>
    <t xml:space="preserve"> 38-048181 S 71 </t>
  </si>
  <si>
    <t xml:space="preserve"> NYAMAYARO DYLAN </t>
  </si>
  <si>
    <t xml:space="preserve"> PLOT 13 SLOVANG </t>
  </si>
  <si>
    <t xml:space="preserve"> 70-2021636 V 25 </t>
  </si>
  <si>
    <t xml:space="preserve"> MANDONGWE STANFORD </t>
  </si>
  <si>
    <t xml:space="preserve"> PLOT 7 TSVANZWA </t>
  </si>
  <si>
    <t xml:space="preserve"> 38-100999 D 38 </t>
  </si>
  <si>
    <t xml:space="preserve"> CHIRUNGA COLEEN </t>
  </si>
  <si>
    <t xml:space="preserve"> PLOT 27 GUMA  </t>
  </si>
  <si>
    <t xml:space="preserve"> 70-219123 H 80 </t>
  </si>
  <si>
    <t xml:space="preserve"> MARIKOMO PHINEAS </t>
  </si>
  <si>
    <t xml:space="preserve"> CHAPMAN </t>
  </si>
  <si>
    <t xml:space="preserve"> 63-466065 C 07 </t>
  </si>
  <si>
    <t xml:space="preserve"> KATUMA CATHRINE </t>
  </si>
  <si>
    <t xml:space="preserve"> PLOT 9 COTSWOLD ESTATE </t>
  </si>
  <si>
    <t xml:space="preserve"> 70-001077 B 38 </t>
  </si>
  <si>
    <t xml:space="preserve"> NCUBE LOICE </t>
  </si>
  <si>
    <t xml:space="preserve"> PLOT 6 GUMA </t>
  </si>
  <si>
    <t xml:space="preserve"> 26-089013 X 26 </t>
  </si>
  <si>
    <t xml:space="preserve"> MATARE NEVER </t>
  </si>
  <si>
    <t xml:space="preserve"> CHIPINGEBADZA FARM </t>
  </si>
  <si>
    <t xml:space="preserve"> 63-381399 Q 70 </t>
  </si>
  <si>
    <t xml:space="preserve"> TSUNGANAYI TAURAI </t>
  </si>
  <si>
    <t xml:space="preserve"> 63-1146061 D 70 </t>
  </si>
  <si>
    <t xml:space="preserve"> NCUBE ANDREW </t>
  </si>
  <si>
    <t xml:space="preserve"> 63-699526 P 03 </t>
  </si>
  <si>
    <t xml:space="preserve"> MOPO MAZIVISA </t>
  </si>
  <si>
    <t xml:space="preserve"> 03-113504 S 26 </t>
  </si>
  <si>
    <t xml:space="preserve"> MAKONESE MUNYUKI CLEOPAS </t>
  </si>
  <si>
    <t xml:space="preserve"> PLOT 33 GLENVIEW FARM </t>
  </si>
  <si>
    <t xml:space="preserve"> 70-017816 W 18 </t>
  </si>
  <si>
    <t xml:space="preserve"> CHARE JOSEPH </t>
  </si>
  <si>
    <t xml:space="preserve"> PLOT 34 GLENVIEW FARM </t>
  </si>
  <si>
    <t xml:space="preserve"> 63-325992 Z 63 </t>
  </si>
  <si>
    <t xml:space="preserve"> TSIKAI SUNGANO </t>
  </si>
  <si>
    <t xml:space="preserve"> PLOT 2 GUMA </t>
  </si>
  <si>
    <t xml:space="preserve"> 70-011253 M 70 </t>
  </si>
  <si>
    <t xml:space="preserve"> TAKAWIRA JOHNSON </t>
  </si>
  <si>
    <t xml:space="preserve"> MUNANGWA ISHMEAL </t>
  </si>
  <si>
    <t xml:space="preserve"> PLOT 38 GLENVIEW </t>
  </si>
  <si>
    <t xml:space="preserve"> MAKOMBE TAFARA </t>
  </si>
  <si>
    <t xml:space="preserve"> PLOT 56 HILMORTON </t>
  </si>
  <si>
    <t xml:space="preserve"> 58-185938 J 23 </t>
  </si>
  <si>
    <t xml:space="preserve"> MAZENDA WITNESS </t>
  </si>
  <si>
    <t xml:space="preserve"> SUNHWA TATENDA </t>
  </si>
  <si>
    <t xml:space="preserve"> PLOT 20 GUMBO </t>
  </si>
  <si>
    <t xml:space="preserve"> 50-2002976 H 50 </t>
  </si>
  <si>
    <t xml:space="preserve"> CHAPARADZA BEVEN </t>
  </si>
  <si>
    <t xml:space="preserve"> KARIWA TAFADZWA A C  </t>
  </si>
  <si>
    <t xml:space="preserve"> MUDADA ABEL </t>
  </si>
  <si>
    <t xml:space="preserve"> PARADZA ( KADOMA PRISONS) </t>
  </si>
  <si>
    <t xml:space="preserve"> JINJA EMANUEL MASHIRI </t>
  </si>
  <si>
    <t xml:space="preserve"> PLOT 1 CHIRIDZA </t>
  </si>
  <si>
    <t xml:space="preserve"> 63-321381 M 77 </t>
  </si>
  <si>
    <t xml:space="preserve"> TEMBO LOVENESS </t>
  </si>
  <si>
    <t xml:space="preserve"> 70-076969 S 45 </t>
  </si>
  <si>
    <t xml:space="preserve"> GUZHA ELSIE TARA </t>
  </si>
  <si>
    <t xml:space="preserve"> PLOT 18 SLOVANG </t>
  </si>
  <si>
    <t xml:space="preserve"> 63-131373 F 32 </t>
  </si>
  <si>
    <t xml:space="preserve"> MAGUVAZA KUDAKWASHE </t>
  </si>
  <si>
    <t xml:space="preserve"> MVHUMI VALLEY FARM </t>
  </si>
  <si>
    <t xml:space="preserve"> 70-2005069 M 22 </t>
  </si>
  <si>
    <t xml:space="preserve"> MUHIPE MIKE </t>
  </si>
  <si>
    <t xml:space="preserve"> PLOT 10 GLENVIEW </t>
  </si>
  <si>
    <t xml:space="preserve"> MAPFUMO ELIZABERTH </t>
  </si>
  <si>
    <t xml:space="preserve"> PLOT 72 VUTI </t>
  </si>
  <si>
    <t xml:space="preserve"> 63-587607 N 26 </t>
  </si>
  <si>
    <t xml:space="preserve"> TSVAKWI CHARLES </t>
  </si>
  <si>
    <t xml:space="preserve">KUDAKWASHE KASEKE</t>
  </si>
  <si>
    <t xml:space="preserve">NOBUKOSI</t>
  </si>
  <si>
    <t xml:space="preserve">SIBANDA DOUBT MLISWA</t>
  </si>
  <si>
    <t xml:space="preserve">BLESSING CHIWERA</t>
  </si>
  <si>
    <t xml:space="preserve">MLISWA NORMA</t>
  </si>
  <si>
    <t xml:space="preserve">MANGANDA TATENDA</t>
  </si>
  <si>
    <t xml:space="preserve">GUTA</t>
  </si>
  <si>
    <t xml:space="preserve">KENEDY CHIKOMBERO</t>
  </si>
  <si>
    <t xml:space="preserve">MOHADI KOSI</t>
  </si>
  <si>
    <t xml:space="preserve">MOHADI</t>
  </si>
  <si>
    <t xml:space="preserve">MATABELELAND SOUTH</t>
  </si>
  <si>
    <t xml:space="preserve">TAKUDZWA NYABVURE</t>
  </si>
  <si>
    <t xml:space="preserve">LIBERTY MASHURA</t>
  </si>
  <si>
    <t xml:space="preserve">MIDLADS</t>
  </si>
  <si>
    <t xml:space="preserve">MUGANDA WILSON</t>
  </si>
  <si>
    <t xml:space="preserve">WILSON MUGANDA</t>
  </si>
  <si>
    <t xml:space="preserve">MANICALAND</t>
  </si>
  <si>
    <t xml:space="preserve">TAFADZWA NHUNDU</t>
  </si>
  <si>
    <t xml:space="preserve">NYAZEMA LAWRENCE</t>
  </si>
  <si>
    <t xml:space="preserve">MOHADI NEIGHBOUR</t>
  </si>
  <si>
    <t xml:space="preserve">MATEBELELAND SOUTH</t>
  </si>
  <si>
    <t xml:space="preserve">MUKORERA NYASHA YOLANDA</t>
  </si>
  <si>
    <t xml:space="preserve">BASOPO MRS</t>
  </si>
  <si>
    <t xml:space="preserve">KUDZAI TARASANA</t>
  </si>
  <si>
    <t xml:space="preserve">RAMABOEA RICHARD</t>
  </si>
  <si>
    <t xml:space="preserve">DR K MUGOVA</t>
  </si>
  <si>
    <t xml:space="preserve">TAPIWA MUPOWA</t>
  </si>
  <si>
    <t xml:space="preserve">SAGANGIRA CONY</t>
  </si>
  <si>
    <t xml:space="preserve">SIMBARASHE KANDENGWA</t>
  </si>
  <si>
    <t xml:space="preserve">CDE MTUNZI CHITEPO</t>
  </si>
  <si>
    <t xml:space="preserve">RUZOZA IGNATIOUS</t>
  </si>
  <si>
    <t xml:space="preserve">ABIGAL ZARANYIKA</t>
  </si>
  <si>
    <t xml:space="preserve">63-1299880W80</t>
  </si>
  <si>
    <t xml:space="preserve">MUNYONGA</t>
  </si>
  <si>
    <t xml:space="preserve">TAWANDA MUTENURE</t>
  </si>
  <si>
    <t xml:space="preserve">HEADMAN WENCESLOUS DZAPAS</t>
  </si>
  <si>
    <t xml:space="preserve">TENDAI MAGADZA</t>
  </si>
  <si>
    <t xml:space="preserve">GOROMONZI</t>
  </si>
  <si>
    <t xml:space="preserve">VC, CHIEF NJELELE, VIMBAI</t>
  </si>
  <si>
    <t xml:space="preserve">MIDLANDS</t>
  </si>
  <si>
    <t xml:space="preserve">VC , CHIRINGA AND ARDA AGRONOMIST</t>
  </si>
  <si>
    <t xml:space="preserve">MUTAWARRA STEMBISO</t>
  </si>
  <si>
    <t xml:space="preserve">63-1261661 D 70</t>
  </si>
  <si>
    <t xml:space="preserve">TONDERAI CHIKUNI</t>
  </si>
  <si>
    <t xml:space="preserve">D HOTO</t>
  </si>
  <si>
    <t xml:space="preserve">BRUTUS MUTIBURA</t>
  </si>
  <si>
    <t xml:space="preserve">JASTEN MUTIBURA</t>
  </si>
  <si>
    <t xml:space="preserve">63-608755A07</t>
  </si>
  <si>
    <t xml:space="preserve">NEMAKONDE </t>
  </si>
  <si>
    <t xml:space="preserve">CHAFAUSIPO CLIFORD </t>
  </si>
  <si>
    <t xml:space="preserve">63-172006Y07</t>
  </si>
  <si>
    <t xml:space="preserve">ISAIAH DAVISON FARAI CHAKUCHICHI</t>
  </si>
  <si>
    <t xml:space="preserve">GREENPOWER FARM ,MAQUADZI ROAD ,BANKET 11 HENLY PARK</t>
  </si>
  <si>
    <t xml:space="preserve">70-068560C71</t>
  </si>
  <si>
    <t xml:space="preserve">FUNGAI MAKONI</t>
  </si>
  <si>
    <t xml:space="preserve">63-1106494T70</t>
  </si>
  <si>
    <t xml:space="preserve">NETSAYI NHEMACHENA</t>
  </si>
  <si>
    <t xml:space="preserve">DAVISON MADHIGI</t>
  </si>
  <si>
    <t xml:space="preserve">PLOT 12 ANGWA FARM,MAKONDE</t>
  </si>
  <si>
    <t xml:space="preserve">07-046978H12</t>
  </si>
  <si>
    <t xml:space="preserve">MALTINA MASHAVA</t>
  </si>
  <si>
    <t xml:space="preserve">KAITANO JANUARY</t>
  </si>
  <si>
    <t xml:space="preserve">GLENVIEW PLOT 40</t>
  </si>
  <si>
    <t xml:space="preserve">38-108129 D 38</t>
  </si>
  <si>
    <t xml:space="preserve">MAKONDE</t>
  </si>
  <si>
    <t xml:space="preserve">MAUTSA STALEY K</t>
  </si>
  <si>
    <t xml:space="preserve">ARDA ENDEVOUR FARM   </t>
  </si>
  <si>
    <t xml:space="preserve">NYAMAYARO SHOUN T</t>
  </si>
  <si>
    <t xml:space="preserve">PLOT 12 GUMA</t>
  </si>
  <si>
    <t xml:space="preserve">63-3056849 V 25</t>
  </si>
  <si>
    <t xml:space="preserve">MUSEKIWA DAVID SVIDZI</t>
  </si>
  <si>
    <t xml:space="preserve">GLENVIEW FARM</t>
  </si>
  <si>
    <t xml:space="preserve">18-042920 B 18</t>
  </si>
  <si>
    <t xml:space="preserve">CHAYA ANDERSON</t>
  </si>
  <si>
    <t xml:space="preserve">PLOT 4 KOSANA</t>
  </si>
  <si>
    <t xml:space="preserve">70-092663 B 70</t>
  </si>
  <si>
    <t xml:space="preserve">RAMBANEPASI GEORGE</t>
  </si>
  <si>
    <t xml:space="preserve">KINGSPEAK</t>
  </si>
  <si>
    <t xml:space="preserve">11-029612 H 11</t>
  </si>
  <si>
    <t xml:space="preserve">CHADEHUMBA SANDRA</t>
  </si>
  <si>
    <t xml:space="preserve">PLOT 36 MUNI FARM</t>
  </si>
  <si>
    <t xml:space="preserve">70-212314 G 70</t>
  </si>
  <si>
    <t xml:space="preserve">CHADEHUMBA VANJILINE</t>
  </si>
  <si>
    <t xml:space="preserve">PLOT 36 PLATEAU</t>
  </si>
  <si>
    <t xml:space="preserve">63-537532 J 70</t>
  </si>
  <si>
    <t xml:space="preserve">MUNATSI MIKE</t>
  </si>
  <si>
    <t xml:space="preserve">PLOT 9 GUMA</t>
  </si>
  <si>
    <t xml:space="preserve">26-165039 J 26</t>
  </si>
  <si>
    <t xml:space="preserve">TEMBO PANASHE CHRISTINE</t>
  </si>
  <si>
    <t xml:space="preserve">PLOT 26 GUMA</t>
  </si>
  <si>
    <t xml:space="preserve">38-207950 E 45</t>
  </si>
  <si>
    <t xml:space="preserve">USAIWEVHU MANUWORK</t>
  </si>
  <si>
    <t xml:space="preserve">PLOT 1 NYAMANDA FARM</t>
  </si>
  <si>
    <t xml:space="preserve">38-095467 Q 38</t>
  </si>
  <si>
    <t xml:space="preserve">HURUNGWE</t>
  </si>
  <si>
    <t xml:space="preserve">KARAMBA FLORENCE</t>
  </si>
  <si>
    <t xml:space="preserve">PLOT 23 GLENVIEW FARM</t>
  </si>
  <si>
    <t xml:space="preserve">MUZA PASI</t>
  </si>
  <si>
    <t xml:space="preserve">PLOT 5 GLENVIEW FARM</t>
  </si>
  <si>
    <t xml:space="preserve">70-093625 X 70</t>
  </si>
  <si>
    <t xml:space="preserve">KANYEMBA EVANS</t>
  </si>
  <si>
    <t xml:space="preserve">PLOT 13 MUSONZOWA FARM</t>
  </si>
  <si>
    <t xml:space="preserve">71-016854 G 71</t>
  </si>
  <si>
    <t xml:space="preserve">ZVIMBA</t>
  </si>
  <si>
    <t xml:space="preserve">MASHANGA EDMORE</t>
  </si>
  <si>
    <t xml:space="preserve">PLOT 21 FIVE HEAD FARM</t>
  </si>
  <si>
    <t xml:space="preserve">38-166792 S 38</t>
  </si>
  <si>
    <t xml:space="preserve">CHAFAUSIPO CLIFFORD</t>
  </si>
  <si>
    <t xml:space="preserve">PLOT 5 PLATEAU</t>
  </si>
  <si>
    <t xml:space="preserve">70-068560 C 71</t>
  </si>
  <si>
    <t xml:space="preserve">MAHARI SIMONI</t>
  </si>
  <si>
    <t xml:space="preserve">PLOT 67 MUNI</t>
  </si>
  <si>
    <t xml:space="preserve">50-013676 Q 50</t>
  </si>
  <si>
    <t xml:space="preserve">MUSIWA PAUL VENDAI NCUBE</t>
  </si>
  <si>
    <t xml:space="preserve">RUKUTE FARM</t>
  </si>
  <si>
    <t xml:space="preserve">70-222250 G 24</t>
  </si>
  <si>
    <t xml:space="preserve">MANGITONI CLIVE</t>
  </si>
  <si>
    <t xml:space="preserve">70-278511 K 71</t>
  </si>
  <si>
    <t xml:space="preserve">CHITAURO TAFADZWA I</t>
  </si>
  <si>
    <t xml:space="preserve">WILDEN FARM</t>
  </si>
  <si>
    <t xml:space="preserve">70-129246 Q 71</t>
  </si>
  <si>
    <t xml:space="preserve">NGANDU MIKE (MITIYANA GROUP)</t>
  </si>
  <si>
    <t xml:space="preserve">MITIYANA FARM</t>
  </si>
  <si>
    <t xml:space="preserve">71-083415 F V71</t>
  </si>
  <si>
    <t xml:space="preserve">MATIGI SCOLASTICA</t>
  </si>
  <si>
    <t xml:space="preserve">63-919447 V 70</t>
  </si>
  <si>
    <t xml:space="preserve">SEREMWE KING</t>
  </si>
  <si>
    <t xml:space="preserve">VK</t>
  </si>
  <si>
    <t xml:space="preserve">58-278697 J 38</t>
  </si>
  <si>
    <t xml:space="preserve">MUNYANYI CHARLES</t>
  </si>
  <si>
    <t xml:space="preserve">ARDBERG FARM</t>
  </si>
  <si>
    <t xml:space="preserve">08-572890 H 80</t>
  </si>
  <si>
    <t xml:space="preserve">SANYATI</t>
  </si>
  <si>
    <t xml:space="preserve">MABEZA NELSON</t>
  </si>
  <si>
    <t xml:space="preserve">MONTANA FARM</t>
  </si>
  <si>
    <t xml:space="preserve">29-139684 T 24</t>
  </si>
  <si>
    <t xml:space="preserve">MHIKE ANYWAY</t>
  </si>
  <si>
    <t xml:space="preserve">24-108580 C 24</t>
  </si>
  <si>
    <t xml:space="preserve">MAROMO SELESTINO</t>
  </si>
  <si>
    <t xml:space="preserve">63- 464506 H 26</t>
  </si>
  <si>
    <t xml:space="preserve">MUNYANYI RICHARD</t>
  </si>
  <si>
    <t xml:space="preserve">08-592970 J 8</t>
  </si>
  <si>
    <t xml:space="preserve">CHIMBINDI RUGARE</t>
  </si>
  <si>
    <t xml:space="preserve">EUREKA OF ALABAMA</t>
  </si>
  <si>
    <t xml:space="preserve">22- 195329 G 22</t>
  </si>
  <si>
    <t xml:space="preserve">MADZIVA THOMAS</t>
  </si>
  <si>
    <t xml:space="preserve">24- 074759 Q 24</t>
  </si>
  <si>
    <t xml:space="preserve">MUHIPA ANUSA</t>
  </si>
  <si>
    <t xml:space="preserve">DON OF TEVRED FARM</t>
  </si>
  <si>
    <t xml:space="preserve">70-074818 E 71</t>
  </si>
  <si>
    <t xml:space="preserve">MADOVI CLEMENCE</t>
  </si>
  <si>
    <t xml:space="preserve">GLENVIEW FARM PLOT 20</t>
  </si>
  <si>
    <t xml:space="preserve">70-261674 J 38</t>
  </si>
  <si>
    <t xml:space="preserve">FOROMA TAZVIWINGA </t>
  </si>
  <si>
    <t xml:space="preserve">ARYSHIRE FARM PLOT 30 </t>
  </si>
  <si>
    <t xml:space="preserve">63-813674N48</t>
  </si>
  <si>
    <t xml:space="preserve">RETEIWA REGIS </t>
  </si>
  <si>
    <t xml:space="preserve">CLIENT FARM </t>
  </si>
  <si>
    <t xml:space="preserve">08-2053025V42</t>
  </si>
  <si>
    <t xml:space="preserve">MAKONDE </t>
  </si>
  <si>
    <t xml:space="preserve">Category A </t>
  </si>
  <si>
    <t xml:space="preserve">CHIGUNDU BABRA</t>
  </si>
  <si>
    <t xml:space="preserve">MDADADADA A</t>
  </si>
  <si>
    <t xml:space="preserve">ZHARARE MARTIN</t>
  </si>
  <si>
    <t xml:space="preserve">KUNODZIYA GALANT</t>
  </si>
  <si>
    <t xml:space="preserve">WATAMA TAWANDA</t>
  </si>
  <si>
    <t xml:space="preserve">MANZVIMBO EPHREM</t>
  </si>
  <si>
    <t xml:space="preserve">BARADZANWA BENJAMIN</t>
  </si>
  <si>
    <t xml:space="preserve">NYIKADZINO TINASHE</t>
  </si>
  <si>
    <t xml:space="preserve">FURAMERA KUFA</t>
  </si>
  <si>
    <t xml:space="preserve">ZINDOGA WASHINGTON</t>
  </si>
  <si>
    <t xml:space="preserve">MOMBERUME A</t>
  </si>
  <si>
    <t xml:space="preserve">CHITSAI JOSEPH</t>
  </si>
  <si>
    <t xml:space="preserve">MASHIRI ZVIREVO  PAULINE JINJA</t>
  </si>
  <si>
    <t xml:space="preserve">MACHACHA MUNYARADZI</t>
  </si>
  <si>
    <t xml:space="preserve">SANHEHWE GODFREY T </t>
  </si>
  <si>
    <t xml:space="preserve">MARIMIRA ELISHA</t>
  </si>
  <si>
    <t xml:space="preserve">CHAWIRA ELASTO</t>
  </si>
  <si>
    <t xml:space="preserve">TAMANIKWA FARANCIS</t>
  </si>
  <si>
    <t xml:space="preserve">NGONYAMO EDWIN</t>
  </si>
  <si>
    <t xml:space="preserve">MUZAVAZI BILLIARD CHARLES</t>
  </si>
  <si>
    <t xml:space="preserve">MOFFAT SEFU</t>
  </si>
  <si>
    <t xml:space="preserve">TIZORA ANDREW</t>
  </si>
  <si>
    <t xml:space="preserve">MAWIRE  BANABAS</t>
  </si>
  <si>
    <t xml:space="preserve">MUGORE T</t>
  </si>
  <si>
    <t xml:space="preserve">CHAREMA CAROLINE</t>
  </si>
  <si>
    <t xml:space="preserve">KWATAMBA JOHN</t>
  </si>
  <si>
    <t xml:space="preserve">MURINGANI PHIBIAN G </t>
  </si>
  <si>
    <t xml:space="preserve">GOVERE TRUST</t>
  </si>
  <si>
    <t xml:space="preserve">TSAMBATARE G</t>
  </si>
  <si>
    <t xml:space="preserve">RAMBANEPASI GEOGE</t>
  </si>
  <si>
    <t xml:space="preserve">CHIKUVIRA TICHAONA</t>
  </si>
  <si>
    <t xml:space="preserve">CHADEHUMBE SANDRA</t>
  </si>
  <si>
    <t xml:space="preserve"> MUNI FARM PLOT 36 </t>
  </si>
  <si>
    <t xml:space="preserve">70-212314G70</t>
  </si>
  <si>
    <t xml:space="preserve">CHADEHUMBE VENJILINE</t>
  </si>
  <si>
    <t xml:space="preserve">CHATUKUTA DODO THOMAS</t>
  </si>
  <si>
    <t xml:space="preserve">CLIVE CHOTO</t>
  </si>
  <si>
    <t xml:space="preserve">LIONS DEN FARM</t>
  </si>
  <si>
    <t xml:space="preserve">63-1377201</t>
  </si>
  <si>
    <t xml:space="preserve">Partly Paid</t>
  </si>
  <si>
    <t xml:space="preserve">ERNEST KAPUYA</t>
  </si>
  <si>
    <t xml:space="preserve">85-016641R85</t>
  </si>
  <si>
    <t xml:space="preserve">0773367995/0712155159</t>
  </si>
  <si>
    <t xml:space="preserve">DR ZIKI</t>
  </si>
  <si>
    <t xml:space="preserve">Unpaid</t>
  </si>
  <si>
    <t xml:space="preserve">SIKHULEKILE MASEKO</t>
  </si>
  <si>
    <t xml:space="preserve">Paid</t>
  </si>
  <si>
    <t xml:space="preserve">TAKUDZWA  MATIYENGA</t>
  </si>
  <si>
    <t xml:space="preserve">071770294</t>
  </si>
  <si>
    <t xml:space="preserve">SIMBARASHE MATIYENGA</t>
  </si>
  <si>
    <t xml:space="preserve">0772443571</t>
  </si>
  <si>
    <t xml:space="preserve">EDDIE MUFFAPAIRI</t>
  </si>
  <si>
    <t xml:space="preserve">GRAND TOTALS</t>
  </si>
  <si>
    <t xml:space="preserve">DATA RECEIPTS</t>
  </si>
  <si>
    <t xml:space="preserve">MONTH</t>
  </si>
  <si>
    <t xml:space="preserve">DATE</t>
  </si>
  <si>
    <t xml:space="preserve">AMOUNT DUE</t>
  </si>
  <si>
    <t xml:space="preserve">AMOUNT PAID</t>
  </si>
  <si>
    <t xml:space="preserve">TYPE</t>
  </si>
  <si>
    <t xml:space="preserve">LENIN MUTANGARA</t>
  </si>
  <si>
    <t xml:space="preserve">Cash</t>
  </si>
  <si>
    <t xml:space="preserve">TICHAONA MAPFOCHE </t>
  </si>
  <si>
    <t xml:space="preserve">MUTIBURA  PHEBEON</t>
  </si>
  <si>
    <t xml:space="preserve">WENDEY MADZURA</t>
  </si>
  <si>
    <t xml:space="preserve">NHEMA TAKUNDA </t>
  </si>
  <si>
    <t xml:space="preserve">MASHURA LIBERTY</t>
  </si>
  <si>
    <t xml:space="preserve">ABIGAIL ZARANYIKA</t>
  </si>
  <si>
    <t xml:space="preserve">NATSAI NHEMACHENA</t>
  </si>
  <si>
    <t xml:space="preserve">TENDAI BARE</t>
  </si>
  <si>
    <t xml:space="preserve">Bank</t>
  </si>
  <si>
    <t xml:space="preserve">TAZVIVINGA FOROMA</t>
  </si>
  <si>
    <t xml:space="preserve">GURAMATUNHU OBEY</t>
  </si>
  <si>
    <t xml:space="preserve">TAPFUMANEYI RUTH</t>
  </si>
  <si>
    <t xml:space="preserve">MAZONDE FARAI</t>
  </si>
  <si>
    <t xml:space="preserve">PAUCHENI MASANGO</t>
  </si>
  <si>
    <t xml:space="preserve">MAMBO MUSONA</t>
  </si>
  <si>
    <t xml:space="preserve">DORREEN NYARADZAI</t>
  </si>
  <si>
    <t xml:space="preserve">PATIENCE MUTANGADURA</t>
  </si>
  <si>
    <t xml:space="preserve">MASHAVAVE SIMBARASHE </t>
  </si>
  <si>
    <t xml:space="preserve">bank</t>
  </si>
  <si>
    <t xml:space="preserve">NYACHOWE LEO </t>
  </si>
  <si>
    <t xml:space="preserve">Bank </t>
  </si>
  <si>
    <t xml:space="preserve">ZUNGUNDE BETTY</t>
  </si>
  <si>
    <t xml:space="preserve">RETIWA REGIS </t>
  </si>
  <si>
    <t xml:space="preserve"> MATIYENGA MUNYARADZI </t>
  </si>
  <si>
    <t xml:space="preserve">MELLODY N CHITIYO</t>
  </si>
  <si>
    <t xml:space="preserve"> GAMUCHIRAI CHIDARIKIRE </t>
  </si>
  <si>
    <t xml:space="preserve">PETER MATARUSE </t>
  </si>
  <si>
    <t xml:space="preserve">MUTARA COMMENT</t>
  </si>
  <si>
    <t xml:space="preserve">CLIVE CHOTO </t>
  </si>
  <si>
    <t xml:space="preserve">FUNNY MUNYONGA </t>
  </si>
  <si>
    <t xml:space="preserve">ERNERST KAPUYA </t>
  </si>
  <si>
    <t xml:space="preserve">PARADZWANWA MISHECK</t>
  </si>
  <si>
    <t xml:space="preserve">MICHAEL MUGUVAZA</t>
  </si>
  <si>
    <t xml:space="preserve">FARAI JONGORO</t>
  </si>
  <si>
    <t xml:space="preserve">CHIKARO TIONOS </t>
  </si>
  <si>
    <t xml:space="preserve">MASANGO JAMES </t>
  </si>
  <si>
    <t xml:space="preserve">ROSEMARY KULEYA </t>
  </si>
  <si>
    <t xml:space="preserve">RONALD MANKANYA </t>
  </si>
  <si>
    <t xml:space="preserve">MUNYARADZI MATIYENGA </t>
  </si>
  <si>
    <t xml:space="preserve">TAKUDZWA MATIYENGA </t>
  </si>
  <si>
    <t xml:space="preserve">TICHAONA MURIMBIKA</t>
  </si>
  <si>
    <t xml:space="preserve">ALEXANDER MABADA </t>
  </si>
  <si>
    <t xml:space="preserve">MUSHAYAVANHU PRETTY</t>
  </si>
  <si>
    <t xml:space="preserve">FARAI NYAMAYARO</t>
  </si>
  <si>
    <t xml:space="preserve">TSAMBATARE GLADYS</t>
  </si>
  <si>
    <t xml:space="preserve">MUPANDAGUTA WILLIUM</t>
  </si>
  <si>
    <t xml:space="preserve">NYANDORO DOROTHY</t>
  </si>
  <si>
    <t xml:space="preserve">RONALD CHINDEDZA</t>
  </si>
  <si>
    <t xml:space="preserve">ISAAC MWAYE</t>
  </si>
  <si>
    <t xml:space="preserve">HOVE ZIVAI</t>
  </si>
  <si>
    <t xml:space="preserve">SGR ASSET REGISTER &amp; DEPRECIATION SCHEDULE</t>
  </si>
  <si>
    <t xml:space="preserve">Fixed asset register with straight-line depreciation, accumulated depreciation and closing net book value.</t>
  </si>
  <si>
    <t xml:space="preserve">Asset ID</t>
  </si>
  <si>
    <t xml:space="preserve">Asset Description</t>
  </si>
  <si>
    <t xml:space="preserve">Category</t>
  </si>
  <si>
    <t xml:space="preserve">Purchase Date</t>
  </si>
  <si>
    <t xml:space="preserve">Cost (USD)</t>
  </si>
  <si>
    <t xml:space="preserve">Residual Value (USD)</t>
  </si>
  <si>
    <t xml:space="preserve">Useful Life (Years)</t>
  </si>
  <si>
    <t xml:space="preserve">Annual Depreciation (USD)</t>
  </si>
  <si>
    <t xml:space="preserve">Accumulated Depreciation (USD)</t>
  </si>
  <si>
    <t xml:space="preserve">Closing NBV (USD)</t>
  </si>
  <si>
    <t xml:space="preserve">COM1</t>
  </si>
  <si>
    <t xml:space="preserve">HP-ELITEBOOK 840 CORE i7</t>
  </si>
  <si>
    <t xml:space="preserve">Laptop</t>
  </si>
  <si>
    <t xml:space="preserve">CH01</t>
  </si>
  <si>
    <t xml:space="preserve">MESH VISITORS CHAIRS</t>
  </si>
  <si>
    <t xml:space="preserve">Office Equipment</t>
  </si>
  <si>
    <t xml:space="preserve">TOTAL ASSET REGISTER</t>
  </si>
  <si>
    <t xml:space="preserve">Depreciation method</t>
  </si>
  <si>
    <t xml:space="preserve">Straight-line</t>
  </si>
  <si>
    <t xml:space="preserve">Depreciation period</t>
  </si>
  <si>
    <t xml:space="preserve">2026/27 reporting year to 31-Aug-2027</t>
  </si>
  <si>
    <t xml:space="preserve">Formula</t>
  </si>
  <si>
    <t xml:space="preserve">(Cost − Residual Value) ÷ Useful Life</t>
  </si>
  <si>
    <t xml:space="preserve">SGR | SUMMER 2026/27 PIPELINE PROJECTION</t>
  </si>
  <si>
    <t xml:space="preserve">Executive high-level view of farmer participation and hectares scheduled for 2026/27 summer season, compared with 2025/26</t>
  </si>
  <si>
    <t xml:space="preserve">HOME</t>
  </si>
  <si>
    <t xml:space="preserve">CLUSTER FARMERS</t>
  </si>
  <si>
    <t xml:space="preserve">PIPELINE PROJECTION</t>
  </si>
  <si>
    <t xml:space="preserve">PRODUCTION</t>
  </si>
  <si>
    <t xml:space="preserve">SUBSCRIPTIONS</t>
  </si>
  <si>
    <t xml:space="preserve">RECOVERY</t>
  </si>
  <si>
    <t xml:space="preserve">REPORTS</t>
  </si>
  <si>
    <t xml:space="preserve">REGISTERED FARMERS-2025/26</t>
  </si>
  <si>
    <t xml:space="preserve">2025/26 FARMERS (UNIQUE)</t>
  </si>
  <si>
    <t xml:space="preserve">FARMER PIPELINE GROWTH</t>
  </si>
  <si>
    <t xml:space="preserve">SORGHUM -2025/26 SUMMER HA</t>
  </si>
  <si>
    <t xml:space="preserve">2026/27 SORGHUM HA</t>
  </si>
  <si>
    <t xml:space="preserve">HA PIPELINE GROWTH</t>
  </si>
  <si>
    <t xml:space="preserve">2025/26 MAIZE HA</t>
  </si>
  <si>
    <t xml:space="preserve">2026/27 MAIZE HA</t>
  </si>
  <si>
    <t xml:space="preserve">SEASON COMPARISON</t>
  </si>
  <si>
    <t xml:space="preserve">METRIC</t>
  </si>
  <si>
    <t xml:space="preserve">2025/26</t>
  </si>
  <si>
    <t xml:space="preserve">2026/27</t>
  </si>
  <si>
    <t xml:space="preserve">CHANGE</t>
  </si>
  <si>
    <t xml:space="preserve">CHANGE %</t>
  </si>
  <si>
    <t xml:space="preserve">Farmers</t>
  </si>
  <si>
    <t xml:space="preserve">More farmers scheduled</t>
  </si>
  <si>
    <t xml:space="preserve">Total hectares</t>
  </si>
  <si>
    <t xml:space="preserve">Larger production pipeline</t>
  </si>
  <si>
    <t xml:space="preserve">Maize hectares</t>
  </si>
  <si>
    <t xml:space="preserve">New maize component</t>
  </si>
  <si>
    <t xml:space="preserve">Sorghum hectares</t>
  </si>
  <si>
    <t xml:space="preserve">Sorghum remains core crop</t>
  </si>
  <si>
    <t xml:space="preserve">2026/27 TARGET CHECK</t>
  </si>
  <si>
    <t xml:space="preserve">CROP</t>
  </si>
  <si>
    <t xml:space="preserve">TARGET HA</t>
  </si>
  <si>
    <t xml:space="preserve">SCHEDULED HA</t>
  </si>
  <si>
    <t xml:space="preserve">GAP/(SURPLUS)</t>
  </si>
  <si>
    <t xml:space="preserve">ACHIEVEMENT</t>
  </si>
  <si>
    <t xml:space="preserve">MAIZE</t>
  </si>
  <si>
    <t xml:space="preserve">GAP TO CLOSE</t>
  </si>
  <si>
    <t xml:space="preserve">SORGHUM</t>
  </si>
  <si>
    <t xml:space="preserve">ON / ABOVE TARGET</t>
  </si>
  <si>
    <t xml:space="preserve">COMBINED</t>
  </si>
  <si>
    <t xml:space="preserve">CLUSTER PIPELINE PROJECTION</t>
  </si>
  <si>
    <t xml:space="preserve">REGISTERED-2026/27</t>
  </si>
  <si>
    <t xml:space="preserve">2025/26 FARMERS</t>
  </si>
  <si>
    <t xml:space="preserve">26/27 FARMERS</t>
  </si>
  <si>
    <t xml:space="preserve">MAIZE HA-2025/26</t>
  </si>
  <si>
    <t xml:space="preserve">MAIZE HA-2026/27</t>
  </si>
  <si>
    <t xml:space="preserve"> SORGHUM -2025/26 HA</t>
  </si>
  <si>
    <t xml:space="preserve">SORGHUM HA-2026/27</t>
  </si>
  <si>
    <t xml:space="preserve">26/27 TOTAL HA</t>
  </si>
  <si>
    <t xml:space="preserve">SHARE OF 26/27 HA</t>
  </si>
  <si>
    <t xml:space="preserve">UNKNOWN</t>
  </si>
  <si>
    <t xml:space="preserve">MOLEEN TO SENT</t>
  </si>
  <si>
    <t xml:space="preserve">BATSIRAYI MAGAYA </t>
  </si>
  <si>
    <t xml:space="preserve">MOLLEN SHOKO</t>
  </si>
  <si>
    <t xml:space="preserve"> BRIAN CHIDAVAENZI</t>
  </si>
  <si>
    <t xml:space="preserve">UNASSIGNED / NO CLUSTER</t>
  </si>
  <si>
    <t xml:space="preserve">TINASHE CHIKONDOWA </t>
  </si>
  <si>
    <t xml:space="preserve">MICHEK PARADZANWA </t>
  </si>
  <si>
    <t xml:space="preserve">NL</t>
  </si>
  <si>
    <t xml:space="preserve">MUMANIKWA MUTIMBA</t>
  </si>
  <si>
    <t xml:space="preserve">FUNGAYI MAKONI</t>
  </si>
  <si>
    <t xml:space="preserve">TAFADZWA MUSIWA</t>
  </si>
  <si>
    <t xml:space="preserve">STANFORD MASHINGAIDZE</t>
  </si>
  <si>
    <t xml:space="preserve">FARMER SUBSCRIPTION DASHBOARD</t>
  </si>
  <si>
    <t xml:space="preserve">Subscription collections, category analysis and monthly performance</t>
  </si>
  <si>
    <t xml:space="preserve">TOTAL REGISTERED</t>
  </si>
  <si>
    <t xml:space="preserve">CATEGORY A (&lt;200 HA)</t>
  </si>
  <si>
    <t xml:space="preserve">CATEGORY B (&gt;=200 HA)</t>
  </si>
  <si>
    <t xml:space="preserve">EXPECTED INCOME</t>
  </si>
  <si>
    <t xml:space="preserve">INCOME RECEIVED</t>
  </si>
  <si>
    <t xml:space="preserve">Expected Income</t>
  </si>
  <si>
    <t xml:space="preserve">Rate</t>
  </si>
  <si>
    <t xml:space="preserve">Hac Size</t>
  </si>
  <si>
    <t xml:space="preserve">Sorgum Hac</t>
  </si>
  <si>
    <t xml:space="preserve">Maize Ha</t>
  </si>
  <si>
    <t xml:space="preserve">% Contribution</t>
  </si>
  <si>
    <t xml:space="preserve">Monthly collections</t>
  </si>
  <si>
    <t xml:space="preserve">Month</t>
  </si>
  <si>
    <t xml:space="preserve">Collections</t>
  </si>
  <si>
    <t xml:space="preserve">Outstanding</t>
  </si>
  <si>
    <t xml:space="preserve">Transactions</t>
  </si>
  <si>
    <t xml:space="preserve">FINANCE DASHBOARD</t>
  </si>
  <si>
    <t xml:space="preserve">Receipt book + expense book + bank reconciliation</t>
  </si>
  <si>
    <t xml:space="preserve">AUGUST TOTAL BANK RECEIPTS</t>
  </si>
  <si>
    <t xml:space="preserve">TOTAL BANK EXPENSES(YTD)</t>
  </si>
  <si>
    <t xml:space="preserve">CLOSING BANK BALANCE</t>
  </si>
  <si>
    <t xml:space="preserve">RECEIPT BOOK COLLECTIONS (YTD)</t>
  </si>
  <si>
    <t xml:space="preserve">RECONCILIATION STATUS</t>
  </si>
  <si>
    <t xml:space="preserve">Monthly cash flow</t>
  </si>
  <si>
    <t xml:space="preserve">Opening</t>
  </si>
  <si>
    <t xml:space="preserve">Receipts</t>
  </si>
  <si>
    <t xml:space="preserve">Expenses</t>
  </si>
  <si>
    <t xml:space="preserve">Closing</t>
  </si>
  <si>
    <t xml:space="preserve">November 2025</t>
  </si>
  <si>
    <t xml:space="preserve">June 2026</t>
  </si>
  <si>
    <t xml:space="preserve">July 2026</t>
  </si>
  <si>
    <t xml:space="preserve">August 2026</t>
  </si>
  <si>
    <t xml:space="preserve">NEW MANAGEMENT ACCOUNTS</t>
  </si>
  <si>
    <t xml:space="preserve">Expense summary</t>
  </si>
  <si>
    <t xml:space="preserve">Amount Paid</t>
  </si>
  <si>
    <t xml:space="preserve">Expense</t>
  </si>
  <si>
    <t xml:space="preserve">SGR 200HA+ CLUB | CLUSTER PERFORMANCE</t>
  </si>
  <si>
    <t xml:space="preserve">Live management view linked directly to DATA_PIPELINE. Update DATA_PIPELINE and recalculate Excel to refresh the performance figures.</t>
  </si>
  <si>
    <t xml:space="preserve">TOTAL CLUSTERS</t>
  </si>
  <si>
    <t xml:space="preserve">TOTAL FARMERS</t>
  </si>
  <si>
    <t xml:space="preserve">TOTAL PIPELINE HA</t>
  </si>
  <si>
    <t xml:space="preserve">CLUSTER NAME</t>
  </si>
  <si>
    <t xml:space="preserve">FARMERS MANAGED</t>
  </si>
  <si>
    <t xml:space="preserve">MAIZE HA 2026/27</t>
  </si>
  <si>
    <t xml:space="preserve">SORGHUM HA 2026/27</t>
  </si>
  <si>
    <t xml:space="preserve">UNPAID</t>
  </si>
  <si>
    <t xml:space="preserve">PAYMENT %</t>
  </si>
  <si>
    <t xml:space="preserve">DISTRICT</t>
  </si>
  <si>
    <t xml:space="preserve">CLUSTER CONTACT</t>
  </si>
  <si>
    <t xml:space="preserve">CONTACT DETAILS</t>
  </si>
  <si>
    <t xml:space="preserve">EXPECTED SUBSCRIPTIONS</t>
  </si>
  <si>
    <t xml:space="preserve">0774798096</t>
  </si>
  <si>
    <t xml:space="preserve">0773868322</t>
  </si>
  <si>
    <t xml:space="preserve">0772714503</t>
  </si>
  <si>
    <t xml:space="preserve">0774346142</t>
  </si>
  <si>
    <t xml:space="preserve">0774117214</t>
  </si>
  <si>
    <t xml:space="preserve">0772960915</t>
  </si>
  <si>
    <t xml:space="preserve">0772854734</t>
  </si>
  <si>
    <t xml:space="preserve">0773650650</t>
  </si>
  <si>
    <t xml:space="preserve">0772587456</t>
  </si>
  <si>
    <t xml:space="preserve">0772927647</t>
  </si>
  <si>
    <t xml:space="preserve">0776511877</t>
  </si>
  <si>
    <t xml:space="preserve">0788360239</t>
  </si>
  <si>
    <t xml:space="preserve">0771528938</t>
  </si>
  <si>
    <t xml:space="preserve">0717589019</t>
  </si>
  <si>
    <t xml:space="preserve">0772399882</t>
  </si>
  <si>
    <t xml:space="preserve">0776607775</t>
  </si>
  <si>
    <t xml:space="preserve">0719976172</t>
  </si>
  <si>
    <t xml:space="preserve">0772333363</t>
  </si>
  <si>
    <t xml:space="preserve">0772690124</t>
  </si>
  <si>
    <t xml:space="preserve">DATA BANK</t>
  </si>
  <si>
    <t xml:space="preserve">OPENING BALANCE</t>
  </si>
  <si>
    <t xml:space="preserve">RECEIPTS / BANK DEPOSITS</t>
  </si>
  <si>
    <t xml:space="preserve">EXPENSES / PAYMENTS</t>
  </si>
  <si>
    <t xml:space="preserve">CLOSING BALANCE</t>
  </si>
  <si>
    <t xml:space="preserve">SOURCE / CHECK</t>
  </si>
  <si>
    <t xml:space="preserve">DIFFERENCE</t>
  </si>
  <si>
    <t xml:space="preserve">Source expense book closing balance</t>
  </si>
  <si>
    <t xml:space="preserve">RECONCILED</t>
  </si>
  <si>
    <t xml:space="preserve">Source expense book bank balance</t>
  </si>
  <si>
    <t xml:space="preserve">September </t>
  </si>
  <si>
    <t xml:space="preserve"> </t>
  </si>
  <si>
    <t xml:space="preserve">SGR SALARY &amp; ALLOWANCES SCHEDULE</t>
  </si>
  <si>
    <t xml:space="preserve">Employee payroll planning schedule covering monthly salary, allowances and annual employment cost.</t>
  </si>
  <si>
    <t xml:space="preserve">Employee ID</t>
  </si>
  <si>
    <t xml:space="preserve">Employee / Position</t>
  </si>
  <si>
    <t xml:space="preserve">Department</t>
  </si>
  <si>
    <t xml:space="preserve">Basic Salary / Month (USD)</t>
  </si>
  <si>
    <t xml:space="preserve">Housing Allowance / Month</t>
  </si>
  <si>
    <t xml:space="preserve">Transport Allowance / Month</t>
  </si>
  <si>
    <t xml:space="preserve">Other Allowance / Month</t>
  </si>
  <si>
    <t xml:space="preserve">Total Monthly Cost (USD)</t>
  </si>
  <si>
    <t xml:space="preserve">Annual Salary Cost (USD)</t>
  </si>
  <si>
    <t xml:space="preserve">Annual Total Employment Cost (USD)</t>
  </si>
  <si>
    <t xml:space="preserve">ADMIN01</t>
  </si>
  <si>
    <t xml:space="preserve">SENIOR ADMINSTRATOR</t>
  </si>
  <si>
    <t xml:space="preserve">FINANCE</t>
  </si>
  <si>
    <t xml:space="preserve">AT01</t>
  </si>
  <si>
    <t xml:space="preserve">INTERN</t>
  </si>
  <si>
    <t xml:space="preserve">TOTAL PAYROLL</t>
  </si>
  <si>
    <t xml:space="preserve">PAYROLL SUMMARY</t>
  </si>
  <si>
    <t xml:space="preserve">Total Basic Salary / Month</t>
  </si>
  <si>
    <t xml:space="preserve">Total Allowances / Month</t>
  </si>
  <si>
    <t xml:space="preserve">Total Monthly Employment Cost</t>
  </si>
  <si>
    <t xml:space="preserve">Total Annual Basic Salary</t>
  </si>
  <si>
    <t xml:space="preserve">Total Annual Employment Cost</t>
  </si>
  <si>
    <t xml:space="preserve">DATA EXPENSES</t>
  </si>
  <si>
    <t xml:space="preserve">EXPENSE / PARTICULARS</t>
  </si>
  <si>
    <t xml:space="preserve">AMOUNT DR</t>
  </si>
  <si>
    <t xml:space="preserve">CREDIT / REIMBURSEMENT</t>
  </si>
  <si>
    <t xml:space="preserve">NET EXPENSE</t>
  </si>
  <si>
    <t xml:space="preserve">5 cows</t>
  </si>
  <si>
    <t xml:space="preserve">Chitepo school if Ideology</t>
  </si>
  <si>
    <t xml:space="preserve">SGR company</t>
  </si>
  <si>
    <t xml:space="preserve">SGR committe meeting Food</t>
  </si>
  <si>
    <t xml:space="preserve">2 x SGR 4m tear drops</t>
  </si>
  <si>
    <t xml:space="preserve">2 x Roll up banners</t>
  </si>
  <si>
    <t xml:space="preserve">Chef Joy 1st meeting</t>
  </si>
  <si>
    <t xml:space="preserve">Chef Joy 2nd event Permsec</t>
  </si>
  <si>
    <t xml:space="preserve">SHRM Strategy payment</t>
  </si>
  <si>
    <t xml:space="preserve">Food Reimbursement</t>
  </si>
  <si>
    <t xml:space="preserve">Chairman Reimbursement</t>
  </si>
  <si>
    <t xml:space="preserve">Mr Mugariri</t>
  </si>
  <si>
    <t xml:space="preserve">Balacing figure</t>
  </si>
  <si>
    <t xml:space="preserve">Rentals-June</t>
  </si>
  <si>
    <t xml:space="preserve">Salary-Allowance</t>
  </si>
  <si>
    <t xml:space="preserve">Transport -Banner</t>
  </si>
  <si>
    <t xml:space="preserve">Transport -Workshop</t>
  </si>
  <si>
    <t xml:space="preserve">Workshop Lunch</t>
  </si>
  <si>
    <t xml:space="preserve">Rentals-July</t>
  </si>
  <si>
    <t xml:space="preserve">Chinhoyi club-Entrace fee</t>
  </si>
  <si>
    <t xml:space="preserve">Liberty Mashura</t>
  </si>
  <si>
    <t xml:space="preserve">Fuel Expense</t>
  </si>
  <si>
    <t xml:space="preserve">Salary -allowance </t>
  </si>
  <si>
    <t xml:space="preserve">Mutibura.bal(500-300)</t>
  </si>
  <si>
    <t xml:space="preserve">Banner</t>
  </si>
  <si>
    <t xml:space="preserve">Transport-Tax Clearance</t>
  </si>
  <si>
    <t xml:space="preserve">Airtime</t>
  </si>
  <si>
    <t xml:space="preserve">Tax Clearance</t>
  </si>
  <si>
    <t xml:space="preserve">Association Registration </t>
  </si>
  <si>
    <t xml:space="preserve">Association Registration -Transport</t>
  </si>
  <si>
    <t xml:space="preserve">Transport Bank card</t>
  </si>
  <si>
    <t xml:space="preserve">indrive transport</t>
  </si>
  <si>
    <t xml:space="preserve">Card charge</t>
  </si>
  <si>
    <t xml:space="preserve">golf club</t>
  </si>
  <si>
    <t xml:space="preserve">bank charge</t>
  </si>
  <si>
    <t xml:space="preserve">IMT charge</t>
  </si>
  <si>
    <t xml:space="preserve">victory farm lunch  (571)</t>
  </si>
  <si>
    <t xml:space="preserve">SGR dinner with nbs bank</t>
  </si>
  <si>
    <t xml:space="preserve">SGR Drinks with nbs executives</t>
  </si>
  <si>
    <t xml:space="preserve">Mutibura -naison balance</t>
  </si>
  <si>
    <t xml:space="preserve">Mutibura reinbursment balance (500)</t>
  </si>
  <si>
    <t xml:space="preserve">Rent</t>
  </si>
  <si>
    <t xml:space="preserve">Nhema</t>
  </si>
  <si>
    <t xml:space="preserve">Diner with Namibian delegation</t>
  </si>
  <si>
    <t xml:space="preserve">New company phones </t>
  </si>
  <si>
    <t xml:space="preserve"> Addition of New Member</t>
  </si>
  <si>
    <t xml:space="preserve">airtime and lines </t>
  </si>
  <si>
    <t xml:space="preserve">stationery </t>
  </si>
  <si>
    <t xml:space="preserve">office laptop </t>
  </si>
  <si>
    <t xml:space="preserve">office chairs </t>
  </si>
  <si>
    <t xml:space="preserve">naison-salary (150) from Mr Mutibura </t>
  </si>
  <si>
    <t xml:space="preserve">Indrive -Stationary-Transport</t>
  </si>
  <si>
    <t xml:space="preserve">tanaka-salary</t>
  </si>
  <si>
    <t xml:space="preserve">Bank charge+withdrawall</t>
  </si>
  <si>
    <t xml:space="preserve">Chakuchichi </t>
  </si>
  <si>
    <t xml:space="preserve">Chinhoyi Workshop-Lunch</t>
  </si>
  <si>
    <t xml:space="preserve">Office Power Adpter</t>
  </si>
  <si>
    <t xml:space="preserve">office Phone Lines</t>
  </si>
  <si>
    <t xml:space="preserve">Boardroom webcamera</t>
  </si>
  <si>
    <t xml:space="preserve">DP -HDMI cable</t>
  </si>
  <si>
    <t xml:space="preserve">Indrive-Transport</t>
  </si>
  <si>
    <t xml:space="preserve">Great wall dinner with Engineer from Ministry of Agric</t>
  </si>
  <si>
    <t xml:space="preserve">SGR PROFIT &amp; LOSS ACCOUNT</t>
  </si>
  <si>
    <t xml:space="preserve">Management P&amp;L for June, July and August 2026, with cumulative June-August totals. Figures are linked to receipts and expense records.</t>
  </si>
  <si>
    <t xml:space="preserve">Particulars</t>
  </si>
  <si>
    <t xml:space="preserve">Jun-Aug Total</t>
  </si>
  <si>
    <t xml:space="preserve">INCOME</t>
  </si>
  <si>
    <t xml:space="preserve">Subscription / Farmer Receipts</t>
  </si>
  <si>
    <t xml:space="preserve">TOTAL INCOME</t>
  </si>
  <si>
    <t xml:space="preserve">OPERATING EXPENSES</t>
  </si>
  <si>
    <t xml:space="preserve">Salaries &amp; Wages</t>
  </si>
  <si>
    <t xml:space="preserve">Rentals</t>
  </si>
  <si>
    <t xml:space="preserve">Meals / Entertainment</t>
  </si>
  <si>
    <t xml:space="preserve">Bank &amp; Transaction Charges</t>
  </si>
  <si>
    <t xml:space="preserve">Office Equipment &amp; Furniture</t>
  </si>
  <si>
    <t xml:space="preserve">Other Operating Expenses</t>
  </si>
  <si>
    <t xml:space="preserve">TOTAL OPERATING EXPENSES</t>
  </si>
  <si>
    <t xml:space="preserve">NET PROFIT / (LOSS)</t>
  </si>
  <si>
    <t xml:space="preserve">Accounting note:</t>
  </si>
  <si>
    <t xml:space="preserve">This management P&amp;L uses recorded cash receipts as income and recorded net expenses as costs. Expense categories are keyword-based from DATA_EXPENSES and should be reviewed for final statutory accounts.</t>
  </si>
  <si>
    <t xml:space="preserve">JUNE-DECEMBER 2026 MANAGEMENT PLANNING</t>
  </si>
  <si>
    <t xml:space="preserve">Period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</si>
  <si>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</si>
  <si>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</si>
  <si>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</si>
  <si>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</si>
  <si>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</si>
  <si>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</si>
  <si>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</si>
  <si>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Salary Expense</t>
  </si>
  <si>
    <t xml:space="preserve">Note</t>
  </si>
  <si>
    <t xml:space="preserve">September-December are planning figures; replace with actuals as incurred.</t>
  </si>
  <si>
    <t xml:space="preserve">SGR BALANCE SHEET</t>
  </si>
  <si>
    <t xml:space="preserve">USD</t>
  </si>
  <si>
    <t xml:space="preserve">ASSETS</t>
  </si>
  <si>
    <t xml:space="preserve">Cash at Bank</t>
  </si>
  <si>
    <t xml:space="preserve">Accounts Receivable – Outstanding Farmer/Subscription Amounts</t>
  </si>
  <si>
    <t xml:space="preserve">Property, Plant &amp; Equipment – Office Equipment</t>
  </si>
  <si>
    <t xml:space="preserve">TOTAL ASSETS</t>
  </si>
  <si>
    <t xml:space="preserve">LIABILITIES</t>
  </si>
  <si>
    <t xml:space="preserve">Accounts Payable / Other Liabilities (input)</t>
  </si>
  <si>
    <t xml:space="preserve">TOTAL LIABILITIES</t>
  </si>
  <si>
    <t xml:space="preserve">EQUITY</t>
  </si>
  <si>
    <t xml:space="preserve">Retained Earnings – Cumulative Profit/(Loss) to 31 Aug 2026</t>
  </si>
  <si>
    <t xml:space="preserve">Opening / Contributed Capital (derived)</t>
  </si>
  <si>
    <t xml:space="preserve">TOTAL EQUITY</t>
  </si>
  <si>
    <t xml:space="preserve">TOTAL LIABILITIES + EQUITY</t>
  </si>
  <si>
    <t xml:space="preserve">BALANCE CHECK</t>
  </si>
  <si>
    <t xml:space="preserve">Important:</t>
  </si>
  <si>
    <t xml:space="preserve">Accounts payable/liabilities are currently set to USD 0 because no separate payable ledger is present in the workbook. Replace B14 with confirmed liabilities when available. Opening/contributed capital in B19 is a derived balancing figure and should be replaced with the verified capital/shareholder balance once available.</t>
  </si>
  <si>
    <t xml:space="preserve">INPUT DEBT RECOVERY</t>
  </si>
  <si>
    <t xml:space="preserve">FARMER ID</t>
  </si>
  <si>
    <t xml:space="preserve">CONTRACTED HA</t>
  </si>
  <si>
    <t xml:space="preserve">ARDA GRAND TOTAL</t>
  </si>
  <si>
    <t xml:space="preserve">ARDA Balance Claimed</t>
  </si>
  <si>
    <t xml:space="preserve">ARDA BAL</t>
  </si>
  <si>
    <t xml:space="preserve">SGR Balance Recorded</t>
  </si>
  <si>
    <t xml:space="preserve">SGR vs ARDA Difference</t>
  </si>
  <si>
    <t xml:space="preserve">GRAIN RECOVERY TONNES</t>
  </si>
  <si>
    <t xml:space="preserve">GRAIN DELIVERED TONNES</t>
  </si>
  <si>
    <t xml:space="preserve">OUTSTANDING TONNES</t>
  </si>
  <si>
    <t xml:space="preserve">BEHANE FLORENCE</t>
  </si>
  <si>
    <t xml:space="preserve">63-676409-M-39</t>
  </si>
  <si>
    <t xml:space="preserve">DAIZY FARM</t>
  </si>
  <si>
    <t xml:space="preserve">TAKAVADA KELVIN</t>
  </si>
  <si>
    <t xml:space="preserve">86-053962-P-22</t>
  </si>
  <si>
    <t xml:space="preserve">UNIT 40 COBEN ESTATES</t>
  </si>
  <si>
    <t xml:space="preserve">ZINYOWERA  DONALD</t>
  </si>
  <si>
    <t xml:space="preserve">63-259741-M-24</t>
  </si>
  <si>
    <t xml:space="preserve">AVOG 8 A COBURN ESTSTES</t>
  </si>
  <si>
    <t xml:space="preserve">MUNEMO MOSES</t>
  </si>
  <si>
    <t xml:space="preserve">63-431627-V-25</t>
  </si>
  <si>
    <t xml:space="preserve">COBEAN STATES</t>
  </si>
  <si>
    <t xml:space="preserve">GORORO HARROED</t>
  </si>
  <si>
    <t xml:space="preserve">63-202346-B-25</t>
  </si>
  <si>
    <t xml:space="preserve">COBEAN ESTATE</t>
  </si>
  <si>
    <t xml:space="preserve">MATHUTHU  FUNNY</t>
  </si>
  <si>
    <t xml:space="preserve">29-075854-N-21</t>
  </si>
  <si>
    <t xml:space="preserve">43 COBEAN ESTATE</t>
  </si>
  <si>
    <t xml:space="preserve">MKWENA CAUL</t>
  </si>
  <si>
    <t xml:space="preserve">70-2000429-T-04</t>
  </si>
  <si>
    <t xml:space="preserve">CHIKAGO FARM</t>
  </si>
  <si>
    <t xml:space="preserve">JANDELES VALERIE</t>
  </si>
  <si>
    <t xml:space="preserve">63-708750-Q-00</t>
  </si>
  <si>
    <t xml:space="preserve">25 COBEAN ESTATE</t>
  </si>
  <si>
    <t xml:space="preserve">MOYO CHARLES</t>
  </si>
  <si>
    <t xml:space="preserve">29-062067-C-21</t>
  </si>
  <si>
    <t xml:space="preserve">FAUN FARM PLOT 1</t>
  </si>
  <si>
    <t xml:space="preserve">CHIKOMWE SHINE </t>
  </si>
  <si>
    <t xml:space="preserve">38-047571-E-38</t>
  </si>
  <si>
    <t xml:space="preserve">BURNBANK FARM</t>
  </si>
  <si>
    <t xml:space="preserve">MUSWEHAURARI CHIPO</t>
  </si>
  <si>
    <t xml:space="preserve">42-144968-X-42</t>
  </si>
  <si>
    <t xml:space="preserve">MUDAVANHU FARM CHEGUTU</t>
  </si>
  <si>
    <t xml:space="preserve">MUDAVANHU D</t>
  </si>
  <si>
    <t xml:space="preserve">27-165809-C-03</t>
  </si>
  <si>
    <t xml:space="preserve">SIVUNDAZI FAM</t>
  </si>
  <si>
    <t xml:space="preserve">MUJURU D</t>
  </si>
  <si>
    <t xml:space="preserve">63-948959-M-80</t>
  </si>
  <si>
    <t xml:space="preserve">PLOT 4 JAMAICA FARM</t>
  </si>
  <si>
    <t xml:space="preserve">GORA DOCAS</t>
  </si>
  <si>
    <t xml:space="preserve">32-188882-P-26</t>
  </si>
  <si>
    <t xml:space="preserve">MANYAWU E.T</t>
  </si>
  <si>
    <t xml:space="preserve">63-817650-K-50</t>
  </si>
  <si>
    <t xml:space="preserve">HIPPOVALE FARM PLOT 5</t>
  </si>
  <si>
    <t xml:space="preserve">MAVUNGA COMBOSI S</t>
  </si>
  <si>
    <t xml:space="preserve">08-285801-E-32</t>
  </si>
  <si>
    <t xml:space="preserve">THE GROOVE FARM 1</t>
  </si>
  <si>
    <t xml:space="preserve">63736189-Q-80</t>
  </si>
  <si>
    <t xml:space="preserve">-   </t>
  </si>
  <si>
    <t xml:space="preserve">CLEARED</t>
  </si>
  <si>
    <t xml:space="preserve">2 AQUARUS FARM GADZEMA</t>
  </si>
  <si>
    <t xml:space="preserve">MWAMLOWE OLIVIA</t>
  </si>
  <si>
    <t xml:space="preserve">24066249-Q-85</t>
  </si>
  <si>
    <t xml:space="preserve">PLOT 3 HUNYANI ETSTATE NORTON</t>
  </si>
  <si>
    <t xml:space="preserve">MUTIWASEKWA ITAI</t>
  </si>
  <si>
    <t xml:space="preserve">32088464-P-44</t>
  </si>
  <si>
    <t xml:space="preserve">KADZOMBE TRUST</t>
  </si>
  <si>
    <t xml:space="preserve">32-123646-F-71</t>
  </si>
  <si>
    <t xml:space="preserve">BULLFIELD FARM</t>
  </si>
  <si>
    <t xml:space="preserve">29-114199-S-66</t>
  </si>
  <si>
    <t xml:space="preserve">COBUN ESTATE</t>
  </si>
  <si>
    <t xml:space="preserve">MUBWANDARIKWA K</t>
  </si>
  <si>
    <t xml:space="preserve">18-064080-T-27</t>
  </si>
  <si>
    <t xml:space="preserve">RUDOLPHIA</t>
  </si>
  <si>
    <t xml:space="preserve">BIKA FARAYI WILFRED</t>
  </si>
  <si>
    <t xml:space="preserve">63-701839-D-25</t>
  </si>
  <si>
    <t xml:space="preserve">SPRINGS FARM</t>
  </si>
  <si>
    <t xml:space="preserve">CHIKOMO UNICO</t>
  </si>
  <si>
    <t xml:space="preserve">63-1438243-Q-75</t>
  </si>
  <si>
    <t xml:space="preserve">ZPCS FARM</t>
  </si>
  <si>
    <t xml:space="preserve">KAROI PRISONS</t>
  </si>
  <si>
    <t xml:space="preserve">71-051668-Y-71</t>
  </si>
  <si>
    <t xml:space="preserve">SENCEGAL , TENGWE</t>
  </si>
  <si>
    <t xml:space="preserve">CHIREMBA S TAFADZWA</t>
  </si>
  <si>
    <t xml:space="preserve">63-1563144-C-07</t>
  </si>
  <si>
    <t xml:space="preserve">RAUUNMADE</t>
  </si>
  <si>
    <t xml:space="preserve">MUDZVITI TECLA</t>
  </si>
  <si>
    <t xml:space="preserve">83-116229-B-83</t>
  </si>
  <si>
    <t xml:space="preserve">PUMULA FARM MAGUNJE</t>
  </si>
  <si>
    <t xml:space="preserve">CHAERUKA ANOLD</t>
  </si>
  <si>
    <t xml:space="preserve">75-157910-E-75</t>
  </si>
  <si>
    <t xml:space="preserve">PELELE FARM PLOT 11</t>
  </si>
  <si>
    <t xml:space="preserve">GOMBE TENDAI</t>
  </si>
  <si>
    <t xml:space="preserve">38-218039-W-70</t>
  </si>
  <si>
    <t xml:space="preserve">CHOYAMBA</t>
  </si>
  <si>
    <t xml:space="preserve">MUJENGE TONGAI</t>
  </si>
  <si>
    <t xml:space="preserve">71-072373-D-38</t>
  </si>
  <si>
    <t xml:space="preserve">MARNI MULICHI</t>
  </si>
  <si>
    <t xml:space="preserve">GATSI MARIAN</t>
  </si>
  <si>
    <t xml:space="preserve">66-025163-F-12</t>
  </si>
  <si>
    <t xml:space="preserve">PLOT 10 BALLANEETTY FARM NYABIRA</t>
  </si>
  <si>
    <t xml:space="preserve">JINYA JEFFREY</t>
  </si>
  <si>
    <t xml:space="preserve">70-135325-Y-71</t>
  </si>
  <si>
    <t xml:space="preserve">PLOT KIPPOCK FARM KAROI</t>
  </si>
  <si>
    <t xml:space="preserve">NJOVANA TANAKA WONDER</t>
  </si>
  <si>
    <t xml:space="preserve">38-251446-H-66</t>
  </si>
  <si>
    <t xml:space="preserve">NEBO FARM </t>
  </si>
  <si>
    <t xml:space="preserve">ISAH RABEEAH M</t>
  </si>
  <si>
    <t xml:space="preserve">63-3216103-X-70</t>
  </si>
  <si>
    <t xml:space="preserve">PLOT 1 RIDGES EASTER PARADE</t>
  </si>
  <si>
    <t xml:space="preserve">MUSIIWA ALEXIS</t>
  </si>
  <si>
    <t xml:space="preserve">02-2000881-A-05</t>
  </si>
  <si>
    <t xml:space="preserve">GOOD HOPE PLOT 27</t>
  </si>
  <si>
    <t xml:space="preserve">HURUNGWE FARMERS ASSOCIA</t>
  </si>
  <si>
    <t xml:space="preserve">38-115839-J-38</t>
  </si>
  <si>
    <t xml:space="preserve">COMSTON PLOT 5 KAROI</t>
  </si>
  <si>
    <t xml:space="preserve">BURANDA MOSES</t>
  </si>
  <si>
    <t xml:space="preserve">18045704B18</t>
  </si>
  <si>
    <t xml:space="preserve">Cornstone Farm Subdivision 5</t>
  </si>
  <si>
    <t xml:space="preserve">MWANDITANI PATRICIA</t>
  </si>
  <si>
    <t xml:space="preserve">38140258B66</t>
  </si>
  <si>
    <t xml:space="preserve">Naba Estate(A2) Plot 2</t>
  </si>
  <si>
    <t xml:space="preserve">IMBAYAGO NYARADZO</t>
  </si>
  <si>
    <t xml:space="preserve">24043532R12</t>
  </si>
  <si>
    <t xml:space="preserve">Cornstone Farm Plot 7 Karoi</t>
  </si>
  <si>
    <t xml:space="preserve">MILONDE ADAM</t>
  </si>
  <si>
    <t xml:space="preserve">38-095779-E-38</t>
  </si>
  <si>
    <t xml:space="preserve">MYLERN FARM , Karoi</t>
  </si>
  <si>
    <t xml:space="preserve">MASHORE LENON</t>
  </si>
  <si>
    <t xml:space="preserve">38-140239-F-70</t>
  </si>
  <si>
    <t xml:space="preserve">MUZEZEWA SHEPARD</t>
  </si>
  <si>
    <t xml:space="preserve">38-059005-H-38</t>
  </si>
  <si>
    <t xml:space="preserve">MARIMO DENNY TAPIWA</t>
  </si>
  <si>
    <t xml:space="preserve">38-175475-F-38</t>
  </si>
  <si>
    <t xml:space="preserve">MAKOROKOTO</t>
  </si>
  <si>
    <t xml:space="preserve">MASENDA TAPIWA</t>
  </si>
  <si>
    <t xml:space="preserve">63-2080208-D-80</t>
  </si>
  <si>
    <t xml:space="preserve">NYAMANDA FARM, KAROI</t>
  </si>
  <si>
    <t xml:space="preserve">NHEMA TAKUNDA</t>
  </si>
  <si>
    <t xml:space="preserve">29-198307-P-66</t>
  </si>
  <si>
    <t xml:space="preserve">DOUNE FARM, Marondera</t>
  </si>
  <si>
    <t xml:space="preserve">KANETA NACY</t>
  </si>
  <si>
    <t xml:space="preserve">58-057835-R-44</t>
  </si>
  <si>
    <t xml:space="preserve">ITAFA FARM , CTC</t>
  </si>
  <si>
    <t xml:space="preserve">CHIWERA BLESSING</t>
  </si>
  <si>
    <t xml:space="preserve">18-088449-G-18</t>
  </si>
  <si>
    <t xml:space="preserve">PLOT 14 RAILWAY FARM</t>
  </si>
  <si>
    <t xml:space="preserve">MACHIYA TAKUNDA</t>
  </si>
  <si>
    <t xml:space="preserve">24-181927-C22</t>
  </si>
  <si>
    <t xml:space="preserve">COMBE FARM KADOMA</t>
  </si>
  <si>
    <t xml:space="preserve">JAMELA BEATRICE</t>
  </si>
  <si>
    <t xml:space="preserve">24-097588-E-24</t>
  </si>
  <si>
    <t xml:space="preserve">32-090877-M-24</t>
  </si>
  <si>
    <t xml:space="preserve">KADOMA PRISON FARM</t>
  </si>
  <si>
    <t xml:space="preserve">KADOMA  PRISSONS</t>
  </si>
  <si>
    <t xml:space="preserve">32-065804-J-26</t>
  </si>
  <si>
    <t xml:space="preserve">CHIMUSENGA FARM</t>
  </si>
  <si>
    <t xml:space="preserve">MUTARA COMMENT T</t>
  </si>
  <si>
    <t xml:space="preserve">24-162440-W-07</t>
  </si>
  <si>
    <t xml:space="preserve">GUMA FARM</t>
  </si>
  <si>
    <t xml:space="preserve">NYAMAYARO FARAI</t>
  </si>
  <si>
    <t xml:space="preserve">25-046225-G-25</t>
  </si>
  <si>
    <t xml:space="preserve">TEVERED PLOT 14</t>
  </si>
  <si>
    <t xml:space="preserve">63-1186544-E-38</t>
  </si>
  <si>
    <t xml:space="preserve">DEVIDE PLOT 3</t>
  </si>
  <si>
    <t xml:space="preserve">MUSIYIWA TAFADZWA</t>
  </si>
  <si>
    <t xml:space="preserve">70-217393-C-70</t>
  </si>
  <si>
    <t xml:space="preserve">PETROUSWILE PLOT 14, DOMA</t>
  </si>
  <si>
    <t xml:space="preserve">MASHAVAVE SIMBARASHE</t>
  </si>
  <si>
    <t xml:space="preserve">63-722130-J-66</t>
  </si>
  <si>
    <t xml:space="preserve">OLD CITRUS FARM</t>
  </si>
  <si>
    <t xml:space="preserve">MAGAYA WEBSTER</t>
  </si>
  <si>
    <t xml:space="preserve">86-2003688-E-70</t>
  </si>
  <si>
    <t xml:space="preserve">ROSSETA FARM 16 , DOMA</t>
  </si>
  <si>
    <t xml:space="preserve">CHIKONDOWA TINASHE </t>
  </si>
  <si>
    <t xml:space="preserve">29-156984-Y-07</t>
  </si>
  <si>
    <t xml:space="preserve">LEADHILLS FARM , LIONS DEN</t>
  </si>
  <si>
    <t xml:space="preserve">PIRIRAI CHIPO BLESSING</t>
  </si>
  <si>
    <t xml:space="preserve">59-055920-R-38</t>
  </si>
  <si>
    <t xml:space="preserve">LIONDEN FARM , ALASKA</t>
  </si>
  <si>
    <t xml:space="preserve">HINZE KORNELL</t>
  </si>
  <si>
    <t xml:space="preserve">70-089062-M-00</t>
  </si>
  <si>
    <t xml:space="preserve">HIGHBERRY FARM</t>
  </si>
  <si>
    <t xml:space="preserve">DENHERE SHONHAYI</t>
  </si>
  <si>
    <t xml:space="preserve">63-576825T-77</t>
  </si>
  <si>
    <t xml:space="preserve">HIGHBERRY FARM </t>
  </si>
  <si>
    <t xml:space="preserve">MUREFU LAHLIWE</t>
  </si>
  <si>
    <t xml:space="preserve">08-506842-R-43</t>
  </si>
  <si>
    <t xml:space="preserve">PLATEAU FARM PLOT 64</t>
  </si>
  <si>
    <t xml:space="preserve">MATURA HERALD</t>
  </si>
  <si>
    <t xml:space="preserve">08-567298-E-48</t>
  </si>
  <si>
    <t xml:space="preserve">CHIYANGWA BRUCE</t>
  </si>
  <si>
    <t xml:space="preserve">63-2063267-P-70</t>
  </si>
  <si>
    <t xml:space="preserve">ROSSETA FARM 22, Doma</t>
  </si>
  <si>
    <t xml:space="preserve">CHIKONDOWA TINEVIMBO</t>
  </si>
  <si>
    <t xml:space="preserve">70-216775-V-07</t>
  </si>
  <si>
    <t xml:space="preserve">CLENT FARM, PORTLET</t>
  </si>
  <si>
    <t xml:space="preserve">38-136292-Q-38</t>
  </si>
  <si>
    <t xml:space="preserve">MUCHERENGI FARM 13 , Mhangura</t>
  </si>
  <si>
    <t xml:space="preserve">SEFU MOFFAT</t>
  </si>
  <si>
    <t xml:space="preserve">63-1215791-Y-38</t>
  </si>
  <si>
    <t xml:space="preserve">PIRINGANI FARM , Mangura</t>
  </si>
  <si>
    <t xml:space="preserve">ZVOBGO DAN MAGWENZI</t>
  </si>
  <si>
    <t xml:space="preserve">63-748865-T-22</t>
  </si>
  <si>
    <t xml:space="preserve">UMVUMI FARM , Doma</t>
  </si>
  <si>
    <t xml:space="preserve">14-197494-H-54</t>
  </si>
  <si>
    <t xml:space="preserve">STAILINGVALE , Mhangura</t>
  </si>
  <si>
    <t xml:space="preserve">FOBS MAODZWA</t>
  </si>
  <si>
    <t xml:space="preserve">15-139390-h-15</t>
  </si>
  <si>
    <t xml:space="preserve">SHEEPRIDGE FARM ,</t>
  </si>
  <si>
    <t xml:space="preserve">CHIDARIKIRE GAMUCHIRAI</t>
  </si>
  <si>
    <t xml:space="preserve">70-248534-B-32</t>
  </si>
  <si>
    <t xml:space="preserve">SCAFFEL</t>
  </si>
  <si>
    <t xml:space="preserve">MUNYEBA PARADZAI</t>
  </si>
  <si>
    <t xml:space="preserve">70-125696-J-70</t>
  </si>
  <si>
    <t xml:space="preserve">KANAMI ALASKA</t>
  </si>
  <si>
    <t xml:space="preserve">SHIKITA B TENDAI</t>
  </si>
  <si>
    <t xml:space="preserve">63-1111302-V-75</t>
  </si>
  <si>
    <t xml:space="preserve">SHEEPRIDGE FARM</t>
  </si>
  <si>
    <t xml:space="preserve">MADA PRINCE</t>
  </si>
  <si>
    <t xml:space="preserve">70-224430-B-04</t>
  </si>
  <si>
    <t xml:space="preserve">MATARUTSE PETER</t>
  </si>
  <si>
    <t xml:space="preserve">22-029770-B-83</t>
  </si>
  <si>
    <t xml:space="preserve">WOELWEHOEK</t>
  </si>
  <si>
    <t xml:space="preserve">BENHURA CHANDAIDA DIDMUS</t>
  </si>
  <si>
    <t xml:space="preserve">68-034449-M-42</t>
  </si>
  <si>
    <t xml:space="preserve">SPRING FARM</t>
  </si>
  <si>
    <t xml:space="preserve">MLISWA THEMBA</t>
  </si>
  <si>
    <t xml:space="preserve">63-821381-Q-66</t>
  </si>
  <si>
    <t xml:space="preserve">MHANGURA</t>
  </si>
  <si>
    <t xml:space="preserve">04-131844-J-83</t>
  </si>
  <si>
    <t xml:space="preserve">MSINA FARM , MTUNZI</t>
  </si>
  <si>
    <t xml:space="preserve">DZARAMBA TATENDA</t>
  </si>
  <si>
    <t xml:space="preserve">70-2033630-G-70</t>
  </si>
  <si>
    <t xml:space="preserve">TSWANDAZWA FARM</t>
  </si>
  <si>
    <t xml:space="preserve">MUZAMBINDO DANIEL</t>
  </si>
  <si>
    <t xml:space="preserve">29-032540-H18</t>
  </si>
  <si>
    <t xml:space="preserve">PORTLET ESTATE , CHITOMBORWIZI</t>
  </si>
  <si>
    <t xml:space="preserve">MAGWADA PENIKATI </t>
  </si>
  <si>
    <t xml:space="preserve">15-007643-E-15</t>
  </si>
  <si>
    <t xml:space="preserve">TREELANDS FARM , MHANGURA</t>
  </si>
  <si>
    <t xml:space="preserve">GWESHE WONDER</t>
  </si>
  <si>
    <t xml:space="preserve">63-470729-X-26</t>
  </si>
  <si>
    <t xml:space="preserve">CHIRIDZA FARM</t>
  </si>
  <si>
    <t xml:space="preserve">NGIRAZI OBERT</t>
  </si>
  <si>
    <t xml:space="preserve">07-071953-E-07</t>
  </si>
  <si>
    <t xml:space="preserve">TASA FARM , CHIMUSENGA</t>
  </si>
  <si>
    <t xml:space="preserve">70-084715-M-70</t>
  </si>
  <si>
    <t xml:space="preserve">LONGWOOD FARM , DARWENDALE</t>
  </si>
  <si>
    <t xml:space="preserve">ZIYAMBI ZIYAMBI</t>
  </si>
  <si>
    <t xml:space="preserve">32-084159-K-70</t>
  </si>
  <si>
    <t xml:space="preserve">CHIMUSENGA FARM , Victory</t>
  </si>
  <si>
    <t xml:space="preserve">KAFINYA SIMBARASHE</t>
  </si>
  <si>
    <t xml:space="preserve">70-244486-B-70</t>
  </si>
  <si>
    <t xml:space="preserve">GLEN VIEW FARM , MHANGURA</t>
  </si>
  <si>
    <t xml:space="preserve">MATIYENGA MUNYARADZI</t>
  </si>
  <si>
    <t xml:space="preserve">70-108906-G-70</t>
  </si>
  <si>
    <t xml:space="preserve">MUCHERENGI FARM</t>
  </si>
  <si>
    <t xml:space="preserve">MUTANGA NYARADZAI DOREEN</t>
  </si>
  <si>
    <t xml:space="preserve">70-211203-Z-86</t>
  </si>
  <si>
    <t xml:space="preserve">ENDEAVOR FARM , Mucherengi</t>
  </si>
  <si>
    <t xml:space="preserve">MANGOMBE FARAI </t>
  </si>
  <si>
    <t xml:space="preserve">63-442750-K-38</t>
  </si>
  <si>
    <t xml:space="preserve">NASSAU FARM , Lions Den</t>
  </si>
  <si>
    <t xml:space="preserve">GWANZURA MUBAIRO SHASHA</t>
  </si>
  <si>
    <t xml:space="preserve">38-049719-P-38</t>
  </si>
  <si>
    <t xml:space="preserve">RIXON RANGE FARM , MHANGURA</t>
  </si>
  <si>
    <t xml:space="preserve">CHIWADE BETTY</t>
  </si>
  <si>
    <t xml:space="preserve">70-082150-Z-70</t>
  </si>
  <si>
    <t xml:space="preserve">GYPPSLANDER FARM</t>
  </si>
  <si>
    <t xml:space="preserve">MAREGERE TIMOTHY</t>
  </si>
  <si>
    <t xml:space="preserve">12-001446-Z-22</t>
  </si>
  <si>
    <t xml:space="preserve">KOSSANA FARM , </t>
  </si>
  <si>
    <t xml:space="preserve">CHIMBANGU CHAMUNORWA</t>
  </si>
  <si>
    <t xml:space="preserve">70-125085-S-71</t>
  </si>
  <si>
    <t xml:space="preserve">MWANASA TAKESURE</t>
  </si>
  <si>
    <t xml:space="preserve">70-153293-D-44</t>
  </si>
  <si>
    <t xml:space="preserve">CHISHAMISO OBERT</t>
  </si>
  <si>
    <t xml:space="preserve">70-145824-K-70</t>
  </si>
  <si>
    <t xml:space="preserve">AVONDALE FARM , LIONS DEN</t>
  </si>
  <si>
    <t xml:space="preserve">MHLANGA JOSIAH</t>
  </si>
  <si>
    <t xml:space="preserve">58015120-M-23</t>
  </si>
  <si>
    <t xml:space="preserve">ARMIDALE FARM, LOT 1, CHINHOYI</t>
  </si>
  <si>
    <t xml:space="preserve">VAMBE PAULINE</t>
  </si>
  <si>
    <t xml:space="preserve">38-028694-L-38</t>
  </si>
  <si>
    <t xml:space="preserve">KENILWORTHY FARM</t>
  </si>
  <si>
    <t xml:space="preserve">RANSOM MADZIVA NHERERA</t>
  </si>
  <si>
    <t xml:space="preserve">22-117262-B-22</t>
  </si>
  <si>
    <t xml:space="preserve">WILDEN FARN</t>
  </si>
  <si>
    <t xml:space="preserve">KUNDISHORA KUDAKWASHE</t>
  </si>
  <si>
    <t xml:space="preserve">70-237130-F-38</t>
  </si>
  <si>
    <t xml:space="preserve">ROMSEY FARM</t>
  </si>
  <si>
    <t xml:space="preserve">MAGONDE ISHMAEL</t>
  </si>
  <si>
    <t xml:space="preserve">70-218261-W-70</t>
  </si>
  <si>
    <t xml:space="preserve">CHIRIDZA FARM PLOT 4</t>
  </si>
  <si>
    <t xml:space="preserve">SEFU PROSPER</t>
  </si>
  <si>
    <t xml:space="preserve">63-1337376-C-38</t>
  </si>
  <si>
    <t xml:space="preserve">DELAROSA PLOT 23 MHANGURA</t>
  </si>
  <si>
    <t xml:space="preserve">FOBO EDMORE</t>
  </si>
  <si>
    <t xml:space="preserve">15-118397-P-45</t>
  </si>
  <si>
    <t xml:space="preserve">HILRISE FARM PLOT 5</t>
  </si>
  <si>
    <t xml:space="preserve">KWASHIRA LEONARD</t>
  </si>
  <si>
    <t xml:space="preserve">63-875029-D-66</t>
  </si>
  <si>
    <t xml:space="preserve">CHIZASI FARM</t>
  </si>
  <si>
    <t xml:space="preserve">VANHUVAONE LOVEMORE P</t>
  </si>
  <si>
    <t xml:space="preserve">04-12137-T-04</t>
  </si>
  <si>
    <t xml:space="preserve">MANGAMWA FARM</t>
  </si>
  <si>
    <t xml:space="preserve">MUBAIWA NDUDZA ALBERT</t>
  </si>
  <si>
    <t xml:space="preserve">07-145390-C-07</t>
  </si>
  <si>
    <t xml:space="preserve">GYPSLANDER FARM 7</t>
  </si>
  <si>
    <t xml:space="preserve">MANYEPA JOHN</t>
  </si>
  <si>
    <t xml:space="preserve">70-273836-D-38</t>
  </si>
  <si>
    <t xml:space="preserve">SOLVANG FARM</t>
  </si>
  <si>
    <t xml:space="preserve">MUDONDO AGRIPPER</t>
  </si>
  <si>
    <t xml:space="preserve">63-260149-F-26</t>
  </si>
  <si>
    <t xml:space="preserve">NHARA SIMBARASHE TAWIPA</t>
  </si>
  <si>
    <t xml:space="preserve">63-1183234-G-32</t>
  </si>
  <si>
    <t xml:space="preserve">NATALIA FARM</t>
  </si>
  <si>
    <t xml:space="preserve">KWARAMBA TINONTENDA K</t>
  </si>
  <si>
    <t xml:space="preserve">70-252720-B-05</t>
  </si>
  <si>
    <t xml:space="preserve">CHITIYO MELODY MWALE</t>
  </si>
  <si>
    <t xml:space="preserve">70-147066-K-70</t>
  </si>
  <si>
    <t xml:space="preserve">BORN ACCOBS FARM</t>
  </si>
  <si>
    <t xml:space="preserve">DENGA PINIEL</t>
  </si>
  <si>
    <t xml:space="preserve">18-043027-K-18</t>
  </si>
  <si>
    <t xml:space="preserve">NYAMAKARI FARM</t>
  </si>
  <si>
    <t xml:space="preserve">MUNYORO MAINSEED</t>
  </si>
  <si>
    <t xml:space="preserve">15-039104-B-15</t>
  </si>
  <si>
    <t xml:space="preserve">TWO TREE FARM</t>
  </si>
  <si>
    <t xml:space="preserve">MANYENGAVANA DAVID</t>
  </si>
  <si>
    <t xml:space="preserve">70-088292-A-75</t>
  </si>
  <si>
    <t xml:space="preserve">HIGHBERRY ESTATE</t>
  </si>
  <si>
    <t xml:space="preserve">NYAMAYARO WENCESLAS</t>
  </si>
  <si>
    <t xml:space="preserve">25-022052-G-25</t>
  </si>
  <si>
    <t xml:space="preserve">PLOT 21 CHIPINGABADZA FARM</t>
  </si>
  <si>
    <t xml:space="preserve">NYIKA ONIUS</t>
  </si>
  <si>
    <t xml:space="preserve">26-082266-N-26</t>
  </si>
  <si>
    <t xml:space="preserve">PLOT 11 CHAPMAN FARM</t>
  </si>
  <si>
    <t xml:space="preserve">MUKWACHA PETER</t>
  </si>
  <si>
    <t xml:space="preserve">67-028407-N-27</t>
  </si>
  <si>
    <t xml:space="preserve">PLOT 16 TSVANZVA FARM</t>
  </si>
  <si>
    <t xml:space="preserve">MUNYONGA FUNNY</t>
  </si>
  <si>
    <t xml:space="preserve">70-042167-P-38</t>
  </si>
  <si>
    <t xml:space="preserve">KOSSANA FARM LOT 3</t>
  </si>
  <si>
    <t xml:space="preserve">PAMIRE BENJAMIN</t>
  </si>
  <si>
    <t xml:space="preserve">26-085372-P-26</t>
  </si>
  <si>
    <t xml:space="preserve">KASUSU GODKNOWS</t>
  </si>
  <si>
    <t xml:space="preserve">86-043996-G-45</t>
  </si>
  <si>
    <t xml:space="preserve">KOSSANA FARM</t>
  </si>
  <si>
    <t xml:space="preserve">ZHOU BRIGHTON</t>
  </si>
  <si>
    <t xml:space="preserve">08-269848-P-03</t>
  </si>
  <si>
    <t xml:space="preserve">NYAMUFANA GIFT</t>
  </si>
  <si>
    <t xml:space="preserve">86-071829-K-71</t>
  </si>
  <si>
    <t xml:space="preserve">CHIPINGABADZA FARM</t>
  </si>
  <si>
    <t xml:space="preserve">MAVHURA NATMORE</t>
  </si>
  <si>
    <t xml:space="preserve">48-019614-G-71</t>
  </si>
  <si>
    <t xml:space="preserve">MARAVANYIKA F</t>
  </si>
  <si>
    <t xml:space="preserve">29-060676-Q-03</t>
  </si>
  <si>
    <t xml:space="preserve">MAKURIRA Z</t>
  </si>
  <si>
    <t xml:space="preserve">26-047758-E-26</t>
  </si>
  <si>
    <t xml:space="preserve">MUKANDIWA G</t>
  </si>
  <si>
    <t xml:space="preserve">63-326533 M 71</t>
  </si>
  <si>
    <t xml:space="preserve">MAVHURA ENOS</t>
  </si>
  <si>
    <t xml:space="preserve">48-019614 G 71</t>
  </si>
  <si>
    <t xml:space="preserve">PLOT 2 TEVRED FARM DOMA</t>
  </si>
  <si>
    <t xml:space="preserve">MABADA A</t>
  </si>
  <si>
    <t xml:space="preserve">26-114753-A-26</t>
  </si>
  <si>
    <t xml:space="preserve">PLOT 6 CHIPINGABADZA</t>
  </si>
  <si>
    <t xml:space="preserve">IMBAYAGO B</t>
  </si>
  <si>
    <t xml:space="preserve">26-039901-P-26</t>
  </si>
  <si>
    <t xml:space="preserve">PLOT 55 KOSSANA FARM</t>
  </si>
  <si>
    <t xml:space="preserve">KENI GOLDMAN</t>
  </si>
  <si>
    <t xml:space="preserve">63-323365-X-71</t>
  </si>
  <si>
    <t xml:space="preserve">PLOT 20 KOISSANA FARM</t>
  </si>
  <si>
    <t xml:space="preserve">MUZEYA O</t>
  </si>
  <si>
    <t xml:space="preserve">63-965438-Z-70</t>
  </si>
  <si>
    <t xml:space="preserve">MABHEURA T</t>
  </si>
  <si>
    <t xml:space="preserve">38-149944-E-38</t>
  </si>
  <si>
    <t xml:space="preserve">PLOT 19 KOSSANA FARM</t>
  </si>
  <si>
    <t xml:space="preserve">SAMANYANGA E</t>
  </si>
  <si>
    <t xml:space="preserve">70-145919-N-70</t>
  </si>
  <si>
    <t xml:space="preserve">MANGAMWA PLOT 29 HIGHBERRY</t>
  </si>
  <si>
    <t xml:space="preserve">MANGEYA RUVIMBO</t>
  </si>
  <si>
    <t xml:space="preserve">70-2017925-L-22</t>
  </si>
  <si>
    <t xml:space="preserve">HIGHBERRY 18 </t>
  </si>
  <si>
    <t xml:space="preserve">MAPOSA MALVIN</t>
  </si>
  <si>
    <t xml:space="preserve">63-709357-A-58</t>
  </si>
  <si>
    <t xml:space="preserve">MANYEPA FARM CHITOMBORWIZI</t>
  </si>
  <si>
    <t xml:space="preserve">70-207614-Y-70</t>
  </si>
  <si>
    <t xml:space="preserve">TSHABALALA ELIAB N</t>
  </si>
  <si>
    <t xml:space="preserve">70-2018753-L-53</t>
  </si>
  <si>
    <t xml:space="preserve">GATA TEMBEKILE</t>
  </si>
  <si>
    <t xml:space="preserve">70-284379-N-13</t>
  </si>
  <si>
    <t xml:space="preserve">DITYWE FARM</t>
  </si>
  <si>
    <t xml:space="preserve">SHUMBA H</t>
  </si>
  <si>
    <t xml:space="preserve">70-425484-Z-40*</t>
  </si>
  <si>
    <t xml:space="preserve">KENIWORTHY FARM</t>
  </si>
  <si>
    <t xml:space="preserve">NHERERA R.M</t>
  </si>
  <si>
    <t xml:space="preserve">GREEN FIELDS</t>
  </si>
  <si>
    <t xml:space="preserve">NCUBE J. TICHAONA</t>
  </si>
  <si>
    <t xml:space="preserve">70-073181-A-24</t>
  </si>
  <si>
    <t xml:space="preserve">CHITOMBORWIZI PLOT 259</t>
  </si>
  <si>
    <t xml:space="preserve">MARUTA TINASHE</t>
  </si>
  <si>
    <t xml:space="preserve">70-211312-S-70</t>
  </si>
  <si>
    <t xml:space="preserve">WHINDLAE FARM</t>
  </si>
  <si>
    <t xml:space="preserve">SIBANDA INNOCENT</t>
  </si>
  <si>
    <t xml:space="preserve">58-205081-R-26</t>
  </si>
  <si>
    <t xml:space="preserve">GEDULD FARM</t>
  </si>
  <si>
    <t xml:space="preserve">MAPANZURE GARAINESU</t>
  </si>
  <si>
    <t xml:space="preserve">70-313090-W-26</t>
  </si>
  <si>
    <t xml:space="preserve">14 SOLVANG FAM</t>
  </si>
  <si>
    <t xml:space="preserve">CHITSA JOSEPH</t>
  </si>
  <si>
    <t xml:space="preserve">22-269632-W-27</t>
  </si>
  <si>
    <t xml:space="preserve">WILDERNESS FARM MHANGURA</t>
  </si>
  <si>
    <t xml:space="preserve">CHININGA JEMISTER</t>
  </si>
  <si>
    <t xml:space="preserve">63-424832-J-71</t>
  </si>
  <si>
    <t xml:space="preserve">AVONDALE PLOT 14</t>
  </si>
  <si>
    <t xml:space="preserve">MANGOVE TAFADZWA ABEL</t>
  </si>
  <si>
    <t xml:space="preserve">26-085281-Q-26</t>
  </si>
  <si>
    <t xml:space="preserve">HIGHWAY FARM</t>
  </si>
  <si>
    <t xml:space="preserve">MUFUDZA KELVIN</t>
  </si>
  <si>
    <t xml:space="preserve">42-113550-K-42</t>
  </si>
  <si>
    <t xml:space="preserve">CECIL MOUR DOMA</t>
  </si>
  <si>
    <t xml:space="preserve">MBOFANA CECIL</t>
  </si>
  <si>
    <t xml:space="preserve">70-115987-D-71</t>
  </si>
  <si>
    <t xml:space="preserve">LORATEN FARM</t>
  </si>
  <si>
    <t xml:space="preserve">NYARUBERO MISHECK</t>
  </si>
  <si>
    <t xml:space="preserve">63-758933-M-63</t>
  </si>
  <si>
    <t xml:space="preserve">CHIZASI PLOT 4</t>
  </si>
  <si>
    <t xml:space="preserve">SAURAMBA LINDA</t>
  </si>
  <si>
    <t xml:space="preserve">75-329284-F50</t>
  </si>
  <si>
    <t xml:space="preserve">PLOT 28 GUMA FARM</t>
  </si>
  <si>
    <t xml:space="preserve">DAKWA INNOCENT</t>
  </si>
  <si>
    <t xml:space="preserve">70-068540-F-70</t>
  </si>
  <si>
    <t xml:space="preserve">GEDULD FARM PLOT 3</t>
  </si>
  <si>
    <t xml:space="preserve">MAPANZURE ITAI</t>
  </si>
  <si>
    <t xml:space="preserve">26-073211-W-26</t>
  </si>
  <si>
    <t xml:space="preserve">GLEN SHIELDS PLOT 6</t>
  </si>
  <si>
    <t xml:space="preserve">MASVORA NYASHA</t>
  </si>
  <si>
    <t xml:space="preserve">70-241477-F-70</t>
  </si>
  <si>
    <t xml:space="preserve">SISO MANYAMBA</t>
  </si>
  <si>
    <t xml:space="preserve">MUSHAYI RUMBIDZAI</t>
  </si>
  <si>
    <t xml:space="preserve">70-299155-Z-38</t>
  </si>
  <si>
    <t xml:space="preserve">PTSUWILL FARM</t>
  </si>
  <si>
    <t xml:space="preserve">JOWA ALFRED </t>
  </si>
  <si>
    <t xml:space="preserve">63-1097808-C-86</t>
  </si>
  <si>
    <t xml:space="preserve">ATHENS</t>
  </si>
  <si>
    <t xml:space="preserve">MUGOVA T.I</t>
  </si>
  <si>
    <t xml:space="preserve">63-363765-G-04</t>
  </si>
  <si>
    <t xml:space="preserve">RIVINGSTON FARM</t>
  </si>
  <si>
    <t xml:space="preserve">MANYANGE SHEPERD</t>
  </si>
  <si>
    <t xml:space="preserve">70-275607-D-70</t>
  </si>
  <si>
    <t xml:space="preserve">CHAPMAN FARM</t>
  </si>
  <si>
    <t xml:space="preserve">JONGORO FARAI</t>
  </si>
  <si>
    <t xml:space="preserve">71-005887-L-71</t>
  </si>
  <si>
    <t xml:space="preserve">PARADZANWA MISHECK</t>
  </si>
  <si>
    <t xml:space="preserve">70-93422-B-38</t>
  </si>
  <si>
    <t xml:space="preserve">MASENGU RAKI LUCKY</t>
  </si>
  <si>
    <t xml:space="preserve">63-641640-V-70</t>
  </si>
  <si>
    <t xml:space="preserve">NCUBE JAMES TICHAONA</t>
  </si>
  <si>
    <t xml:space="preserve">HIGH-BERRY PLOT 16</t>
  </si>
  <si>
    <t xml:space="preserve">MAKWENA BONGANI L</t>
  </si>
  <si>
    <t xml:space="preserve">70-068017-M-43</t>
  </si>
  <si>
    <t xml:space="preserve">LIVINGTON FARM</t>
  </si>
  <si>
    <t xml:space="preserve">ZUZE ABEL</t>
  </si>
  <si>
    <t xml:space="preserve">50-071082-N-50</t>
  </si>
  <si>
    <t xml:space="preserve">TSVANZVA FARM</t>
  </si>
  <si>
    <t xml:space="preserve">ZUNGUNDE TOGARASEI L</t>
  </si>
  <si>
    <t xml:space="preserve">47-008704-R-47</t>
  </si>
  <si>
    <t xml:space="preserve">HILRISE FARM</t>
  </si>
  <si>
    <t xml:space="preserve">KARUMA CLEMENT</t>
  </si>
  <si>
    <t xml:space="preserve">70-206901-Y-43</t>
  </si>
  <si>
    <t xml:space="preserve">ROCOCO FARM</t>
  </si>
  <si>
    <t xml:space="preserve">70-2004258-F-38</t>
  </si>
  <si>
    <t xml:space="preserve">NYATHI NQOBILE</t>
  </si>
  <si>
    <t xml:space="preserve">70-250927-C-28</t>
  </si>
  <si>
    <t xml:space="preserve">MAGUVAZA M</t>
  </si>
  <si>
    <t xml:space="preserve">70-213206-B-22</t>
  </si>
  <si>
    <t xml:space="preserve">MORNINGSTAR FARM</t>
  </si>
  <si>
    <t xml:space="preserve">HOWERA VENUS</t>
  </si>
  <si>
    <t xml:space="preserve">70-2004109-T-50</t>
  </si>
  <si>
    <t xml:space="preserve">MAVHIMA FARAI</t>
  </si>
  <si>
    <t xml:space="preserve">18-0404481-M-18</t>
  </si>
  <si>
    <t xml:space="preserve">SHARA DENIS</t>
  </si>
  <si>
    <t xml:space="preserve">45-156161-H-45</t>
  </si>
  <si>
    <t xml:space="preserve">BLAAUVLIE FARM</t>
  </si>
  <si>
    <t xml:space="preserve">MUTSURE NYASHA</t>
  </si>
  <si>
    <t xml:space="preserve">63-2312342-Y-26</t>
  </si>
  <si>
    <t xml:space="preserve">TALFOURD FARM</t>
  </si>
  <si>
    <t xml:space="preserve">GWEKWE TAKUNDA</t>
  </si>
  <si>
    <t xml:space="preserve">70-2003018-H-45</t>
  </si>
  <si>
    <t xml:space="preserve">70-250967-W-38</t>
  </si>
  <si>
    <t xml:space="preserve">KILMAURS FARM</t>
  </si>
  <si>
    <t xml:space="preserve">MATIZA TALENT</t>
  </si>
  <si>
    <t xml:space="preserve">70-229049-X-18</t>
  </si>
  <si>
    <t xml:space="preserve">HIGHLANDS FARM</t>
  </si>
  <si>
    <t xml:space="preserve">NYAMAPFENI BRIAN</t>
  </si>
  <si>
    <t xml:space="preserve">63-1264916-R-50</t>
  </si>
  <si>
    <t xml:space="preserve">ROBSDALE FARM</t>
  </si>
  <si>
    <t xml:space="preserve">NYIKADZINO TAFADZWA</t>
  </si>
  <si>
    <t xml:space="preserve">63-1179639-Z-38</t>
  </si>
  <si>
    <t xml:space="preserve">MAKUDO PAXON</t>
  </si>
  <si>
    <t xml:space="preserve">70-27547K26</t>
  </si>
  <si>
    <t xml:space="preserve">SUNKIT FARM</t>
  </si>
  <si>
    <t xml:space="preserve">MUDYIWA ROBINSON</t>
  </si>
  <si>
    <t xml:space="preserve">70-226419-N-27</t>
  </si>
  <si>
    <t xml:space="preserve">SLIGO FARM</t>
  </si>
  <si>
    <t xml:space="preserve">70-252555-X-70</t>
  </si>
  <si>
    <t xml:space="preserve">MASANGO PAUCHENI</t>
  </si>
  <si>
    <t xml:space="preserve">70-000124-Q-38</t>
  </si>
  <si>
    <t xml:space="preserve">63-2272921-Z-38</t>
  </si>
  <si>
    <t xml:space="preserve">CHAPMAN FARM PLOT 16</t>
  </si>
  <si>
    <t xml:space="preserve">MURIMBIKA TICHAONA</t>
  </si>
  <si>
    <t xml:space="preserve">32-079638-W-71</t>
  </si>
  <si>
    <t xml:space="preserve">PLOT 7 SHEEP RIDGE FARM</t>
  </si>
  <si>
    <t xml:space="preserve">MUBVUMBI CHARLES</t>
  </si>
  <si>
    <t xml:space="preserve">63-720722-J-48</t>
  </si>
  <si>
    <t xml:space="preserve">BONE FARM ACCORD</t>
  </si>
  <si>
    <t xml:space="preserve">MAKORE O</t>
  </si>
  <si>
    <t xml:space="preserve">27-158626-V-27</t>
  </si>
  <si>
    <t xml:space="preserve">WOLWOEKE FARM</t>
  </si>
  <si>
    <t xml:space="preserve">RUSIKE ELIJAH</t>
  </si>
  <si>
    <t xml:space="preserve">63-583721-P-25</t>
  </si>
  <si>
    <t xml:space="preserve">NYARUMWE H</t>
  </si>
  <si>
    <t xml:space="preserve">63-459238-G-47</t>
  </si>
  <si>
    <t xml:space="preserve">UMBOWE FARM</t>
  </si>
  <si>
    <t xml:space="preserve">MUSARURWA M</t>
  </si>
  <si>
    <t xml:space="preserve">38-028836-Q-38</t>
  </si>
  <si>
    <t xml:space="preserve">KENTAC FARM</t>
  </si>
  <si>
    <t xml:space="preserve">ZHOU CONELIUS</t>
  </si>
  <si>
    <t xml:space="preserve">03-018460-J-03</t>
  </si>
  <si>
    <t xml:space="preserve">NYAMUSA E.E</t>
  </si>
  <si>
    <t xml:space="preserve">34-048944-W-34</t>
  </si>
  <si>
    <t xml:space="preserve">CHIRIDZA FARM PLOT3</t>
  </si>
  <si>
    <t xml:space="preserve">ZVINORUKWA RC</t>
  </si>
  <si>
    <t xml:space="preserve">70-2002998-L-18</t>
  </si>
  <si>
    <t xml:space="preserve">LISTON SHIELD FARM MAGOGI</t>
  </si>
  <si>
    <t xml:space="preserve">CHIZEMA I</t>
  </si>
  <si>
    <t xml:space="preserve">70-70267713-Y-26</t>
  </si>
  <si>
    <t xml:space="preserve">VICTORY FARM</t>
  </si>
  <si>
    <t xml:space="preserve">CAKANA USHER</t>
  </si>
  <si>
    <t xml:space="preserve">08-481568-V-70</t>
  </si>
  <si>
    <t xml:space="preserve">PLOT 16 KOSSANA FARM</t>
  </si>
  <si>
    <t xml:space="preserve">GONO S</t>
  </si>
  <si>
    <t xml:space="preserve">54-023716-E-54</t>
  </si>
  <si>
    <t xml:space="preserve">PLOT 1 KAYALAMI FARM</t>
  </si>
  <si>
    <t xml:space="preserve">NYAHONDO DOROTH</t>
  </si>
  <si>
    <t xml:space="preserve">22-083153-B-04</t>
  </si>
  <si>
    <t xml:space="preserve">PLOT 18 KOSSANA LOT 1</t>
  </si>
  <si>
    <t xml:space="preserve">MATAMBANASHE T</t>
  </si>
  <si>
    <t xml:space="preserve">58-043086-K-26</t>
  </si>
  <si>
    <t xml:space="preserve">PLOT 3MAKOSA RAFFINGORA</t>
  </si>
  <si>
    <t xml:space="preserve">NEHANDA NOMETTER </t>
  </si>
  <si>
    <t xml:space="preserve">18-071387-L-18</t>
  </si>
  <si>
    <t xml:space="preserve">176 CHITOMBORWIZI</t>
  </si>
  <si>
    <t xml:space="preserve">70-093902-Y-43</t>
  </si>
  <si>
    <t xml:space="preserve">CHITOMBORWIZI FARM</t>
  </si>
  <si>
    <t xml:space="preserve">MUKWAIRA EPHRAM</t>
  </si>
  <si>
    <t xml:space="preserve">70-2016885-F-15</t>
  </si>
  <si>
    <t xml:space="preserve">PLOT 12 LIONS DEN FARM</t>
  </si>
  <si>
    <t xml:space="preserve">MASANGO RONNIE T</t>
  </si>
  <si>
    <t xml:space="preserve">70-250924-Z-45</t>
  </si>
  <si>
    <t xml:space="preserve">CECIL MORE PLOT 7</t>
  </si>
  <si>
    <t xml:space="preserve">MUZUZA SHADRECK</t>
  </si>
  <si>
    <t xml:space="preserve">63-110763-E-63</t>
  </si>
  <si>
    <t xml:space="preserve">TAKOMA FARM PLOT 7</t>
  </si>
  <si>
    <t xml:space="preserve">MKUCHA L.T</t>
  </si>
  <si>
    <t xml:space="preserve">08-655807-K-26</t>
  </si>
  <si>
    <t xml:space="preserve">PLOT 7 DEDSI FARM</t>
  </si>
  <si>
    <t xml:space="preserve">71-055006-B-71</t>
  </si>
  <si>
    <t xml:space="preserve">WOLWEHOEK PLOT 17</t>
  </si>
  <si>
    <t xml:space="preserve">63-454778-J-03</t>
  </si>
  <si>
    <t xml:space="preserve">KENNELWORTHY</t>
  </si>
  <si>
    <t xml:space="preserve">MAKUMBE PHENIUS</t>
  </si>
  <si>
    <t xml:space="preserve">63-355567-W-70</t>
  </si>
  <si>
    <t xml:space="preserve">kENNELWORTH Frm</t>
  </si>
  <si>
    <t xml:space="preserve">MAGAYA NELSON</t>
  </si>
  <si>
    <t xml:space="preserve">70-203024-D-45</t>
  </si>
  <si>
    <t xml:space="preserve">PLOT 5 SUMMERHILL FARM</t>
  </si>
  <si>
    <t xml:space="preserve">MASOCHA GIFT</t>
  </si>
  <si>
    <t xml:space="preserve">63-652632S70</t>
  </si>
  <si>
    <t xml:space="preserve">PLOT 1 HILLRISE FARM</t>
  </si>
  <si>
    <t xml:space="preserve">MUTERO RICHARD</t>
  </si>
  <si>
    <t xml:space="preserve">63-849035-Z-26</t>
  </si>
  <si>
    <t xml:space="preserve">PLOT 41 ZEBRA VLEI</t>
  </si>
  <si>
    <t xml:space="preserve">SAKA TAFIDZA</t>
  </si>
  <si>
    <t xml:space="preserve">38-136770-K-70</t>
  </si>
  <si>
    <t xml:space="preserve">124 CHITOMBORWIZI</t>
  </si>
  <si>
    <t xml:space="preserve">70-114877-X-75</t>
  </si>
  <si>
    <t xml:space="preserve">GEDULD FARM 2</t>
  </si>
  <si>
    <t xml:space="preserve">MUSHAMBI PRESLEY</t>
  </si>
  <si>
    <t xml:space="preserve">70-2001710-L-38</t>
  </si>
  <si>
    <t xml:space="preserve">188 CHITOMBORWIZI</t>
  </si>
  <si>
    <t xml:space="preserve">VINYU AGRIPPA</t>
  </si>
  <si>
    <t xml:space="preserve">70-133175-L-70</t>
  </si>
  <si>
    <t xml:space="preserve">PLOT 24 CHIDINGABADZA DOMA</t>
  </si>
  <si>
    <t xml:space="preserve">KUGARA KUDAKWASHE</t>
  </si>
  <si>
    <t xml:space="preserve">07-092192-D-07</t>
  </si>
  <si>
    <t xml:space="preserve">NGOMBE FARM</t>
  </si>
  <si>
    <t xml:space="preserve">CASTERN TAWANDA REGIS</t>
  </si>
  <si>
    <t xml:space="preserve">22-136463-X-22</t>
  </si>
  <si>
    <t xml:space="preserve">MATOVANYIKA FARM</t>
  </si>
  <si>
    <t xml:space="preserve">JENAMI RICHARD</t>
  </si>
  <si>
    <t xml:space="preserve">63-235240-F-70</t>
  </si>
  <si>
    <t xml:space="preserve">Plot 1A Khanyami estate Chinhoyi</t>
  </si>
  <si>
    <t xml:space="preserve">MASENDU LENNON</t>
  </si>
  <si>
    <t xml:space="preserve">631455614X18</t>
  </si>
  <si>
    <t xml:space="preserve">22269632W27</t>
  </si>
  <si>
    <t xml:space="preserve">Plot 4 Chipingabadza farm</t>
  </si>
  <si>
    <t xml:space="preserve">480196146T71</t>
  </si>
  <si>
    <t xml:space="preserve">MAPANZURE ITAI JUNIOR</t>
  </si>
  <si>
    <t xml:space="preserve">382012453B26</t>
  </si>
  <si>
    <t xml:space="preserve">#2 Highland Farm Makonde</t>
  </si>
  <si>
    <t xml:space="preserve">KHOSA GERALD</t>
  </si>
  <si>
    <t xml:space="preserve">03059244P70</t>
  </si>
  <si>
    <t xml:space="preserve">24-2000587-Q-77</t>
  </si>
  <si>
    <t xml:space="preserve">Plot 4 Chiridza Farm Mhangura</t>
  </si>
  <si>
    <t xml:space="preserve">TSAMBATARE GLADYS </t>
  </si>
  <si>
    <t xml:space="preserve">38077383J38</t>
  </si>
  <si>
    <t xml:space="preserve">Hololo Farm Plot 1</t>
  </si>
  <si>
    <t xml:space="preserve">18050481M18</t>
  </si>
  <si>
    <t xml:space="preserve">Lions Den Farm Plot 2</t>
  </si>
  <si>
    <t xml:space="preserve">NYATALA STANLEY</t>
  </si>
  <si>
    <t xml:space="preserve">63798506B63</t>
  </si>
  <si>
    <t xml:space="preserve">Msina Farm plot 23 Chinhoyi</t>
  </si>
  <si>
    <t xml:space="preserve">DANI TSAURAI</t>
  </si>
  <si>
    <t xml:space="preserve">70070519G38</t>
  </si>
  <si>
    <t xml:space="preserve">Plot 18 Kosana Lot 3 Farm</t>
  </si>
  <si>
    <t xml:space="preserve">26085372P26</t>
  </si>
  <si>
    <t xml:space="preserve">Plot 33 Kossana Lot 3</t>
  </si>
  <si>
    <t xml:space="preserve">08269848P03</t>
  </si>
  <si>
    <t xml:space="preserve">Kossna Farm Plot 23</t>
  </si>
  <si>
    <t xml:space="preserve">GONDO JOHN</t>
  </si>
  <si>
    <t xml:space="preserve">63175734A38</t>
  </si>
  <si>
    <t xml:space="preserve">Plot 16 Highway Chinhoyi</t>
  </si>
  <si>
    <t xml:space="preserve">MUFUDZA JOHN</t>
  </si>
  <si>
    <t xml:space="preserve">75151535A44</t>
  </si>
  <si>
    <t xml:space="preserve">BRUCE FARM </t>
  </si>
  <si>
    <t xml:space="preserve">MABHANDE RAYMOND</t>
  </si>
  <si>
    <t xml:space="preserve">11-081623-R-11</t>
  </si>
  <si>
    <t xml:space="preserve">PLOT 6 CHIZASI</t>
  </si>
  <si>
    <t xml:space="preserve">MUCHENJE OCTAVEN M</t>
  </si>
  <si>
    <t xml:space="preserve">85-030509-Q-85</t>
  </si>
  <si>
    <t xml:space="preserve">PLOT 20 MAWARE FARM</t>
  </si>
  <si>
    <t xml:space="preserve">HLOMAI GEOGE</t>
  </si>
  <si>
    <t xml:space="preserve">37-083660-A-37</t>
  </si>
  <si>
    <t xml:space="preserve">PLOT 35 PLATEU MHUNGURA</t>
  </si>
  <si>
    <t xml:space="preserve">CHIKUVADZE FIDELIS</t>
  </si>
  <si>
    <t xml:space="preserve">08-026871-J-83</t>
  </si>
  <si>
    <t xml:space="preserve">TSANDZWA FARM , Doma</t>
  </si>
  <si>
    <t xml:space="preserve">32-133223-Q-27</t>
  </si>
  <si>
    <t xml:space="preserve">LIONS DEN FARMN , Lions Den</t>
  </si>
  <si>
    <t xml:space="preserve">MUSONA MAMBO</t>
  </si>
  <si>
    <t xml:space="preserve">70-016989-X-70</t>
  </si>
  <si>
    <t xml:space="preserve">AGILE FARM , Golden Kopje</t>
  </si>
  <si>
    <t xml:space="preserve">MANGISI TAWANDA</t>
  </si>
  <si>
    <t xml:space="preserve">24-113079-S-26</t>
  </si>
  <si>
    <t xml:space="preserve">MURUNGWENI P.MASIMBA </t>
  </si>
  <si>
    <t xml:space="preserve">59-044788-R-25</t>
  </si>
  <si>
    <t xml:space="preserve">ENDEAVOUR ESTATE</t>
  </si>
  <si>
    <t xml:space="preserve">CHITEHWE DERRECK</t>
  </si>
  <si>
    <t xml:space="preserve">63-457624-C-32</t>
  </si>
  <si>
    <t xml:space="preserve">STERLINGVALE FARM , MHANGURA</t>
  </si>
  <si>
    <t xml:space="preserve">MASANGO JAMES</t>
  </si>
  <si>
    <t xml:space="preserve">70-008723-M-70</t>
  </si>
  <si>
    <t xml:space="preserve">HUMMON HALL</t>
  </si>
  <si>
    <t xml:space="preserve">MANKANYA RONALD</t>
  </si>
  <si>
    <t xml:space="preserve">67-110504-Z-67</t>
  </si>
  <si>
    <t xml:space="preserve">ANGWA FARM</t>
  </si>
  <si>
    <t xml:space="preserve">MAKAZA SIYENA</t>
  </si>
  <si>
    <t xml:space="preserve">63-594880-T-47</t>
  </si>
  <si>
    <t xml:space="preserve">CHIKWEYA LOVEMORE</t>
  </si>
  <si>
    <t xml:space="preserve">18-033935-C-18</t>
  </si>
  <si>
    <t xml:space="preserve">NYAMAPFENI TENDAI</t>
  </si>
  <si>
    <t xml:space="preserve">70-243333-Y-50</t>
  </si>
  <si>
    <t xml:space="preserve">FISCHERS FARM</t>
  </si>
  <si>
    <t xml:space="preserve">MUCHEDZI TINASHE BEN</t>
  </si>
  <si>
    <t xml:space="preserve">70-2013385-B-42</t>
  </si>
  <si>
    <t xml:space="preserve">PLOT 13 UMBOWE</t>
  </si>
  <si>
    <t xml:space="preserve">CHIOME L</t>
  </si>
  <si>
    <t xml:space="preserve">42-087466-V-42</t>
  </si>
  <si>
    <t xml:space="preserve">CHIDANGU FARM , IGAVA</t>
  </si>
  <si>
    <t xml:space="preserve">MANGASHENA DOREEN</t>
  </si>
  <si>
    <t xml:space="preserve">58-037974-D-61</t>
  </si>
  <si>
    <t xml:space="preserve">GOREJENA PLOT 1</t>
  </si>
  <si>
    <t xml:space="preserve">CHIHOTA SPENCER</t>
  </si>
  <si>
    <t xml:space="preserve">63-976550-C-43</t>
  </si>
  <si>
    <t xml:space="preserve">BERWICK FARM</t>
  </si>
  <si>
    <t xml:space="preserve">MUTIBURA PHIBEON</t>
  </si>
  <si>
    <t xml:space="preserve">63-893739-Q-07</t>
  </si>
  <si>
    <t xml:space="preserve">WENJI FARM , CONCESSION</t>
  </si>
  <si>
    <t xml:space="preserve">MADZURA WENDY</t>
  </si>
  <si>
    <t xml:space="preserve">29-2008578-C-70</t>
  </si>
  <si>
    <t xml:space="preserve">63-321478-V-38*</t>
  </si>
  <si>
    <t xml:space="preserve">IMPALAVALE FARM</t>
  </si>
  <si>
    <t xml:space="preserve">IMPALAVALE FARM CHATIKOBO</t>
  </si>
  <si>
    <t xml:space="preserve">63-900087-Q-26</t>
  </si>
  <si>
    <t xml:space="preserve">MAMINA IRRIGATION SCHEME</t>
  </si>
  <si>
    <t xml:space="preserve">63-446623-V-24</t>
  </si>
  <si>
    <t xml:space="preserve">Box 1601 Kadoma</t>
  </si>
  <si>
    <t xml:space="preserve">75288906R50</t>
  </si>
  <si>
    <t xml:space="preserve">TIZORO FARM</t>
  </si>
  <si>
    <t xml:space="preserve">GWATIMBA MN</t>
  </si>
  <si>
    <t xml:space="preserve">63-2030938-Z-26</t>
  </si>
  <si>
    <t xml:space="preserve">Mallear Farm</t>
  </si>
  <si>
    <t xml:space="preserve">OBERT MUJENGE</t>
  </si>
  <si>
    <t xml:space="preserve">70105392M71</t>
  </si>
  <si>
    <t xml:space="preserve">KENT ESTATE</t>
  </si>
  <si>
    <t xml:space="preserve">32-122405-G-38</t>
  </si>
  <si>
    <t xml:space="preserve">KILWORTH FARM</t>
  </si>
  <si>
    <t xml:space="preserve">MARUFU DEPHINE</t>
  </si>
  <si>
    <t xml:space="preserve">63-1541739-L-05</t>
  </si>
  <si>
    <t xml:space="preserve">MUCHERENGI</t>
  </si>
  <si>
    <t xml:space="preserve">NDOGWEDU ZAKARIA</t>
  </si>
  <si>
    <t xml:space="preserve">63-1156095-H-22</t>
  </si>
  <si>
    <t xml:space="preserve">PLot 85 Eden Farm Beatrice</t>
  </si>
  <si>
    <t xml:space="preserve">631303262X24</t>
  </si>
  <si>
    <t xml:space="preserve">PLOT 10 DITYWE</t>
  </si>
  <si>
    <t xml:space="preserve">SHUMBA MODESTA </t>
  </si>
  <si>
    <t xml:space="preserve">22143059R03</t>
  </si>
  <si>
    <t xml:space="preserve">COWLEY FARM</t>
  </si>
  <si>
    <t xml:space="preserve">MAPFOCHE TICHAONA</t>
  </si>
  <si>
    <t xml:space="preserve">63-1164413-Z-18</t>
  </si>
  <si>
    <t xml:space="preserve">NEWLANDS FARM</t>
  </si>
  <si>
    <t xml:space="preserve">MASHINGAIDZE WALTER</t>
  </si>
  <si>
    <t xml:space="preserve">63-1144169-V-11</t>
  </si>
  <si>
    <t xml:space="preserve">NIDDERDALE  PLOT 1</t>
  </si>
  <si>
    <t xml:space="preserve">MAGAYA BATSIRAI</t>
  </si>
  <si>
    <t xml:space="preserve">86-047930-H-86</t>
  </si>
  <si>
    <t xml:space="preserve">PLOT 14,15,16 MVOU</t>
  </si>
  <si>
    <t xml:space="preserve">TSOKA AQUILIA</t>
  </si>
  <si>
    <t xml:space="preserve">63-212834-B-42</t>
  </si>
  <si>
    <t xml:space="preserve">CHIKOMOCHEMUNGA PLOT 2</t>
  </si>
  <si>
    <t xml:space="preserve">MPESWE DARLINGTON</t>
  </si>
  <si>
    <t xml:space="preserve">70-094996-M-70</t>
  </si>
  <si>
    <t xml:space="preserve">INYATI FARM, Banket</t>
  </si>
  <si>
    <t xml:space="preserve">MUPAKO KNIGHT</t>
  </si>
  <si>
    <t xml:space="preserve">15-103673-K-15</t>
  </si>
  <si>
    <t xml:space="preserve">HIGHDON FARM</t>
  </si>
  <si>
    <t xml:space="preserve">MUTANGARA LENIN</t>
  </si>
  <si>
    <t xml:space="preserve">70-220175-B-07</t>
  </si>
  <si>
    <t xml:space="preserve">ILSHAM FARM, TRELAWNEY</t>
  </si>
  <si>
    <t xml:space="preserve">TAGWASHA CHAKA LENGTON</t>
  </si>
  <si>
    <t xml:space="preserve">63-2039405-C-34</t>
  </si>
  <si>
    <t xml:space="preserve">CHITOMBORWIZI 60 FARM</t>
  </si>
  <si>
    <t xml:space="preserve">MHUNGU EDWIN</t>
  </si>
  <si>
    <t xml:space="preserve">85-038428-Y-85</t>
  </si>
  <si>
    <t xml:space="preserve">CHINOMWE ESTATE RAFINGORA</t>
  </si>
  <si>
    <t xml:space="preserve">MADZINGO CLEMENCE</t>
  </si>
  <si>
    <t xml:space="preserve">22-062363-D-83</t>
  </si>
  <si>
    <t xml:space="preserve">COMBE FARM , Banket</t>
  </si>
  <si>
    <t xml:space="preserve">GARAKARA FREDDY</t>
  </si>
  <si>
    <t xml:space="preserve">63-767066-C-70</t>
  </si>
  <si>
    <t xml:space="preserve">ROYAL BUCKS FARM , Rafingora</t>
  </si>
  <si>
    <t xml:space="preserve">GWERENGWE JECOBUS</t>
  </si>
  <si>
    <t xml:space="preserve">22-023677-D-22</t>
  </si>
  <si>
    <t xml:space="preserve">MUSINA FARM , </t>
  </si>
  <si>
    <t xml:space="preserve">KANENGONI TAMBUDZAI</t>
  </si>
  <si>
    <t xml:space="preserve">14-096080-A-12</t>
  </si>
  <si>
    <t xml:space="preserve">CHIKOMOCHEMUNGA PLOT 2 , </t>
  </si>
  <si>
    <t xml:space="preserve">MUPESWE KATHERINE</t>
  </si>
  <si>
    <t xml:space="preserve">63-1053245-P-26</t>
  </si>
  <si>
    <t xml:space="preserve">PINDINPARK FARM , Banket</t>
  </si>
  <si>
    <t xml:space="preserve">CHAPOLA STEWARD</t>
  </si>
  <si>
    <t xml:space="preserve">70-094039-X-70</t>
  </si>
  <si>
    <t xml:space="preserve">DUNHAILE FARM , Banket</t>
  </si>
  <si>
    <t xml:space="preserve">MASHIRI GERALD SIMBARASHE</t>
  </si>
  <si>
    <t xml:space="preserve">08-768712-H-70</t>
  </si>
  <si>
    <t xml:space="preserve">PINDI PARK FARM , BANKET</t>
  </si>
  <si>
    <t xml:space="preserve">MUTONGI GRACIOUS </t>
  </si>
  <si>
    <t xml:space="preserve">83-118681-R-83</t>
  </si>
  <si>
    <t xml:space="preserve">DOONDO FARM, Banket</t>
  </si>
  <si>
    <t xml:space="preserve">CHIPEMBE BRYNE F</t>
  </si>
  <si>
    <t xml:space="preserve">24-063912-A-83</t>
  </si>
  <si>
    <t xml:space="preserve">HUNYANI FARM</t>
  </si>
  <si>
    <t xml:space="preserve">70-255159-C-86</t>
  </si>
  <si>
    <t xml:space="preserve">SHORELIVER FARM P 9</t>
  </si>
  <si>
    <t xml:space="preserve">NKULULEKO GEZA</t>
  </si>
  <si>
    <t xml:space="preserve">63-93422-B-12</t>
  </si>
  <si>
    <t xml:space="preserve">DONDO FARM , Banket</t>
  </si>
  <si>
    <t xml:space="preserve">MANDISHONA PRINCE</t>
  </si>
  <si>
    <t xml:space="preserve">38-2020247-Y-38</t>
  </si>
  <si>
    <t xml:space="preserve">ARYSHIRE FARM , MAZVIKADEI</t>
  </si>
  <si>
    <t xml:space="preserve">NYAHOJA  TENDAI</t>
  </si>
  <si>
    <t xml:space="preserve">86-003277-X-71</t>
  </si>
  <si>
    <t xml:space="preserve">MUTOMBOIS FARM, BANKET</t>
  </si>
  <si>
    <t xml:space="preserve">MPOFU COLLINS</t>
  </si>
  <si>
    <t xml:space="preserve">28-2009457-S-19</t>
  </si>
  <si>
    <t xml:space="preserve">SCAFEL FARM , CHINHOYI</t>
  </si>
  <si>
    <t xml:space="preserve">MUNYEDE PARADZAI</t>
  </si>
  <si>
    <t xml:space="preserve">MONGA FARM , </t>
  </si>
  <si>
    <t xml:space="preserve">58-088746-Q-86</t>
  </si>
  <si>
    <t xml:space="preserve">GOMO ESTATE , Mvou</t>
  </si>
  <si>
    <t xml:space="preserve">63-775197-Q-13</t>
  </si>
  <si>
    <t xml:space="preserve">MAZVIKADEYI , BANKET</t>
  </si>
  <si>
    <t xml:space="preserve">70-252882-C-71</t>
  </si>
  <si>
    <t xml:space="preserve">SLOVANG FARM</t>
  </si>
  <si>
    <t xml:space="preserve">TAPFUMANEI RUTH</t>
  </si>
  <si>
    <t xml:space="preserve">63-227444-G-43</t>
  </si>
  <si>
    <t xml:space="preserve">TRELAWNEY ESTATES</t>
  </si>
  <si>
    <t xml:space="preserve">RUKWEZA CEPHAS</t>
  </si>
  <si>
    <t xml:space="preserve">04-069427-P-04</t>
  </si>
  <si>
    <t xml:space="preserve">BESSEVILE FARM</t>
  </si>
  <si>
    <t xml:space="preserve">CHAFANZA NIGEL</t>
  </si>
  <si>
    <t xml:space="preserve">70-249333-V-42</t>
  </si>
  <si>
    <t xml:space="preserve">AYSHER FARM</t>
  </si>
  <si>
    <t xml:space="preserve">MUSENDO LORRENCE</t>
  </si>
  <si>
    <t xml:space="preserve">27-085924-W-27</t>
  </si>
  <si>
    <t xml:space="preserve">55 MOUNT GOMERY</t>
  </si>
  <si>
    <t xml:space="preserve">KUHONDO MIKE</t>
  </si>
  <si>
    <t xml:space="preserve">70-128645-M-45</t>
  </si>
  <si>
    <t xml:space="preserve">ZIMVUMI TONDERAI  CAESAR</t>
  </si>
  <si>
    <t xml:space="preserve">58-011111-E-80</t>
  </si>
  <si>
    <t xml:space="preserve">WEIGHMOLT , MAZVIKADEI</t>
  </si>
  <si>
    <t xml:space="preserve">MANHIVI ALFRED</t>
  </si>
  <si>
    <t xml:space="preserve">67-124444-B-12</t>
  </si>
  <si>
    <t xml:space="preserve">JUNCTION FARM (Group)</t>
  </si>
  <si>
    <t xml:space="preserve">MUPANGA WILSON (Chairman)</t>
  </si>
  <si>
    <t xml:space="preserve">70-128469-W-70</t>
  </si>
  <si>
    <t xml:space="preserve">HOMEFILED FARM , DARWENDALE</t>
  </si>
  <si>
    <t xml:space="preserve">MUTANGADURA CHRIS</t>
  </si>
  <si>
    <t xml:space="preserve">23-037202-L-27</t>
  </si>
  <si>
    <t xml:space="preserve">CLOVELLY FARM</t>
  </si>
  <si>
    <t xml:space="preserve">63-430398-J-70</t>
  </si>
  <si>
    <t xml:space="preserve">PLOT KEMASHA , </t>
  </si>
  <si>
    <t xml:space="preserve">SIMANGO BILTON</t>
  </si>
  <si>
    <t xml:space="preserve">86-052694-L-13</t>
  </si>
  <si>
    <t xml:space="preserve">CHIWARI PLOT 21 MHANGURA</t>
  </si>
  <si>
    <t xml:space="preserve">CHARUMA MUNYARADZI</t>
  </si>
  <si>
    <t xml:space="preserve">63-860048-V-71</t>
  </si>
  <si>
    <t xml:space="preserve">ALAN GRANGE FARM , RAFINGORA</t>
  </si>
  <si>
    <t xml:space="preserve">CHOMBO MARIAN</t>
  </si>
  <si>
    <t xml:space="preserve">63-620371-F-70*</t>
  </si>
  <si>
    <t xml:space="preserve">MUTIZWA SARAH</t>
  </si>
  <si>
    <t xml:space="preserve">38-421689-V-38*</t>
  </si>
  <si>
    <t xml:space="preserve">NKUYU FARM</t>
  </si>
  <si>
    <t xml:space="preserve">CHIKARI TINOS</t>
  </si>
  <si>
    <t xml:space="preserve">70-220369-M-38</t>
  </si>
  <si>
    <t xml:space="preserve">FENEMERE FARM PLOT1 </t>
  </si>
  <si>
    <t xml:space="preserve">NYACHOWE LEOS</t>
  </si>
  <si>
    <t xml:space="preserve">70-127936-R-70</t>
  </si>
  <si>
    <t xml:space="preserve">ZVOMA TARISAI</t>
  </si>
  <si>
    <t xml:space="preserve">63-733900-C-15</t>
  </si>
  <si>
    <t xml:space="preserve">NOTHWOOD FARM</t>
  </si>
  <si>
    <t xml:space="preserve">MAGAMBE PANGANAI</t>
  </si>
  <si>
    <t xml:space="preserve">29-052102-W-70</t>
  </si>
  <si>
    <t xml:space="preserve">KADZURA RUTH</t>
  </si>
  <si>
    <t xml:space="preserve">70-219167-F-70</t>
  </si>
  <si>
    <t xml:space="preserve">MASASA</t>
  </si>
  <si>
    <t xml:space="preserve">MUTISI ELISHA</t>
  </si>
  <si>
    <t xml:space="preserve">13-017843-D-13</t>
  </si>
  <si>
    <t xml:space="preserve">NYAHWA FARM TRELAWNEY</t>
  </si>
  <si>
    <t xml:space="preserve">CHIPISA ZVIITO</t>
  </si>
  <si>
    <t xml:space="preserve">71-064619-A-71</t>
  </si>
  <si>
    <t xml:space="preserve">TINTO FARM</t>
  </si>
  <si>
    <t xml:space="preserve">KAROVANGORO TAKUDZWA</t>
  </si>
  <si>
    <t xml:space="preserve">63-2805515-F-25</t>
  </si>
  <si>
    <t xml:space="preserve">DIVONIA GRANGEMORE FARM</t>
  </si>
  <si>
    <t xml:space="preserve">CHOMBO ENOCK</t>
  </si>
  <si>
    <t xml:space="preserve">63-2084938-V-70</t>
  </si>
  <si>
    <t xml:space="preserve">MWALAOYERA FARM</t>
  </si>
  <si>
    <t xml:space="preserve">CHIVENDE CHAMUNORWA</t>
  </si>
  <si>
    <t xml:space="preserve">70-207153-X-18</t>
  </si>
  <si>
    <t xml:space="preserve">ROYDEN FARM</t>
  </si>
  <si>
    <t xml:space="preserve">MUTASA FEMBERAI</t>
  </si>
  <si>
    <t xml:space="preserve">63-880839-T-75</t>
  </si>
  <si>
    <t xml:space="preserve">MAQUADZI FARM</t>
  </si>
  <si>
    <t xml:space="preserve">MACHAMIRE CALVIN J</t>
  </si>
  <si>
    <t xml:space="preserve">70-107344-J-42</t>
  </si>
  <si>
    <t xml:space="preserve">NYAHWA FARM</t>
  </si>
  <si>
    <t xml:space="preserve">BVUTE NOWA</t>
  </si>
  <si>
    <t xml:space="preserve">63-1325704-Q-04</t>
  </si>
  <si>
    <t xml:space="preserve">KENZMORE FARM</t>
  </si>
  <si>
    <t xml:space="preserve">ZULU SIMBARASHE M</t>
  </si>
  <si>
    <t xml:space="preserve">70-114004-Y-70</t>
  </si>
  <si>
    <t xml:space="preserve">HOLDERNESS</t>
  </si>
  <si>
    <t xml:space="preserve">45-060532-N-45</t>
  </si>
  <si>
    <t xml:space="preserve">NEWLANDS FARM PLOT 8</t>
  </si>
  <si>
    <t xml:space="preserve">MAPANI MUTAMBA</t>
  </si>
  <si>
    <t xml:space="preserve">24-084541-Y-24</t>
  </si>
  <si>
    <t xml:space="preserve">KUMIRI FARM</t>
  </si>
  <si>
    <t xml:space="preserve">CHIMANYIWA ZVENYIKA</t>
  </si>
  <si>
    <t xml:space="preserve">70-222892-E-67</t>
  </si>
  <si>
    <t xml:space="preserve">MPANGURE FARM</t>
  </si>
  <si>
    <t xml:space="preserve">ZULU DAMARESI</t>
  </si>
  <si>
    <t xml:space="preserve">05-076323-R-05</t>
  </si>
  <si>
    <t xml:space="preserve">MUWISHI KENNETH</t>
  </si>
  <si>
    <t xml:space="preserve">47-075422-L-47</t>
  </si>
  <si>
    <t xml:space="preserve">CHIKOMOCHOMUNGA</t>
  </si>
  <si>
    <t xml:space="preserve">MABURUTSE THERESA</t>
  </si>
  <si>
    <t xml:space="preserve">77-033028-B-77</t>
  </si>
  <si>
    <t xml:space="preserve">COATS WORLD ESTATES</t>
  </si>
  <si>
    <t xml:space="preserve">CHIURA PERFECT</t>
  </si>
  <si>
    <t xml:space="preserve">80-069883-F-80</t>
  </si>
  <si>
    <t xml:space="preserve">PINDI PARK FARM</t>
  </si>
  <si>
    <t xml:space="preserve">CHINDEDZA RONALD</t>
  </si>
  <si>
    <t xml:space="preserve">63-1114504-A-27</t>
  </si>
  <si>
    <t xml:space="preserve">MAKASI DAVID</t>
  </si>
  <si>
    <t xml:space="preserve">08-187253-M-22</t>
  </si>
  <si>
    <t xml:space="preserve">RUFARO FARM PLOT 4</t>
  </si>
  <si>
    <t xml:space="preserve">MADZINGO E.D</t>
  </si>
  <si>
    <t xml:space="preserve">63-132172-N-83</t>
  </si>
  <si>
    <t xml:space="preserve">PLOT 3 BETWEEN RIVERS BANKET</t>
  </si>
  <si>
    <t xml:space="preserve">MUBAKO PEPUKAI</t>
  </si>
  <si>
    <t xml:space="preserve">63-2118171-S-83</t>
  </si>
  <si>
    <t xml:space="preserve">PLOT 5 CHEAPSTOW FARM</t>
  </si>
  <si>
    <t xml:space="preserve">DUTIRO KELVIN</t>
  </si>
  <si>
    <t xml:space="preserve">86-058576-E-86</t>
  </si>
  <si>
    <t xml:space="preserve">NKODZO FARM</t>
  </si>
  <si>
    <t xml:space="preserve">CHININGA VICTOR</t>
  </si>
  <si>
    <t xml:space="preserve">63-673326-L-71</t>
  </si>
  <si>
    <t xml:space="preserve">ST NINIAS FARM</t>
  </si>
  <si>
    <t xml:space="preserve">MATAMBO GERALD</t>
  </si>
  <si>
    <t xml:space="preserve">38-085766-W-38</t>
  </si>
  <si>
    <t xml:space="preserve">WINZA FARM PLOT 4 MUTORASHAN</t>
  </si>
  <si>
    <t xml:space="preserve">22-015825-T-22</t>
  </si>
  <si>
    <t xml:space="preserve">PLOT 40 BICKLIEGHVALE FARM</t>
  </si>
  <si>
    <t xml:space="preserve">KWANAYI G</t>
  </si>
  <si>
    <t xml:space="preserve">86-022222-P-86</t>
  </si>
  <si>
    <t xml:space="preserve">17 UMZURURU FARM</t>
  </si>
  <si>
    <t xml:space="preserve">JONGA R</t>
  </si>
  <si>
    <t xml:space="preserve">63-686722-X-15</t>
  </si>
  <si>
    <t xml:space="preserve">PARA FARM</t>
  </si>
  <si>
    <t xml:space="preserve">PARA REGIMENT (ARMY)</t>
  </si>
  <si>
    <t xml:space="preserve">45-136776-M-45</t>
  </si>
  <si>
    <t xml:space="preserve">WANCKOLEN FARM PLOT 57</t>
  </si>
  <si>
    <t xml:space="preserve">42-204902-S-42</t>
  </si>
  <si>
    <t xml:space="preserve">MOTTON FARM</t>
  </si>
  <si>
    <t xml:space="preserve">MWAMI SIAMSIPA</t>
  </si>
  <si>
    <t xml:space="preserve">32-113204-F-67</t>
  </si>
  <si>
    <t xml:space="preserve">CHIKOMOCHEMUNGA PLOT 5</t>
  </si>
  <si>
    <t xml:space="preserve">SHUMBA TAPERA</t>
  </si>
  <si>
    <t xml:space="preserve">11-031055-B-03</t>
  </si>
  <si>
    <t xml:space="preserve">CHIKOMOCHEMUNGA PLOT 13</t>
  </si>
  <si>
    <t xml:space="preserve">MWANZA TAMBUDZAI</t>
  </si>
  <si>
    <t xml:space="preserve">86-103270-S-68</t>
  </si>
  <si>
    <t xml:space="preserve">NYARUGWE FARM PLOT 2</t>
  </si>
  <si>
    <t xml:space="preserve">RUKODZI SUSAN</t>
  </si>
  <si>
    <t xml:space="preserve">63-549489-F-80</t>
  </si>
  <si>
    <t xml:space="preserve">JUNCTION FARM PLIOT 12</t>
  </si>
  <si>
    <t xml:space="preserve">MANJENA LORRAINE</t>
  </si>
  <si>
    <t xml:space="preserve">32-119330-P-86</t>
  </si>
  <si>
    <t xml:space="preserve">MVOU FARM</t>
  </si>
  <si>
    <t xml:space="preserve">KUNZE R.G</t>
  </si>
  <si>
    <t xml:space="preserve">43-013185-L-32</t>
  </si>
  <si>
    <t xml:space="preserve">MAKWIDIBA FARM PLOT 28</t>
  </si>
  <si>
    <t xml:space="preserve">CHIKAKA VERONICA</t>
  </si>
  <si>
    <t xml:space="preserve">70-034606W70</t>
  </si>
  <si>
    <t xml:space="preserve">MINIHANA FARM PLOT 1</t>
  </si>
  <si>
    <t xml:space="preserve">MHLANGA AMIGO</t>
  </si>
  <si>
    <t xml:space="preserve">67-017826-M-67</t>
  </si>
  <si>
    <t xml:space="preserve">CHILINDE FARM RAFINGORA</t>
  </si>
  <si>
    <t xml:space="preserve">SAJENI MWAYI D</t>
  </si>
  <si>
    <t xml:space="preserve">63-1132594-N-70</t>
  </si>
  <si>
    <t xml:space="preserve">MUSONA LOVEJOY</t>
  </si>
  <si>
    <t xml:space="preserve">70132473Y70</t>
  </si>
  <si>
    <t xml:space="preserve">MARECHA MICHIEL</t>
  </si>
  <si>
    <t xml:space="preserve">22-026458-Z-04</t>
  </si>
  <si>
    <t xml:space="preserve">MUSHAWEMHUKA JOSSSAM</t>
  </si>
  <si>
    <t xml:space="preserve">7010923K7</t>
  </si>
  <si>
    <t xml:space="preserve">Koodhill plot 12</t>
  </si>
  <si>
    <t xml:space="preserve">NYAMUPHANA GIFT</t>
  </si>
  <si>
    <t xml:space="preserve">86071829K71</t>
  </si>
  <si>
    <t xml:space="preserve">Plot 4 Doondo Zvimba</t>
  </si>
  <si>
    <t xml:space="preserve">NGOZI STONE</t>
  </si>
  <si>
    <t xml:space="preserve">38089143R38</t>
  </si>
  <si>
    <t xml:space="preserve">Plot 15 Koodoo Hill Banket</t>
  </si>
  <si>
    <t xml:space="preserve">490791459M49</t>
  </si>
  <si>
    <t xml:space="preserve">Mbidzi Farm Std 10</t>
  </si>
  <si>
    <t xml:space="preserve">BEREJENA STAINY</t>
  </si>
  <si>
    <t xml:space="preserve">22011529Z12</t>
  </si>
  <si>
    <t xml:space="preserve">CHAPANDUKA OLIVER</t>
  </si>
  <si>
    <t xml:space="preserve">63387245D47</t>
  </si>
  <si>
    <t xml:space="preserve">Bicklerighville Eresi Farm Banket</t>
  </si>
  <si>
    <t xml:space="preserve">HUNGWE LOVENDER</t>
  </si>
  <si>
    <t xml:space="preserve">631423J42</t>
  </si>
  <si>
    <t xml:space="preserve">Showliver</t>
  </si>
  <si>
    <t xml:space="preserve">70251142L07</t>
  </si>
  <si>
    <t xml:space="preserve">Plot 9 Blessville grange Banket</t>
  </si>
  <si>
    <t xml:space="preserve">NZIRAMASANGA RUVIMBO</t>
  </si>
  <si>
    <t xml:space="preserve">70154332H70</t>
  </si>
  <si>
    <t xml:space="preserve">Dondo Farm Plot 2 </t>
  </si>
  <si>
    <t xml:space="preserve">382020247Y38</t>
  </si>
  <si>
    <t xml:space="preserve">Plot 12 Chikomo cheMhunga Banket</t>
  </si>
  <si>
    <t xml:space="preserve">MAGWENZI PETER</t>
  </si>
  <si>
    <t xml:space="preserve">63375058G07</t>
  </si>
  <si>
    <t xml:space="preserve">Chikomochemhanga plot 5 Banket</t>
  </si>
  <si>
    <t xml:space="preserve">11031055B03</t>
  </si>
  <si>
    <t xml:space="preserve">PLOT 9BESSIVALE GRANGE</t>
  </si>
  <si>
    <t xml:space="preserve">70-15332-H-70</t>
  </si>
  <si>
    <t xml:space="preserve">DULWICH EXTENSION PLOT 7</t>
  </si>
  <si>
    <t xml:space="preserve">TOMANA REUBEN</t>
  </si>
  <si>
    <t xml:space="preserve">50-065951-L-50</t>
  </si>
  <si>
    <t xml:space="preserve">LAMOT LOT 2 </t>
  </si>
  <si>
    <t xml:space="preserve">MUZUVA NOEL</t>
  </si>
  <si>
    <t xml:space="preserve">63-361355-M43</t>
  </si>
  <si>
    <t xml:space="preserve">SUB DIVISION ROYAL BUCKS</t>
  </si>
  <si>
    <t xml:space="preserve">VHIYA GILBERT</t>
  </si>
  <si>
    <t xml:space="preserve">71-084930-C-66</t>
  </si>
  <si>
    <t xml:space="preserve">MUSORI FARM PLOT 6 </t>
  </si>
  <si>
    <t xml:space="preserve">MAKUKUTSI BIGBRAIN</t>
  </si>
  <si>
    <t xml:space="preserve">70-086984-D-71</t>
  </si>
  <si>
    <t xml:space="preserve">DHUNDU</t>
  </si>
  <si>
    <t xml:space="preserve">MATICHIVEI FOMBE</t>
  </si>
  <si>
    <t xml:space="preserve">71-114770-M-71</t>
  </si>
  <si>
    <t xml:space="preserve">NYARAPINDA FARM</t>
  </si>
  <si>
    <t xml:space="preserve">MACHINGAMBI COLLEN</t>
  </si>
  <si>
    <t xml:space="preserve">26-144171-B-26</t>
  </si>
  <si>
    <t xml:space="preserve">HYDOCK FARM</t>
  </si>
  <si>
    <t xml:space="preserve">83-142009-Y-83</t>
  </si>
  <si>
    <t xml:space="preserve">PLOT 5 MARADZA FARM</t>
  </si>
  <si>
    <t xml:space="preserve">CHIHUNDA SIMBA</t>
  </si>
  <si>
    <t xml:space="preserve">86-076406-K-86</t>
  </si>
  <si>
    <t xml:space="preserve">NCHEFU FARM</t>
  </si>
  <si>
    <t xml:space="preserve">MUSHONGA CHIPO</t>
  </si>
  <si>
    <t xml:space="preserve">15-161603-c-70</t>
  </si>
  <si>
    <t xml:space="preserve">BLENCATHRA FARM , Trelawney</t>
  </si>
  <si>
    <t xml:space="preserve">MUKWAIRA LOVEMORE</t>
  </si>
  <si>
    <t xml:space="preserve">45-125490-V-38</t>
  </si>
  <si>
    <t xml:space="preserve">CHIKOMOCHEMUNGA PLOT 15</t>
  </si>
  <si>
    <t xml:space="preserve">CHANETSA IREEN</t>
  </si>
  <si>
    <t xml:space="preserve">71-022719-G-71</t>
  </si>
  <si>
    <t xml:space="preserve">HUMANIKWA MUTIMBA</t>
  </si>
  <si>
    <t xml:space="preserve">63-221961-X-24</t>
  </si>
  <si>
    <t xml:space="preserve">GOREDEMA ASHLY</t>
  </si>
  <si>
    <t xml:space="preserve">70-223694-B-86</t>
  </si>
  <si>
    <t xml:space="preserve">CHADEHUMBE TAWANDA</t>
  </si>
  <si>
    <t xml:space="preserve">58-123565-M-24</t>
  </si>
  <si>
    <t xml:space="preserve">34-115843-M-34</t>
  </si>
  <si>
    <t xml:space="preserve">GIPSLANDER BAGUTA</t>
  </si>
  <si>
    <t xml:space="preserve">FRANCIS WINFRIDA</t>
  </si>
  <si>
    <t xml:space="preserve">22-195379-L-22</t>
  </si>
  <si>
    <t xml:space="preserve">MOMBESHORA DOUGLAS</t>
  </si>
  <si>
    <t xml:space="preserve">70-029741-G-70*</t>
  </si>
  <si>
    <t xml:space="preserve">ZIMPAM</t>
  </si>
  <si>
    <t xml:space="preserve">MOYO OBEDIA</t>
  </si>
  <si>
    <t xml:space="preserve">70-054329-H-70*</t>
  </si>
  <si>
    <t xml:space="preserve">PARADZA KINDNESS</t>
  </si>
  <si>
    <t xml:space="preserve">63-231596-J-70*</t>
  </si>
  <si>
    <t xml:space="preserve">FAIRPLAY FARM PLOT 5</t>
  </si>
  <si>
    <t xml:space="preserve">NGWARU WEBSTER</t>
  </si>
  <si>
    <t xml:space="preserve">42-131161-P-42</t>
  </si>
  <si>
    <t xml:space="preserve">PLOT 1 BAGUTA EXTENSION</t>
  </si>
  <si>
    <t xml:space="preserve">MUZA HAPPY</t>
  </si>
  <si>
    <t xml:space="preserve">08-510183-Y-24</t>
  </si>
  <si>
    <t xml:space="preserve">MONCHRIS FARM</t>
  </si>
  <si>
    <t xml:space="preserve">MUTSVANGWA MONICA</t>
  </si>
  <si>
    <t xml:space="preserve">63-905294-A-32</t>
  </si>
  <si>
    <t xml:space="preserve">MAWERE MICHIEL</t>
  </si>
  <si>
    <t xml:space="preserve">70-070199-J-70</t>
  </si>
  <si>
    <t xml:space="preserve">38-077383-J-38</t>
  </si>
  <si>
    <t xml:space="preserve">CHIMBETU COLLEN</t>
  </si>
  <si>
    <t xml:space="preserve">63-1138140-R-63</t>
  </si>
  <si>
    <t xml:space="preserve">63-438218-B-70*</t>
  </si>
  <si>
    <t xml:space="preserve">TENDENEDZAI JOB</t>
  </si>
  <si>
    <t xml:space="preserve">27-1128459-E-27</t>
  </si>
  <si>
    <t xml:space="preserve">CHIZEMA TAFADZWA</t>
  </si>
  <si>
    <t xml:space="preserve">70-270506-J-07</t>
  </si>
  <si>
    <t xml:space="preserve">KWANGWARE AGNES</t>
  </si>
  <si>
    <t xml:space="preserve">04-124747-V-04</t>
  </si>
  <si>
    <t xml:space="preserve">KARIMATSENGA W</t>
  </si>
  <si>
    <t xml:space="preserve">70-000067-D-38</t>
  </si>
  <si>
    <t xml:space="preserve">NYENYAI ANGELINE</t>
  </si>
  <si>
    <t xml:space="preserve">70-459721-B-70</t>
  </si>
  <si>
    <t xml:space="preserve">ZIYAMBI SIMBARASHE</t>
  </si>
  <si>
    <t xml:space="preserve">63-124651-V70</t>
  </si>
  <si>
    <t xml:space="preserve">LONGWOOD FARM </t>
  </si>
  <si>
    <t xml:space="preserve">CHIVAVARIRWA CHARLOTE </t>
  </si>
  <si>
    <t xml:space="preserve">63-1135169-M-48</t>
  </si>
  <si>
    <t xml:space="preserve">MAPONGA IVINE</t>
  </si>
  <si>
    <t xml:space="preserve">32-143622-T-15</t>
  </si>
  <si>
    <t xml:space="preserve">PLOT 5 ROCOCO FARM CHITOMBORWIZI</t>
  </si>
  <si>
    <t xml:space="preserve">MAHACHI VICTOR</t>
  </si>
  <si>
    <t xml:space="preserve">24-088989-H-20</t>
  </si>
  <si>
    <t xml:space="preserve">TSVERE TAFADZWA</t>
  </si>
  <si>
    <t xml:space="preserve">22-204902-M-43</t>
  </si>
  <si>
    <t xml:space="preserve">GOMBERA ANATORIA</t>
  </si>
  <si>
    <t xml:space="preserve">70-027633-R-70</t>
  </si>
  <si>
    <t xml:space="preserve">ZENDANEMAKO JOSLIN MAUYA</t>
  </si>
  <si>
    <t xml:space="preserve">38-019983-S-38</t>
  </si>
  <si>
    <t xml:space="preserve">SUBDIVISION 1 BAGUTA</t>
  </si>
  <si>
    <t xml:space="preserve">NHEMACHENA NOEL</t>
  </si>
  <si>
    <t xml:space="preserve">45-059221-N-45</t>
  </si>
  <si>
    <t xml:space="preserve">CHAWATAMA  JONAH</t>
  </si>
  <si>
    <t xml:space="preserve">43-042960-A-43</t>
  </si>
  <si>
    <t xml:space="preserve">MESO COLLEN</t>
  </si>
  <si>
    <t xml:space="preserve">26-17505252-S-26</t>
  </si>
  <si>
    <t xml:space="preserve">MGUGU VELAPI</t>
  </si>
  <si>
    <t xml:space="preserve">63-531987-G-38</t>
  </si>
  <si>
    <t xml:space="preserve">BRAESIDE FARM PLOT18</t>
  </si>
  <si>
    <t xml:space="preserve">PENYISA TOM</t>
  </si>
  <si>
    <t xml:space="preserve">63-868621-N-13</t>
  </si>
  <si>
    <t xml:space="preserve">KAPENDE TAFADZWA</t>
  </si>
  <si>
    <t xml:space="preserve">48-083283-M-48</t>
  </si>
  <si>
    <t xml:space="preserve">KANDARI ADAM</t>
  </si>
  <si>
    <t xml:space="preserve">86-044472-Z-38</t>
  </si>
  <si>
    <t xml:space="preserve">WEIGHMOUTH FARM</t>
  </si>
  <si>
    <t xml:space="preserve">MUSVOSVI MARSHAL T</t>
  </si>
  <si>
    <t xml:space="preserve">63-1242213-P-86</t>
  </si>
  <si>
    <t xml:space="preserve">ENDBASE FARM LOT 1</t>
  </si>
  <si>
    <t xml:space="preserve">NYADZAYO JOSEPH</t>
  </si>
  <si>
    <t xml:space="preserve">63-717356-V-70</t>
  </si>
  <si>
    <t xml:space="preserve">PLLOR 13 LOGIE FARM</t>
  </si>
  <si>
    <t xml:space="preserve">MAREVO ELISHA</t>
  </si>
  <si>
    <t xml:space="preserve">08-029245-P-15</t>
  </si>
  <si>
    <t xml:space="preserve">PLOT 4 KOSSANA MHANGURA</t>
  </si>
  <si>
    <t xml:space="preserve">70-092663-B-70</t>
  </si>
  <si>
    <t xml:space="preserve">KINGSPEAK </t>
  </si>
  <si>
    <t xml:space="preserve">11-029612-H-11</t>
  </si>
  <si>
    <t xml:space="preserve">MTSONZOA PLOT 10</t>
  </si>
  <si>
    <t xml:space="preserve">34-564739-V-54</t>
  </si>
  <si>
    <t xml:space="preserve">MUNI FARM PLOT 36</t>
  </si>
  <si>
    <t xml:space="preserve">70-212314-G-70</t>
  </si>
  <si>
    <t xml:space="preserve">PLOT 36 PLATEU FARM</t>
  </si>
  <si>
    <t xml:space="preserve">63-537532-J-70</t>
  </si>
  <si>
    <t xml:space="preserve">CECILMOUR FARM</t>
  </si>
  <si>
    <t xml:space="preserve">UTSIWEMBANJE REMIDIO</t>
  </si>
  <si>
    <t xml:space="preserve">63-431428-D-38</t>
  </si>
  <si>
    <t xml:space="preserve">SAMOS FARM PLOT 31</t>
  </si>
  <si>
    <t xml:space="preserve">CHISHAKA BLESSMORE</t>
  </si>
  <si>
    <t xml:space="preserve">70-039485-Z-70</t>
  </si>
  <si>
    <t xml:space="preserve">PLOT 15 TORDAT FARM CHEGUTU</t>
  </si>
  <si>
    <t xml:space="preserve">MASHOKO TINASHE</t>
  </si>
  <si>
    <t xml:space="preserve">32-191454-K-32</t>
  </si>
  <si>
    <t xml:space="preserve">PLOT 14 BASSET FARM</t>
  </si>
  <si>
    <t xml:space="preserve">MBIRI GOODLUCK BYWELL</t>
  </si>
  <si>
    <t xml:space="preserve">86-013614-H-86</t>
  </si>
  <si>
    <t xml:space="preserve">PLOT 9 HIGHBERRY ESTATES</t>
  </si>
  <si>
    <t xml:space="preserve">MUNYANYI CHRISTOPHER</t>
  </si>
  <si>
    <t xml:space="preserve">58-110147-C-66</t>
  </si>
  <si>
    <t xml:space="preserve">TEMPLETON FARM PLOT 3</t>
  </si>
  <si>
    <t xml:space="preserve">CHITSIKO MARYLINE</t>
  </si>
  <si>
    <t xml:space="preserve">63-1220345-V-61</t>
  </si>
  <si>
    <t xml:space="preserve">CHIKOMOCHEMHUNGA</t>
  </si>
  <si>
    <t xml:space="preserve">MWALE GEDION</t>
  </si>
  <si>
    <t xml:space="preserve">86-01554-D-86</t>
  </si>
  <si>
    <t xml:space="preserve">ATHLONE FARM  BINDURA</t>
  </si>
  <si>
    <t xml:space="preserve">JAJI TAKUNDIWA J</t>
  </si>
  <si>
    <t xml:space="preserve">15-070888-Z-45</t>
  </si>
  <si>
    <t xml:space="preserve">BLAAUWVLEI FARM PLOT 8</t>
  </si>
  <si>
    <t xml:space="preserve">ZHOU TRYMORE</t>
  </si>
  <si>
    <t xml:space="preserve">37-087814-Q-47</t>
  </si>
  <si>
    <t xml:space="preserve">PLOT 2 MUNI FARM LIONSDEN</t>
  </si>
  <si>
    <t xml:space="preserve">MATADI PATRICK</t>
  </si>
  <si>
    <t xml:space="preserve">43-155405-Y-42</t>
  </si>
  <si>
    <t xml:space="preserve">PLOT 35 MUNI FARM VILLAGE 1</t>
  </si>
  <si>
    <t xml:space="preserve">MEKI CARRINGTON</t>
  </si>
  <si>
    <t xml:space="preserve">70-147426-B-26</t>
  </si>
  <si>
    <t xml:space="preserve">PLOT 9 MUNI FARM </t>
  </si>
  <si>
    <t xml:space="preserve">MAFIRAKUREVA RATI</t>
  </si>
  <si>
    <t xml:space="preserve">70-021202-B-32</t>
  </si>
  <si>
    <t xml:space="preserve">PLOT 33 MUNI FARM</t>
  </si>
  <si>
    <t xml:space="preserve">MAKONZI THOMAS</t>
  </si>
  <si>
    <t xml:space="preserve">70-219121-F-70</t>
  </si>
  <si>
    <t xml:space="preserve">OLD CITRUS FARM CHINHOYI</t>
  </si>
  <si>
    <t xml:space="preserve">NHAMBENI BLESSING MUFARO</t>
  </si>
  <si>
    <t xml:space="preserve">58-273779-W-77</t>
  </si>
  <si>
    <t xml:space="preserve">MARTINDALE FARM</t>
  </si>
  <si>
    <t xml:space="preserve">MARTINDALE FARM LCBL</t>
  </si>
  <si>
    <t xml:space="preserve">63-709780-K-70</t>
  </si>
  <si>
    <t xml:space="preserve">PLOT 13 LOGIE FARM BANKET</t>
  </si>
  <si>
    <t xml:space="preserve">MAREWO ELISHA</t>
  </si>
  <si>
    <t xml:space="preserve">DUBE SHINGIRAI</t>
  </si>
  <si>
    <t xml:space="preserve">47-183323 V 13</t>
  </si>
  <si>
    <t xml:space="preserve">PLOT 5BURYHILL ESTATE BANKET</t>
  </si>
  <si>
    <t xml:space="preserve">MUCHECHETERE HAPPSON</t>
  </si>
  <si>
    <t xml:space="preserve">63-285372-X-27</t>
  </si>
  <si>
    <t xml:space="preserve">46 COBERN ESTATES CHEGUTU</t>
  </si>
  <si>
    <t xml:space="preserve">GAKA RODRICK</t>
  </si>
  <si>
    <t xml:space="preserve">29-178061-H-12</t>
  </si>
  <si>
    <t xml:space="preserve">PLOT 10 MLEMBWE FARM </t>
  </si>
  <si>
    <t xml:space="preserve">MUYAMBI LAZARUS</t>
  </si>
  <si>
    <t xml:space="preserve">08-087990-S-26</t>
  </si>
  <si>
    <t xml:space="preserve">CRIEY LEA FARM</t>
  </si>
  <si>
    <t xml:space="preserve">SEWERA PHILIP</t>
  </si>
  <si>
    <t xml:space="preserve">68-010914-J-42</t>
  </si>
  <si>
    <t xml:space="preserve">CHISVO JACQUELINE C</t>
  </si>
  <si>
    <t xml:space="preserve">63-1113423-A-47</t>
  </si>
  <si>
    <t xml:space="preserve">ROSSETA FARM PLOT 23</t>
  </si>
  <si>
    <t xml:space="preserve">63-230547-E-25</t>
  </si>
  <si>
    <t xml:space="preserve">R/E OF VICTORY FARM </t>
  </si>
  <si>
    <t xml:space="preserve">ZVINAVASHE  TARIRO</t>
  </si>
  <si>
    <t xml:space="preserve">63-2375901-J-27</t>
  </si>
  <si>
    <t xml:space="preserve">BENWELL FARM PLOT 4</t>
  </si>
  <si>
    <t xml:space="preserve">MHARAPARA ISIAH</t>
  </si>
  <si>
    <t xml:space="preserve">14-013178-P-80</t>
  </si>
  <si>
    <t xml:space="preserve">MULISWA NOMHLE</t>
  </si>
  <si>
    <t xml:space="preserve">37-006511S66</t>
  </si>
  <si>
    <t xml:space="preserve">MAVETERA TATENDA</t>
  </si>
  <si>
    <t xml:space="preserve">27-2000247R27</t>
  </si>
  <si>
    <t xml:space="preserve">NYANDIMA TAMUKA</t>
  </si>
  <si>
    <t xml:space="preserve">34-111439A34</t>
  </si>
  <si>
    <t xml:space="preserve"> JUNCTION GROUP -MASHINGAIDZE </t>
  </si>
  <si>
    <t xml:space="preserve">TAPFUMANEYI BANKET</t>
  </si>
  <si>
    <t xml:space="preserve">63-453849 Z 80</t>
  </si>
  <si>
    <t xml:space="preserve">CHIDAVAENZI BRIAN</t>
  </si>
  <si>
    <t xml:space="preserve">CHIDAVAENZI TAPIWA</t>
  </si>
  <si>
    <t xml:space="preserve">KUYERUKANA CHIPO</t>
  </si>
  <si>
    <t xml:space="preserve">JUNCTION GROUP</t>
  </si>
  <si>
    <t xml:space="preserve">MAIZE &amp; SORGHUM</t>
  </si>
  <si>
    <t xml:space="preserve">MASHIRI ZVIREVO JINJA</t>
  </si>
  <si>
    <t xml:space="preserve">MZIZI TAKESURE</t>
  </si>
  <si>
    <t xml:space="preserve">GUTI VITALIS CHARLES</t>
  </si>
  <si>
    <t xml:space="preserve">MWALE ISAACS Y</t>
  </si>
  <si>
    <t xml:space="preserve">MASHIRI PAUL</t>
  </si>
  <si>
    <t xml:space="preserve">MURUMBI DEBRAH</t>
  </si>
  <si>
    <t xml:space="preserve">MATANGA JOSEPHAT M</t>
  </si>
  <si>
    <t xml:space="preserve">VAGERE ERIA</t>
  </si>
  <si>
    <t xml:space="preserve">CHITANAKWE RODNEY</t>
  </si>
  <si>
    <t xml:space="preserve">TSORAI EDNA</t>
  </si>
  <si>
    <t xml:space="preserve">KULEYA ROSEMARY</t>
  </si>
  <si>
    <t xml:space="preserve">DAWA LANCELOT</t>
  </si>
  <si>
    <t xml:space="preserve">CHEMHERE DZIDZAI COURAGE</t>
  </si>
  <si>
    <t xml:space="preserve">MURUVI ANDREW</t>
  </si>
  <si>
    <t xml:space="preserve">CHAKWIZIRA SHADRECK</t>
  </si>
  <si>
    <t xml:space="preserve">HOVE HARUGUMI</t>
  </si>
  <si>
    <t xml:space="preserve">DYOKO MARKO</t>
  </si>
  <si>
    <t xml:space="preserve">NYAMAYARO DYLAN</t>
  </si>
  <si>
    <t xml:space="preserve">MANDONGWE STANFORD</t>
  </si>
  <si>
    <t xml:space="preserve">CHIRUNGA COLEEN</t>
  </si>
  <si>
    <t xml:space="preserve">MARIKOMO PHINEAS</t>
  </si>
  <si>
    <t xml:space="preserve">KATUMA CATHRINE</t>
  </si>
  <si>
    <t xml:space="preserve">NCUBE LOICE</t>
  </si>
  <si>
    <t xml:space="preserve">MATARE NEVER</t>
  </si>
  <si>
    <t xml:space="preserve">TSUNGANAYI TAURAI</t>
  </si>
  <si>
    <t xml:space="preserve">NCUBE ANDREW</t>
  </si>
  <si>
    <t xml:space="preserve">MOPO MAZIVISA</t>
  </si>
  <si>
    <t xml:space="preserve">MAKONESE MUNYUKI CLEOPAS</t>
  </si>
  <si>
    <t xml:space="preserve">CHARE JOSEPH</t>
  </si>
  <si>
    <t xml:space="preserve">TSIKAI SUNGANO</t>
  </si>
  <si>
    <t xml:space="preserve">TAKAWIRA JOHNSON</t>
  </si>
  <si>
    <t xml:space="preserve">MUNANGWA ISHMEAL</t>
  </si>
  <si>
    <t xml:space="preserve">MAKOMBE TAFARA</t>
  </si>
  <si>
    <t xml:space="preserve">MAZENDA WITNESS</t>
  </si>
  <si>
    <t xml:space="preserve">SUNHWA TATENDA</t>
  </si>
  <si>
    <t xml:space="preserve">CHAPARADZA BEVEN</t>
  </si>
  <si>
    <t xml:space="preserve">KARIWA TAFADZWA A C</t>
  </si>
  <si>
    <t xml:space="preserve">MUDADA ABEL</t>
  </si>
  <si>
    <t xml:space="preserve">PARADZA ( KADOMA PRISONS)</t>
  </si>
  <si>
    <t xml:space="preserve">JINJA EMANUEL MASHIRI</t>
  </si>
  <si>
    <t xml:space="preserve">TEMBO LOVENESS</t>
  </si>
  <si>
    <t xml:space="preserve">GUZHA ELSIE TARA</t>
  </si>
  <si>
    <t xml:space="preserve">MAGUVAZA KUDAKWASHE</t>
  </si>
  <si>
    <t xml:space="preserve">MUHIPE MIKE</t>
  </si>
  <si>
    <t xml:space="preserve">MAPFUMO ELIZABERTH</t>
  </si>
  <si>
    <t xml:space="preserve">TSVAKWI CHARLES</t>
  </si>
  <si>
    <t xml:space="preserve">MLISWA KADOMA</t>
  </si>
  <si>
    <t xml:space="preserve">MASHCENTAL</t>
  </si>
  <si>
    <t xml:space="preserve">CHAFAUSIPO CLIFORD</t>
  </si>
  <si>
    <t xml:space="preserve">MAKONI</t>
  </si>
  <si>
    <t xml:space="preserve">FOROMA TAZVIWINGA</t>
  </si>
  <si>
    <t xml:space="preserve">TOTALS</t>
  </si>
  <si>
    <t xml:space="preserve">SUMMER 2026/2027 PRODUCTION</t>
  </si>
  <si>
    <t xml:space="preserve">Target vs contracted hectares</t>
  </si>
  <si>
    <t xml:space="preserve">MAIZE TARGET (HA)</t>
  </si>
  <si>
    <t xml:space="preserve">MAIZE ACTUAL (HA)</t>
  </si>
  <si>
    <t xml:space="preserve">MAIZE ACHIEVEMENT</t>
  </si>
  <si>
    <t xml:space="preserve">SORGHUM TARGET (HA)</t>
  </si>
  <si>
    <t xml:space="preserve">SORGHUM ACTUAL (HA)</t>
  </si>
  <si>
    <t xml:space="preserve">SORGHUM ACHIEVEMENT</t>
  </si>
  <si>
    <t xml:space="preserve">Crop</t>
  </si>
  <si>
    <t xml:space="preserve">Target HA</t>
  </si>
  <si>
    <t xml:space="preserve">Actual HA</t>
  </si>
  <si>
    <t xml:space="preserve">Variance</t>
  </si>
  <si>
    <t xml:space="preserve">Achievement</t>
  </si>
  <si>
    <t xml:space="preserve">Remaining</t>
  </si>
  <si>
    <t xml:space="preserve">Maize</t>
  </si>
  <si>
    <t xml:space="preserve">Sorghum</t>
  </si>
  <si>
    <t xml:space="preserve">District performance</t>
  </si>
  <si>
    <t xml:space="preserve">District</t>
  </si>
  <si>
    <t xml:space="preserve">Maize HA</t>
  </si>
  <si>
    <t xml:space="preserve">Sorghum HA</t>
  </si>
  <si>
    <t xml:space="preserve">Total HA</t>
  </si>
  <si>
    <t xml:space="preserve">BEATRICE</t>
  </si>
  <si>
    <t xml:space="preserve">BINDURA</t>
  </si>
  <si>
    <t xml:space="preserve">CHEGUTU</t>
  </si>
  <si>
    <t xml:space="preserve">KADOMA</t>
  </si>
  <si>
    <t xml:space="preserve">MACHEKE</t>
  </si>
  <si>
    <t xml:space="preserve">MAKONE</t>
  </si>
  <si>
    <t xml:space="preserve">MARONDERA</t>
  </si>
  <si>
    <t xml:space="preserve">MAZOWE</t>
  </si>
  <si>
    <t xml:space="preserve">MHONDORO NGEZI</t>
  </si>
  <si>
    <t xml:space="preserve">MUZARABANI</t>
  </si>
  <si>
    <t xml:space="preserve">SEKE</t>
  </si>
  <si>
    <t xml:space="preserve">Unknown</t>
  </si>
  <si>
    <t xml:space="preserve">RECOVERY PROGRAMME | 2025/2026</t>
  </si>
  <si>
    <t xml:space="preserve">ARDA input recovery and outstanding tonnage</t>
  </si>
  <si>
    <t xml:space="preserve">FARMERS IN RECOVERY</t>
  </si>
  <si>
    <t xml:space="preserve">ARDA AMOUNT OWED</t>
  </si>
  <si>
    <t xml:space="preserve">GRAIN DELIVERED (T)</t>
  </si>
  <si>
    <t xml:space="preserve">OUTSTANDING (T)</t>
  </si>
  <si>
    <t xml:space="preserve">RECOVERY %</t>
  </si>
  <si>
    <t xml:space="preserve">OUTSTANDING VALUE</t>
  </si>
  <si>
    <t xml:space="preserve">Recovery by province</t>
  </si>
  <si>
    <t xml:space="preserve">Province</t>
  </si>
  <si>
    <t xml:space="preserve">ARDA Owed</t>
  </si>
  <si>
    <t xml:space="preserve">Delivered T</t>
  </si>
  <si>
    <t xml:space="preserve">Outstanding T</t>
  </si>
  <si>
    <t xml:space="preserve">Delivered</t>
  </si>
  <si>
    <t xml:space="preserve">SGR MAIZE BUDGET 2026/27</t>
  </si>
  <si>
    <t xml:space="preserve">MAIZE 20,000 HA | EXECUTIVE BUDGET MODEL</t>
  </si>
  <si>
    <t xml:space="preserve">SOURCE BUDGET INPUT</t>
  </si>
  <si>
    <t xml:space="preserve">ITEM</t>
  </si>
  <si>
    <t xml:space="preserve">QUANTITY</t>
  </si>
  <si>
    <t xml:space="preserve">COST</t>
  </si>
  <si>
    <t xml:space="preserve">TOTAL 1HA</t>
  </si>
  <si>
    <t xml:space="preserve">TOTAL FOR 20,000 HA</t>
  </si>
  <si>
    <t xml:space="preserve">TILLAGE AND FARM MACHINERY</t>
  </si>
  <si>
    <t xml:space="preserve">DISCING(HIRING)</t>
  </si>
  <si>
    <t xml:space="preserve">PLANTING(HIRING)</t>
  </si>
  <si>
    <t xml:space="preserve">SPRAYING/FERTILISATION(HIRING)</t>
  </si>
  <si>
    <t xml:space="preserve">SEED AND FERTILISERS</t>
  </si>
  <si>
    <t xml:space="preserve">SEED(SC659)</t>
  </si>
  <si>
    <t xml:space="preserve">COMP D</t>
  </si>
  <si>
    <t xml:space="preserve">AN</t>
  </si>
  <si>
    <t xml:space="preserve">CHEMICALS</t>
  </si>
  <si>
    <t xml:space="preserve">GLYPHOSATE(GRANULES)</t>
  </si>
  <si>
    <t xml:space="preserve">ATRAZINE</t>
  </si>
  <si>
    <t xml:space="preserve">METOLACHLOR</t>
  </si>
  <si>
    <t xml:space="preserve">MUTSVAIRO/NATO</t>
  </si>
  <si>
    <t xml:space="preserve">EMMAMECTIN BENSOATE</t>
  </si>
  <si>
    <t xml:space="preserve">HARVESTING</t>
  </si>
  <si>
    <t xml:space="preserve">LABOUR</t>
  </si>
  <si>
    <t xml:space="preserve">SUBTOTAL</t>
  </si>
  <si>
    <t xml:space="preserve">MISCELLENIOUS</t>
  </si>
  <si>
    <t xml:space="preserve">TOTAL VARIABLE COST</t>
  </si>
  <si>
    <t xml:space="preserve">DISCING (HIRING)</t>
  </si>
  <si>
    <t xml:space="preserve">per ha</t>
  </si>
  <si>
    <t xml:space="preserve">PLANTING (HIRING)</t>
  </si>
  <si>
    <t xml:space="preserve">SPRAYING/FERTILISATION (HIRING)</t>
  </si>
  <si>
    <t xml:space="preserve">SEED (SC659)</t>
  </si>
  <si>
    <t xml:space="preserve">GLYPHOSATE (GRANULES)</t>
  </si>
  <si>
    <t xml:space="preserve">Miscellaneous (5% of subtotal)</t>
  </si>
  <si>
    <t xml:space="preserve">MODEL: Funded maize hectares come from DATA_PIPELINE MAIZE (HA) for farmers with CALCULATED PAYMENT STATUS = Paid or Partly Paid. Funded hectares are capped at the 20,000 HA target.</t>
  </si>
  <si>
    <t xml:space="preserve">SGR - MONTHLY SALARY PLAN</t>
  </si>
  <si>
    <t xml:space="preserve">Actuals for June-August 2026 and salary planning through December 2026</t>
  </si>
  <si>
    <t xml:space="preserve">Planned Salary</t>
  </si>
  <si>
    <t xml:space="preserve">Actual Salary</t>
  </si>
  <si>
    <t xml:space="preserve">Status</t>
  </si>
  <si>
    <t xml:space="preserve">September 2026</t>
  </si>
  <si>
    <t xml:space="preserve">October 2026</t>
  </si>
  <si>
    <t xml:space="preserve">November 2026</t>
  </si>
  <si>
    <t xml:space="preserve">December 2026</t>
  </si>
  <si>
    <t xml:space="preserve">June-December 2026 Summary</t>
  </si>
  <si>
    <t xml:space="preserve">Total Planned Salary</t>
  </si>
  <si>
    <t xml:space="preserve">Total Actual Salary</t>
  </si>
  <si>
    <t xml:space="preserve">Total Variance</t>
  </si>
</sst>
</file>

<file path=xl/styles.xml><?xml version="1.0" encoding="utf-8"?>
<styleSheet xmlns="http://schemas.openxmlformats.org/spreadsheetml/2006/main">
  <numFmts count="24">
    <numFmt numFmtId="164" formatCode="General"/>
    <numFmt numFmtId="165" formatCode="General"/>
    <numFmt numFmtId="166" formatCode="0.00%"/>
    <numFmt numFmtId="167" formatCode="#,##0.00"/>
    <numFmt numFmtId="168" formatCode="#,##0"/>
    <numFmt numFmtId="169" formatCode="dd\-mmm\-yyyy"/>
    <numFmt numFmtId="170" formatCode="\$#,##0"/>
    <numFmt numFmtId="171" formatCode="\$#,##0.00"/>
    <numFmt numFmtId="172" formatCode="0.0%"/>
    <numFmt numFmtId="173" formatCode="_-* #,##0.00_-;\-* #,##0.00_-;_-* \-??_-;_-@_-"/>
    <numFmt numFmtId="174" formatCode="0.00"/>
    <numFmt numFmtId="175" formatCode="_-* #,##0_-;\-* #,##0_-;_-* \-??_-;_-@_-"/>
    <numFmt numFmtId="176" formatCode="mmm\-yy"/>
    <numFmt numFmtId="177" formatCode="_-&quot;US$&quot;* #,##0.00_-;&quot;-US$&quot;* #,##0.00_-;_-&quot;US$&quot;* \-??_-;_-@_-"/>
    <numFmt numFmtId="178" formatCode="d\-mmm\-yy"/>
    <numFmt numFmtId="179" formatCode="d\-mmm"/>
    <numFmt numFmtId="180" formatCode="m/d/yyyy"/>
    <numFmt numFmtId="181" formatCode="&quot;_-&quot;[$US$-3009]* #,##0.00&quot; _-&quot;;\-[$US$-3009]* #,##0.00&quot; _-&quot;;&quot;_-&quot;[$US$-3009]* \-??&quot; _-&quot;;_-@_-"/>
    <numFmt numFmtId="182" formatCode="0.0"/>
    <numFmt numFmtId="183" formatCode="0%"/>
    <numFmt numFmtId="184" formatCode="_(\$* #,##0.00_);_(\$* \(#,##0.00\);_(\$* \-??_);_(@_)"/>
    <numFmt numFmtId="185" formatCode="_(* #,##0_);_(* \(#,##0\);_(* \-??_);_(@_)"/>
    <numFmt numFmtId="186" formatCode="#,##0.0"/>
    <numFmt numFmtId="187" formatCode="0.00E+00"/>
  </numFmts>
  <fonts count="66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Calibri"/>
      <family val="2"/>
    </font>
    <font>
      <i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b val="true"/>
      <sz val="9"/>
      <color theme="1"/>
      <name val="Calibri"/>
      <family val="2"/>
    </font>
    <font>
      <b val="true"/>
      <sz val="11"/>
      <color theme="1"/>
      <name val="Calibri"/>
      <family val="0"/>
    </font>
    <font>
      <b val="true"/>
      <sz val="14"/>
      <color theme="1"/>
      <name val="Calibri"/>
      <family val="2"/>
    </font>
    <font>
      <b val="true"/>
      <sz val="9"/>
      <color theme="1"/>
      <name val="Calibri"/>
      <family val="2"/>
    </font>
    <font>
      <b val="true"/>
      <sz val="16"/>
      <color theme="1"/>
      <name val="Calibri"/>
      <family val="2"/>
    </font>
    <font>
      <b val="true"/>
      <sz val="11"/>
      <color theme="1"/>
      <name val="Calibri"/>
      <family val="2"/>
    </font>
    <font>
      <b val="true"/>
      <sz val="16"/>
      <color theme="1"/>
      <name val="Calibri"/>
      <family val="2"/>
    </font>
    <font>
      <sz val="16"/>
      <color theme="1"/>
      <name val="Calibri"/>
      <family val="2"/>
    </font>
    <font>
      <b val="true"/>
      <sz val="14"/>
      <color theme="1"/>
      <name val="Calibri"/>
      <family val="2"/>
    </font>
    <font>
      <b val="true"/>
      <sz val="13"/>
      <color theme="1"/>
      <name val="Calibri"/>
      <family val="2"/>
    </font>
    <font>
      <b val="true"/>
      <sz val="11"/>
      <color theme="1"/>
      <name val="Calibri"/>
      <family val="2"/>
    </font>
    <font>
      <b val="true"/>
      <u val="single"/>
      <sz val="11"/>
      <color theme="1"/>
      <name val="Cambria"/>
      <family val="1"/>
    </font>
    <font>
      <b val="true"/>
      <sz val="16"/>
      <color theme="1"/>
      <name val="Cambria"/>
      <family val="1"/>
    </font>
    <font>
      <b val="true"/>
      <sz val="11"/>
      <color theme="1"/>
      <name val="Cambria"/>
      <family val="1"/>
    </font>
    <font>
      <b val="true"/>
      <sz val="15"/>
      <color theme="1"/>
      <name val="Cambria"/>
      <family val="1"/>
    </font>
    <font>
      <b val="true"/>
      <sz val="13"/>
      <color theme="1"/>
      <name val="Cambria"/>
      <family val="1"/>
    </font>
    <font>
      <b val="true"/>
      <sz val="11"/>
      <color theme="1"/>
      <name val="Cambria"/>
      <family val="1"/>
    </font>
    <font>
      <u val="single"/>
      <sz val="11"/>
      <color theme="10"/>
      <name val="Calibri"/>
      <family val="2"/>
    </font>
    <font>
      <b val="true"/>
      <sz val="12"/>
      <color theme="0"/>
      <name val="Calibri"/>
      <family val="2"/>
    </font>
    <font>
      <b val="true"/>
      <sz val="20"/>
      <color theme="9" tint="-0.5"/>
      <name val="Arial"/>
      <family val="2"/>
    </font>
    <font>
      <b val="true"/>
      <sz val="18"/>
      <color theme="1"/>
      <name val="Cambria"/>
      <family val="1"/>
    </font>
    <font>
      <b val="true"/>
      <sz val="11"/>
      <color theme="1"/>
      <name val="Arial"/>
      <family val="2"/>
    </font>
    <font>
      <sz val="11"/>
      <color theme="1"/>
      <name val="Arial"/>
      <family val="2"/>
    </font>
    <font>
      <b val="true"/>
      <sz val="11"/>
      <color theme="9" tint="-0.5"/>
      <name val="Arial"/>
      <family val="2"/>
    </font>
    <font>
      <b val="true"/>
      <sz val="11"/>
      <color theme="1"/>
      <name val="Calibri"/>
      <family val="2"/>
    </font>
    <font>
      <b val="true"/>
      <sz val="11"/>
      <color theme="0"/>
      <name val="Cambria"/>
      <family val="1"/>
    </font>
    <font>
      <sz val="20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0"/>
    </font>
    <font>
      <sz val="11"/>
      <color theme="1"/>
      <name val="Calibri"/>
      <family val="2"/>
    </font>
    <font>
      <sz val="11"/>
      <color theme="1"/>
      <name val="Aptos Narrow"/>
      <family val="0"/>
    </font>
    <font>
      <sz val="9"/>
      <color theme="1"/>
      <name val="Calibri"/>
      <family val="2"/>
    </font>
    <font>
      <sz val="10"/>
      <color theme="1"/>
      <name val="Times New Roman"/>
      <family val="1"/>
    </font>
    <font>
      <sz val="11"/>
      <color theme="1"/>
      <name val="Aptos Narrow"/>
      <family val="0"/>
    </font>
    <font>
      <sz val="11"/>
      <color theme="4"/>
      <name val="Calibri"/>
      <family val="2"/>
    </font>
    <font>
      <sz val="11"/>
      <color theme="1"/>
      <name val="Aptos Narrow"/>
      <family val="0"/>
    </font>
    <font>
      <b val="true"/>
      <sz val="11"/>
      <color theme="1"/>
      <name val="Calibri"/>
      <family val="2"/>
    </font>
    <font>
      <b val="true"/>
      <sz val="16"/>
      <color theme="1"/>
      <name val="Calibri"/>
      <family val="0"/>
    </font>
    <font>
      <i val="true"/>
      <sz val="10"/>
      <color theme="1"/>
      <name val="Calibri"/>
      <family val="0"/>
    </font>
    <font>
      <b val="true"/>
      <sz val="9"/>
      <color theme="1"/>
      <name val="Calibri"/>
      <family val="0"/>
    </font>
    <font>
      <b val="true"/>
      <sz val="11"/>
      <color theme="1"/>
      <name val="Calibri"/>
      <family val="0"/>
    </font>
    <font>
      <b val="true"/>
      <sz val="18"/>
      <color theme="1"/>
      <name val="Calibri"/>
      <family val="0"/>
    </font>
    <font>
      <b val="true"/>
      <sz val="20"/>
      <color theme="1"/>
      <name val="Calibri"/>
      <family val="0"/>
    </font>
    <font>
      <b val="true"/>
      <sz val="16"/>
      <color theme="1"/>
      <name val="Calibri"/>
      <family val="0"/>
    </font>
    <font>
      <b val="true"/>
      <sz val="13"/>
      <color theme="1"/>
      <name val="Calibri"/>
      <family val="0"/>
    </font>
    <font>
      <sz val="11"/>
      <color theme="1"/>
      <name val="Calibri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1"/>
      <color theme="1"/>
      <name val="Calibri"/>
      <family val="0"/>
    </font>
    <font>
      <b val="true"/>
      <sz val="14"/>
      <color theme="1"/>
      <name val="Calibri"/>
      <family val="0"/>
    </font>
    <font>
      <b val="true"/>
      <sz val="12"/>
      <color theme="1"/>
      <name val="Calibri"/>
      <family val="0"/>
    </font>
    <font>
      <sz val="10"/>
      <color theme="1"/>
      <name val="Arial"/>
      <family val="0"/>
    </font>
    <font>
      <sz val="11"/>
      <color theme="1"/>
      <name val="Calibri"/>
      <family val="2"/>
    </font>
    <font>
      <b val="true"/>
      <sz val="16"/>
      <color theme="1"/>
      <name val="Calibri"/>
      <family val="2"/>
    </font>
    <font>
      <sz val="11"/>
      <color theme="1"/>
      <name val="Aptos Narrow"/>
      <family val="2"/>
    </font>
    <font>
      <b val="true"/>
      <sz val="11"/>
      <color theme="0"/>
      <name val="Calibri"/>
      <family val="2"/>
    </font>
    <font>
      <b val="true"/>
      <sz val="14"/>
      <color theme="1"/>
      <name val="Calibri"/>
      <family val="0"/>
    </font>
  </fonts>
  <fills count="22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theme="4" tint="0.5999"/>
        <bgColor rgb="FFB7C9D8"/>
      </patternFill>
    </fill>
    <fill>
      <patternFill patternType="solid">
        <fgColor rgb="FFD9E2F3"/>
        <bgColor rgb="FFD9E1F2"/>
      </patternFill>
    </fill>
    <fill>
      <patternFill patternType="solid">
        <fgColor rgb="FF1F4E78"/>
        <bgColor rgb="FF17365D"/>
      </patternFill>
    </fill>
    <fill>
      <patternFill patternType="solid">
        <fgColor rgb="FF2E7D32"/>
        <bgColor rgb="FF548235"/>
      </patternFill>
    </fill>
    <fill>
      <patternFill patternType="solid">
        <fgColor rgb="FFF8FAFC"/>
        <bgColor rgb="FFFFFFFF"/>
      </patternFill>
    </fill>
    <fill>
      <patternFill patternType="solid">
        <fgColor rgb="FFC4D79B"/>
        <bgColor rgb="FFD1D5DB"/>
      </patternFill>
    </fill>
    <fill>
      <patternFill patternType="solid">
        <fgColor rgb="FF5B9BD5"/>
        <bgColor rgb="FF4F81BD"/>
      </patternFill>
    </fill>
    <fill>
      <patternFill patternType="solid">
        <fgColor rgb="FF70AD47"/>
        <bgColor rgb="FF98B855"/>
      </patternFill>
    </fill>
    <fill>
      <patternFill patternType="solid">
        <fgColor rgb="FF4472C4"/>
        <bgColor rgb="FF4A7EBB"/>
      </patternFill>
    </fill>
    <fill>
      <patternFill patternType="solid">
        <fgColor rgb="FF002060"/>
        <bgColor rgb="FF17365D"/>
      </patternFill>
    </fill>
    <fill>
      <patternFill patternType="solid">
        <fgColor rgb="FF548235"/>
        <bgColor rgb="FF2E7D32"/>
      </patternFill>
    </fill>
    <fill>
      <patternFill patternType="solid">
        <fgColor theme="7" tint="0.5997"/>
        <bgColor rgb="FFB7C9D8"/>
      </patternFill>
    </fill>
    <fill>
      <patternFill patternType="solid">
        <fgColor rgb="FFD9EAF7"/>
        <bgColor rgb="FFDCE6F1"/>
      </patternFill>
    </fill>
    <fill>
      <patternFill patternType="solid">
        <fgColor rgb="FFEAF3F8"/>
        <bgColor rgb="FFEAF4E3"/>
      </patternFill>
    </fill>
    <fill>
      <patternFill patternType="solid">
        <fgColor rgb="FFFFF2CC"/>
        <bgColor rgb="FFEAF4E3"/>
      </patternFill>
    </fill>
    <fill>
      <patternFill patternType="solid">
        <fgColor rgb="FFE2F0D9"/>
        <bgColor rgb="FFEAF4E3"/>
      </patternFill>
    </fill>
    <fill>
      <patternFill patternType="solid">
        <fgColor rgb="FFD9EAD3"/>
        <bgColor rgb="FFE2F0D9"/>
      </patternFill>
    </fill>
    <fill>
      <patternFill patternType="solid">
        <fgColor rgb="FFDCE6F1"/>
        <bgColor rgb="FFD9E2F3"/>
      </patternFill>
    </fill>
    <fill>
      <patternFill patternType="solid">
        <fgColor rgb="FFEAF4E3"/>
        <bgColor rgb="FFE2F0D9"/>
      </patternFill>
    </fill>
  </fills>
  <borders count="41">
    <border diagonalUp="false" diagonalDown="false">
      <left/>
      <right/>
      <top/>
      <bottom/>
      <diagonal/>
    </border>
    <border diagonalUp="false" diagonalDown="false">
      <left/>
      <right/>
      <top style="thin">
        <color theme="4"/>
      </top>
      <bottom style="double">
        <color theme="4"/>
      </bottom>
      <diagonal/>
    </border>
    <border diagonalUp="false" diagonalDown="false">
      <left/>
      <right/>
      <top/>
      <bottom style="thin">
        <color rgb="FFD1D5DB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>
        <color rgb="FF002060"/>
      </left>
      <right/>
      <top style="medium">
        <color rgb="FF002060"/>
      </top>
      <bottom/>
      <diagonal/>
    </border>
    <border diagonalUp="false" diagonalDown="false">
      <left/>
      <right/>
      <top style="medium">
        <color rgb="FF002060"/>
      </top>
      <bottom/>
      <diagonal/>
    </border>
    <border diagonalUp="false" diagonalDown="false">
      <left/>
      <right style="medium">
        <color rgb="FF002060"/>
      </right>
      <top style="medium">
        <color rgb="FF002060"/>
      </top>
      <bottom/>
      <diagonal/>
    </border>
    <border diagonalUp="false" diagonalDown="false">
      <left style="medium">
        <color rgb="FF002060"/>
      </left>
      <right/>
      <top/>
      <bottom/>
      <diagonal/>
    </border>
    <border diagonalUp="false" diagonalDown="false">
      <left/>
      <right style="medium">
        <color rgb="FF002060"/>
      </right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>
        <color rgb="FF002060"/>
      </right>
      <top style="thin"/>
      <bottom style="thin"/>
      <diagonal/>
    </border>
    <border diagonalUp="false" diagonalDown="false">
      <left style="medium">
        <color rgb="FF002060"/>
      </left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>
        <color rgb="FF002060"/>
      </left>
      <right style="thin"/>
      <top style="thin"/>
      <bottom style="medium">
        <color rgb="FF002060"/>
      </bottom>
      <diagonal/>
    </border>
    <border diagonalUp="false" diagonalDown="false">
      <left style="thin"/>
      <right style="thin"/>
      <top style="thin"/>
      <bottom style="medium">
        <color rgb="FF002060"/>
      </bottom>
      <diagonal/>
    </border>
    <border diagonalUp="false" diagonalDown="false">
      <left style="thin"/>
      <right style="medium">
        <color rgb="FF002060"/>
      </right>
      <top style="thin"/>
      <bottom style="medium">
        <color rgb="FF002060"/>
      </bottom>
      <diagonal/>
    </border>
    <border diagonalUp="false" diagonalDown="false">
      <left/>
      <right/>
      <top/>
      <bottom style="hair">
        <color rgb="FFE5E7EB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/>
      <right/>
      <top/>
      <bottom style="thin">
        <color rgb="FFD9E1F2"/>
      </bottom>
      <diagonal/>
    </border>
    <border diagonalUp="false" diagonalDown="false">
      <left/>
      <right style="thin">
        <color rgb="FFB7B7B7"/>
      </right>
      <top/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 diagonalUp="false" diagonalDown="false">
      <left style="thin">
        <color rgb="FFB7B7B7"/>
      </left>
      <right/>
      <top/>
      <bottom style="thin">
        <color rgb="FFB7B7B7"/>
      </bottom>
      <diagonal/>
    </border>
    <border diagonalUp="false" diagonalDown="false">
      <left/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/>
      <right style="thin">
        <color rgb="FFB7B7B7"/>
      </right>
      <top style="thin">
        <color rgb="FFB7B7B7"/>
      </top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/>
      <diagonal/>
    </border>
    <border diagonalUp="false" diagonalDown="false">
      <left style="thin">
        <color rgb="FFB7B7B7"/>
      </left>
      <right/>
      <top style="thin">
        <color rgb="FFB7B7B7"/>
      </top>
      <bottom/>
      <diagonal/>
    </border>
    <border diagonalUp="false" diagonalDown="false">
      <left style="thin">
        <color rgb="FFB7C9D8"/>
      </left>
      <right style="thin">
        <color rgb="FFB7C9D8"/>
      </right>
      <top style="thin">
        <color rgb="FFB7C9D8"/>
      </top>
      <bottom style="thin">
        <color rgb="FFB7C9D8"/>
      </bottom>
      <diagonal/>
    </border>
    <border diagonalUp="false" diagonalDown="false">
      <left style="thin">
        <color rgb="FF95B3D7"/>
      </left>
      <right/>
      <top style="thin">
        <color rgb="FF95B3D7"/>
      </top>
      <bottom/>
      <diagonal/>
    </border>
    <border diagonalUp="false" diagonalDown="false">
      <left/>
      <right/>
      <top style="thin">
        <color rgb="FF95B3D7"/>
      </top>
      <bottom/>
      <diagonal/>
    </border>
    <border diagonalUp="false" diagonalDown="false">
      <left/>
      <right/>
      <top style="thin">
        <color rgb="FF95B3D7"/>
      </top>
      <bottom style="thin">
        <color rgb="FF95B3D7"/>
      </bottom>
      <diagonal/>
    </border>
    <border diagonalUp="false" diagonalDown="false">
      <left/>
      <right/>
      <top/>
      <bottom style="double"/>
      <diagonal/>
    </border>
    <border diagonalUp="false" diagonalDown="false">
      <left/>
      <right/>
      <top/>
      <bottom style="thin">
        <color rgb="FFB7B7B7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7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1" fillId="7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1" fillId="7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1" fillId="7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7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1" fillId="7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1" fillId="7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5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3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1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14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0" fillId="14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8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9" fillId="0" borderId="19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1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1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8" fillId="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4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24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0" fillId="0" borderId="24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24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77" fontId="0" fillId="0" borderId="2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0" fillId="0" borderId="24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9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78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78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77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77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0" fontId="3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15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0" fillId="15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7" fillId="16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3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2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0" fillId="0" borderId="2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3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3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0" fillId="0" borderId="3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3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7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17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8" fillId="17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0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36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6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6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1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31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8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8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8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5" fontId="0" fillId="0" borderId="2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0" fillId="0" borderId="2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0" fillId="0" borderId="2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8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2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0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0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8" fillId="9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8" fillId="15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19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8" fillId="19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9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15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2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0" fillId="2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0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1" fillId="0" borderId="3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61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0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1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1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2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6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4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1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9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9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4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  <cellStyle name="Excel Built-in Total" xfId="21"/>
  </cellStyles>
  <dxfs count="26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1115"/>
          <bgColor rgb="FF000000"/>
        </patternFill>
      </fill>
    </dxf>
    <dxf>
      <fill>
        <patternFill patternType="solid">
          <fgColor rgb="FF242424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4F81BD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D9E082"/>
          <bgColor rgb="FF000000"/>
        </patternFill>
      </fill>
    </dxf>
    <dxf>
      <fill>
        <patternFill patternType="solid">
          <fgColor rgb="FFEBE5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7E984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A9974"/>
          <bgColor rgb="FF000000"/>
        </patternFill>
      </fill>
    </dxf>
    <dxf>
      <fill>
        <patternFill patternType="solid">
          <fgColor rgb="FFFA9A74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EDA80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EAF4E3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FF0000"/>
      <rgbColor rgb="FF70AD47"/>
      <rgbColor rgb="FF0000FF"/>
      <rgbColor rgb="FFFFFF00"/>
      <rgbColor rgb="FFDCE6F1"/>
      <rgbColor rgb="FFD9E2F3"/>
      <rgbColor rgb="FFC00000"/>
      <rgbColor rgb="FF2E7D32"/>
      <rgbColor rgb="FF002060"/>
      <rgbColor rgb="FF548235"/>
      <rgbColor rgb="FF800080"/>
      <rgbColor rgb="FF4A7EBB"/>
      <rgbColor rgb="FFB7B7B7"/>
      <rgbColor rgb="FF666666"/>
      <rgbColor rgb="FF95B3D7"/>
      <rgbColor rgb="FFBE4B48"/>
      <rgbColor rgb="FFFFF2CC"/>
      <rgbColor rgb="FFD9EAF7"/>
      <rgbColor rgb="FF660066"/>
      <rgbColor rgb="FFB7C9D8"/>
      <rgbColor rgb="FF0563C1"/>
      <rgbColor rgb="FFB9CDE5"/>
      <rgbColor rgb="FF000080"/>
      <rgbColor rgb="FFE5E7EB"/>
      <rgbColor rgb="FFD9EAD3"/>
      <rgbColor rgb="FFD9E1F2"/>
      <rgbColor rgb="FF800080"/>
      <rgbColor rgb="FF800000"/>
      <rgbColor rgb="FF4F81BD"/>
      <rgbColor rgb="FF0000FF"/>
      <rgbColor rgb="FF00B0F0"/>
      <rgbColor rgb="FFEAF3F8"/>
      <rgbColor rgb="FFE2F0D9"/>
      <rgbColor rgb="FFEAF4E3"/>
      <rgbColor rgb="FF93CDDD"/>
      <rgbColor rgb="FFD1D5DB"/>
      <rgbColor rgb="FFCCC1DA"/>
      <rgbColor rgb="FFFCD5B5"/>
      <rgbColor rgb="FF4472C4"/>
      <rgbColor rgb="FF5B9BD5"/>
      <rgbColor rgb="FF92D050"/>
      <rgbColor rgb="FFC4D79B"/>
      <rgbColor rgb="FF98B855"/>
      <rgbColor rgb="FFD9D9D9"/>
      <rgbColor rgb="FF6B7280"/>
      <rgbColor rgb="FFB3B3B3"/>
      <rgbColor rgb="FF17365D"/>
      <rgbColor rgb="FF31859C"/>
      <rgbColor rgb="FF0F1115"/>
      <rgbColor rgb="FFF8FAFC"/>
      <rgbColor rgb="FF984807"/>
      <rgbColor rgb="FFC0504D"/>
      <rgbColor rgb="FF1F4E78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Monthly Cash 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FINANCE!$C$10</c:f>
              <c:strCache>
                <c:ptCount val="1"/>
                <c:pt idx="0">
                  <c:v>Receipts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FINANCE!$A$11:$A$15</c:f>
              <c:strCache>
                <c:ptCount val="5"/>
                <c:pt idx="0">
                  <c:v>November 2025</c:v>
                </c:pt>
                <c:pt idx="1">
                  <c:v>June 2026</c:v>
                </c:pt>
                <c:pt idx="2">
                  <c:v>July 2026</c:v>
                </c:pt>
                <c:pt idx="3">
                  <c:v>August 2026</c:v>
                </c:pt>
                <c:pt idx="4">
                  <c:v>Sep-26</c:v>
                </c:pt>
              </c:strCache>
            </c:strRef>
          </c:cat>
          <c:val>
            <c:numRef>
              <c:f>FINANCE!$C$11:$C$15</c:f>
              <c:numCache>
                <c:formatCode>\$#,##0.00</c:formatCode>
                <c:ptCount val="5"/>
                <c:pt idx="0">
                  <c:v>7500</c:v>
                </c:pt>
                <c:pt idx="1">
                  <c:v>700</c:v>
                </c:pt>
                <c:pt idx="2">
                  <c:v>1600</c:v>
                </c:pt>
                <c:pt idx="3">
                  <c:v>4850</c:v>
                </c:pt>
                <c:pt idx="4">
                  <c:v>2725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FINANCE!$D$10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FINANCE!$A$11:$A$15</c:f>
              <c:strCache>
                <c:ptCount val="5"/>
                <c:pt idx="0">
                  <c:v>November 2025</c:v>
                </c:pt>
                <c:pt idx="1">
                  <c:v>June 2026</c:v>
                </c:pt>
                <c:pt idx="2">
                  <c:v>July 2026</c:v>
                </c:pt>
                <c:pt idx="3">
                  <c:v>August 2026</c:v>
                </c:pt>
                <c:pt idx="4">
                  <c:v>Sep-26</c:v>
                </c:pt>
              </c:strCache>
            </c:strRef>
          </c:cat>
          <c:val>
            <c:numRef>
              <c:f>FINANCE!$D$11:$D$15</c:f>
              <c:numCache>
                <c:formatCode>\$#,##0.00</c:formatCode>
                <c:ptCount val="5"/>
                <c:pt idx="0">
                  <c:v>7159.5</c:v>
                </c:pt>
                <c:pt idx="1">
                  <c:v>1300</c:v>
                </c:pt>
                <c:pt idx="2">
                  <c:v>1832.98</c:v>
                </c:pt>
                <c:pt idx="3">
                  <c:v>2491.31</c:v>
                </c:pt>
                <c:pt idx="4">
                  <c:v>466.09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FINANCE!$E$10</c:f>
              <c:strCache>
                <c:ptCount val="1"/>
                <c:pt idx="0">
                  <c:v>Closing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FINANCE!$A$11:$A$15</c:f>
              <c:strCache>
                <c:ptCount val="5"/>
                <c:pt idx="0">
                  <c:v>November 2025</c:v>
                </c:pt>
                <c:pt idx="1">
                  <c:v>June 2026</c:v>
                </c:pt>
                <c:pt idx="2">
                  <c:v>July 2026</c:v>
                </c:pt>
                <c:pt idx="3">
                  <c:v>August 2026</c:v>
                </c:pt>
                <c:pt idx="4">
                  <c:v>Sep-26</c:v>
                </c:pt>
              </c:strCache>
            </c:strRef>
          </c:cat>
          <c:val>
            <c:numRef>
              <c:f>FINANCE!$E$11:$E$15</c:f>
              <c:numCache>
                <c:formatCode>\$#,##0.00</c:formatCode>
                <c:ptCount val="5"/>
                <c:pt idx="0">
                  <c:v>340.5</c:v>
                </c:pt>
                <c:pt idx="1">
                  <c:v>-259.5</c:v>
                </c:pt>
                <c:pt idx="2">
                  <c:v>-492.48</c:v>
                </c:pt>
                <c:pt idx="3">
                  <c:v>1866.21</c:v>
                </c:pt>
                <c:pt idx="4">
                  <c:v>4125.12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521792"/>
        <c:axId val="59873025"/>
      </c:lineChart>
      <c:catAx>
        <c:axId val="60521792"/>
        <c:scaling>
          <c:orientation val="minMax"/>
        </c:scaling>
        <c:delete val="1"/>
        <c:axPos val="b"/>
        <c:numFmt formatCode="mmm\-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73025"/>
        <c:auto val="1"/>
        <c:lblAlgn val="ctr"/>
        <c:lblOffset val="100"/>
        <c:noMultiLvlLbl val="0"/>
      </c:catAx>
      <c:valAx>
        <c:axId val="59873025"/>
        <c:scaling>
          <c:orientation val="minMax"/>
        </c:scaling>
        <c:delete val="1"/>
        <c:axPos val="l"/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21792"/>
        <c:crossBetween val="between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Production Target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PRODUCTION!$B$10</c:f>
              <c:strCache>
                <c:ptCount val="1"/>
                <c:pt idx="0">
                  <c:v>Target HA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_-* #,##0_-;\-* #,##0_-;_-* \-??_-;_-@_-" sourceLinked="1"/>
            <c:txPr>
              <a:bodyPr rot="-5400000"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PRODUCTION!$A$11:$A$12</c:f>
              <c:strCache>
                <c:ptCount val="2"/>
                <c:pt idx="0">
                  <c:v>Maize</c:v>
                </c:pt>
                <c:pt idx="1">
                  <c:v>Sorghum</c:v>
                </c:pt>
              </c:strCache>
            </c:strRef>
          </c:cat>
          <c:val>
            <c:numRef>
              <c:f>PRODUCTION!$B$11:$B$12</c:f>
              <c:numCache>
                <c:formatCode>_-* #,##0_-;\-* #,##0_-;_-* \-??_-;_-@_-</c:formatCode>
                <c:ptCount val="2"/>
                <c:pt idx="0">
                  <c:v>20000</c:v>
                </c:pt>
                <c:pt idx="1">
                  <c:v>20000</c:v>
                </c:pt>
              </c:numCache>
            </c:numRef>
          </c:val>
        </c:ser>
        <c:ser>
          <c:idx val="1"/>
          <c:order val="1"/>
          <c:tx>
            <c:strRef>
              <c:f>PRODUCTION!$C$10</c:f>
              <c:strCache>
                <c:ptCount val="1"/>
                <c:pt idx="0">
                  <c:v>Actual HA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_-* #,##0_-;\-* #,##0_-;_-* \-??_-;_-@_-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PRODUCTION!$A$11:$A$12</c:f>
              <c:strCache>
                <c:ptCount val="2"/>
                <c:pt idx="0">
                  <c:v>Maize</c:v>
                </c:pt>
                <c:pt idx="1">
                  <c:v>Sorghum</c:v>
                </c:pt>
              </c:strCache>
            </c:strRef>
          </c:cat>
          <c:val>
            <c:numRef>
              <c:f>PRODUCTION!$C$11:$C$12</c:f>
              <c:numCache>
                <c:formatCode>_-* #,##0_-;\-* #,##0_-;_-* \-??_-;_-@_-</c:formatCode>
                <c:ptCount val="2"/>
                <c:pt idx="0">
                  <c:v>20840</c:v>
                </c:pt>
                <c:pt idx="1">
                  <c:v>40932</c:v>
                </c:pt>
              </c:numCache>
            </c:numRef>
          </c:val>
        </c:ser>
        <c:gapWidth val="150"/>
        <c:overlap val="0"/>
        <c:axId val="64288230"/>
        <c:axId val="41015047"/>
      </c:barChart>
      <c:catAx>
        <c:axId val="6428823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15047"/>
        <c:auto val="1"/>
        <c:lblAlgn val="ctr"/>
        <c:lblOffset val="100"/>
        <c:noMultiLvlLbl val="0"/>
      </c:catAx>
      <c:valAx>
        <c:axId val="41015047"/>
        <c:scaling>
          <c:orientation val="minMax"/>
        </c:scaling>
        <c:delete val="1"/>
        <c:axPos val="l"/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Hectares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* #,##0_-;\-* #,##0_-;_-* \-??_-;_-@_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288230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337489723211839"/>
          <c:y val="0.198544176706827"/>
          <c:w val="0.138129496402878"/>
          <c:h val="0.160035144973014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2714760</xdr:colOff>
      <xdr:row>6</xdr:row>
      <xdr:rowOff>181080</xdr:rowOff>
    </xdr:from>
    <xdr:to>
      <xdr:col>3</xdr:col>
      <xdr:colOff>246600</xdr:colOff>
      <xdr:row>21</xdr:row>
      <xdr:rowOff>151560</xdr:rowOff>
    </xdr:to>
    <xdr:pic>
      <xdr:nvPicPr>
        <xdr:cNvPr id="0" name="Picture 1" descr=""/>
        <xdr:cNvPicPr/>
      </xdr:nvPicPr>
      <xdr:blipFill>
        <a:blip r:embed="rId1"/>
        <a:srcRect l="1040" t="206" r="211" b="1040"/>
        <a:stretch/>
      </xdr:blipFill>
      <xdr:spPr>
        <a:xfrm>
          <a:off x="2714760" y="1533600"/>
          <a:ext cx="3112920" cy="2809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380880</xdr:colOff>
      <xdr:row>8</xdr:row>
      <xdr:rowOff>0</xdr:rowOff>
    </xdr:from>
    <xdr:to>
      <xdr:col>13</xdr:col>
      <xdr:colOff>158760</xdr:colOff>
      <xdr:row>24</xdr:row>
      <xdr:rowOff>75240</xdr:rowOff>
    </xdr:to>
    <xdr:graphicFrame>
      <xdr:nvGraphicFramePr>
        <xdr:cNvPr id="1" name="Chart 1"/>
        <xdr:cNvGraphicFramePr/>
      </xdr:nvGraphicFramePr>
      <xdr:xfrm>
        <a:off x="7288560" y="2038320"/>
        <a:ext cx="5326920" cy="3047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435600</xdr:colOff>
      <xdr:row>7</xdr:row>
      <xdr:rowOff>66600</xdr:rowOff>
    </xdr:from>
    <xdr:to>
      <xdr:col>11</xdr:col>
      <xdr:colOff>756000</xdr:colOff>
      <xdr:row>23</xdr:row>
      <xdr:rowOff>720</xdr:rowOff>
    </xdr:to>
    <xdr:graphicFrame>
      <xdr:nvGraphicFramePr>
        <xdr:cNvPr id="2" name="Chart 1"/>
        <xdr:cNvGraphicFramePr/>
      </xdr:nvGraphicFramePr>
      <xdr:xfrm>
        <a:off x="6356520" y="1923840"/>
        <a:ext cx="5254200" cy="2868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7" displayName="Table7" ref="A6:J26" headerRowCount="1" totalsRowCount="0" totalsRowShown="0">
  <autoFilter ref="A6:J26"/>
  <tableColumns count="10">
    <tableColumn id="1" name="Asset ID"/>
    <tableColumn id="2" name="Asset Description"/>
    <tableColumn id="3" name="Category"/>
    <tableColumn id="4" name="Purchase Date"/>
    <tableColumn id="5" name="Cost (USD)"/>
    <tableColumn id="6" name="Residual Value (USD)"/>
    <tableColumn id="7" name="Useful Life (Years)"/>
    <tableColumn id="8" name="Annual Depreciation (USD)"/>
    <tableColumn id="9" name="Accumulated Depreciation (USD)"/>
    <tableColumn id="10" name="Closing NBV (USD)"/>
  </tableColumns>
</table>
</file>

<file path=xl/tables/table2.xml><?xml version="1.0" encoding="utf-8"?>
<table xmlns="http://schemas.openxmlformats.org/spreadsheetml/2006/main" id="2" name="tblBank" displayName="tblBank" ref="A5:H10" headerRowCount="1" totalsRowCount="0" totalsRowShown="0">
  <autoFilter ref="A5:H10"/>
  <tableColumns count="8">
    <tableColumn id="1" name="MONTH"/>
    <tableColumn id="2" name="OPENING BALANCE"/>
    <tableColumn id="3" name="RECEIPTS / BANK DEPOSITS"/>
    <tableColumn id="4" name="EXPENSES / PAYMENTS"/>
    <tableColumn id="5" name="CLOSING BALANCE"/>
    <tableColumn id="6" name="SOURCE / CHECK"/>
    <tableColumn id="7" name="DIFFERENCE"/>
    <tableColumn id="8" name="STATUS"/>
  </tableColumns>
</table>
</file>

<file path=xl/tables/table3.xml><?xml version="1.0" encoding="utf-8"?>
<table xmlns="http://schemas.openxmlformats.org/spreadsheetml/2006/main" id="3" name="tblClusterPerformance" displayName="tblClusterPerformance" ref="A8:N28" headerRowCount="1" totalsRowCount="0" totalsRowShown="0">
  <autoFilter ref="A8:N28"/>
  <tableColumns count="14">
    <tableColumn id="1" name="CLUSTER NAME"/>
    <tableColumn id="2" name="FARMERS MANAGED"/>
    <tableColumn id="3" name="MAIZE HA 2026/27"/>
    <tableColumn id="4" name="SORGHUM HA 2026/27"/>
    <tableColumn id="5" name="TOTAL PIPELINE HA"/>
    <tableColumn id="6" name="PAID FARMERS"/>
    <tableColumn id="7" name="UNPAID"/>
    <tableColumn id="8" name="PAYMENT %"/>
    <tableColumn id="9" name="PROVINCE"/>
    <tableColumn id="10" name="DISTRICT"/>
    <tableColumn id="11" name="CLUSTER CONTACT"/>
    <tableColumn id="12" name="CONTACT DETAILS"/>
    <tableColumn id="13" name="EXPECTED SUBSCRIPTIONS"/>
    <tableColumn id="14" name="AMOUNT PAID"/>
  </tableColumns>
</table>
</file>

<file path=xl/tables/table4.xml><?xml version="1.0" encoding="utf-8"?>
<table xmlns="http://schemas.openxmlformats.org/spreadsheetml/2006/main" id="4" name="tblExpenses" displayName="tblExpenses" ref="A5:E89" headerRowCount="1" totalsRowCount="0" totalsRowShown="0">
  <autoFilter ref="A5:E89"/>
  <tableColumns count="5">
    <tableColumn id="1" name="DATE"/>
    <tableColumn id="2" name="EXPENSE / PARTICULARS"/>
    <tableColumn id="3" name="AMOUNT DR"/>
    <tableColumn id="4" name="CREDIT / REIMBURSEMENT"/>
    <tableColumn id="5" name="NET EXPENSE"/>
  </tableColumns>
</table>
</file>

<file path=xl/tables/table5.xml><?xml version="1.0" encoding="utf-8"?>
<table xmlns="http://schemas.openxmlformats.org/spreadsheetml/2006/main" id="5" name="tblPipeline" displayName="tblPipeline" ref="A5:Y602" headerRowCount="1" totalsRowCount="0" totalsRowShown="0">
  <autoFilter ref="A5:Y602"/>
  <tableColumns count="25">
    <tableColumn id="1" name="SEQ"/>
    <tableColumn id="2" name="FARMER NAME"/>
    <tableColumn id="3" name="FARM NAME"/>
    <tableColumn id="4" name="CLUSTER"/>
    <tableColumn id="5" name="ID NUMBER"/>
    <tableColumn id="6" name="CONTACT"/>
    <tableColumn id="7" name="DISTRCT"/>
    <tableColumn id="8" name="PROVINCE"/>
    <tableColumn id="9" name="WARD"/>
    <tableColumn id="10" name="STATUS"/>
    <tableColumn id="11" name="SUB PAID"/>
    <tableColumn id="12" name="SUB BAL"/>
    <tableColumn id="13" name="MAIZE (HA)-2026/27"/>
    <tableColumn id="14" name="SORGHUM (HA)-2026/27"/>
    <tableColumn id="15" name="TOTAL DEBT"/>
    <tableColumn id="16" name="SORGHUM SOLD"/>
    <tableColumn id="17" name="SORGHUM VALUE"/>
    <tableColumn id="18" name="BALANCE"/>
    <tableColumn id="19" name="REPAYMENT (%)"/>
    <tableColumn id="20" name="TOTAL CONTRACTED HA"/>
    <tableColumn id="21" name="SUBSCRIPTION CATEGORY"/>
    <tableColumn id="22" name="EXPECTED SUBSCRIPTION"/>
    <tableColumn id="23" name="PAID AMOUNT"/>
    <tableColumn id="24" name="OUTSTANDING"/>
    <tableColumn id="25" name="CALCULATED PAYMENT STATUS"/>
  </tableColumns>
</table>
</file>

<file path=xl/tables/table6.xml><?xml version="1.0" encoding="utf-8"?>
<table xmlns="http://schemas.openxmlformats.org/spreadsheetml/2006/main" id="6" name="tblReceipts" displayName="tblReceipts" ref="A5:G75" headerRowCount="1" totalsRowCount="0" totalsRowShown="0">
  <autoFilter ref="A5:G75"/>
  <tableColumns count="7">
    <tableColumn id="1" name="MONTH"/>
    <tableColumn id="2" name="DATE"/>
    <tableColumn id="3" name="FARMER NAME"/>
    <tableColumn id="4" name="AMOUNT DUE"/>
    <tableColumn id="5" name="AMOUNT PAID"/>
    <tableColumn id="6" name="BALANCE"/>
    <tableColumn id="7" name="TYPE"/>
  </tableColumns>
</table>
</file>

<file path=xl/tables/table7.xml><?xml version="1.0" encoding="utf-8"?>
<table xmlns="http://schemas.openxmlformats.org/spreadsheetml/2006/main" id="7" name="tblRecovery" displayName="tblRecovery" ref="A5:P569" headerRowCount="1" totalsRowCount="0" totalsRowShown="0">
  <autoFilter ref="A5:P569"/>
  <tableColumns count="16">
    <tableColumn id="1" name="SEQ"/>
    <tableColumn id="2" name="PROVINCE"/>
    <tableColumn id="3" name="FARM NAME"/>
    <tableColumn id="4" name="FARMER NAME"/>
    <tableColumn id="5" name="FARMER ID"/>
    <tableColumn id="6" name="CROP"/>
    <tableColumn id="7" name="CONTRACTED HA"/>
    <tableColumn id="8" name="ARDA GRAND TOTAL"/>
    <tableColumn id="9" name="ARDA Balance Claimed"/>
    <tableColumn id="10" name="ARDA BAL"/>
    <tableColumn id="11" name="SGR Balance Recorded"/>
    <tableColumn id="12" name="SGR vs ARDA Difference"/>
    <tableColumn id="13" name="GRAIN RECOVERY TONNES"/>
    <tableColumn id="14" name="GRAIN DELIVERED TONNES"/>
    <tableColumn id="15" name="OUTSTANDING TONNES"/>
    <tableColumn id="16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F10" activeCellId="1" sqref="A1:L7 F10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51.18"/>
    <col collapsed="false" customWidth="true" hidden="false" outlineLevel="0" max="12" min="2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4.25" hidden="false" customHeight="true" outlineLevel="0" collapsed="false">
      <c r="A3" s="3" t="str">
        <f aca="false">HYPERLINK("#'HOME'!A1","HOME")</f>
        <v>HOME</v>
      </c>
      <c r="B3" s="3" t="str">
        <f aca="false">HYPERLINK("#'FARMERS'!A1","FARMERS")</f>
        <v>FARMERS</v>
      </c>
      <c r="C3" s="3" t="str">
        <f aca="false">HYPERLINK("#'SUBSCRIPTIONS'!A1","SUBSCRIPTIONS")</f>
        <v>SUBSCRIPTIONS</v>
      </c>
      <c r="D3" s="3" t="str">
        <f aca="false">HYPERLINK("#'PRODUCTION'!A1","PRODUCTION")</f>
        <v>PRODUCTION</v>
      </c>
      <c r="E3" s="3" t="str">
        <f aca="false">HYPERLINK("#'RECOVERY'!A1","RECOVERY")</f>
        <v>RECOVERY</v>
      </c>
      <c r="F3" s="3" t="str">
        <f aca="false">HYPERLINK("#'DELIVERIES'!A1","DELIVERIES")</f>
        <v>DELIVERIES</v>
      </c>
      <c r="G3" s="3" t="str">
        <f aca="false">HYPERLINK("#'FINANCE'!A1","FINANCE")</f>
        <v>FINANCE</v>
      </c>
      <c r="H3" s="3" t="str">
        <f aca="false">HYPERLINK("#'REPORTS'!A1","REPORTS")</f>
        <v>REPORTS</v>
      </c>
      <c r="I3" s="4" t="str">
        <f aca="false">HYPERLINK("#'SORGHUM BUDGET'!A1","SORGHUM BUDGET")</f>
        <v>SORGHUM BUDGET</v>
      </c>
      <c r="J3" s="4" t="str">
        <f aca="false">HYPERLINK("#'MAIZE BUDGET'!A1","MAIZE BUDGET")</f>
        <v>MAIZE BUDGET</v>
      </c>
      <c r="K3" s="4"/>
      <c r="L3" s="5"/>
    </row>
    <row r="5" customFormat="false" ht="15" hidden="false" customHeight="true" outlineLevel="0" collapsed="false"/>
    <row r="6" customFormat="false" ht="15" hidden="false" customHeight="true" outlineLevel="0" collapsed="false"/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2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7"/>
  <sheetViews>
    <sheetView showFormulas="false" showGridLines="false" showRowColHeaders="true" showZeros="true" rightToLeft="false" tabSelected="false" showOutlineSymbols="true" defaultGridColor="true" view="normal" topLeftCell="A1" colorId="64" zoomScale="94" zoomScaleNormal="94" zoomScalePageLayoutView="100" workbookViewId="0">
      <pane xSplit="0" ySplit="4" topLeftCell="A5" activePane="bottomLeft" state="frozen"/>
      <selection pane="topLeft" activeCell="A1" activeCellId="0" sqref="A1"/>
      <selection pane="bottomLeft" activeCell="A83" activeCellId="1" sqref="A1:L7 A83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1.18"/>
    <col collapsed="false" customWidth="true" hidden="false" outlineLevel="0" max="6" min="5" style="0" width="18"/>
    <col collapsed="false" customWidth="true" hidden="false" outlineLevel="0" max="7" min="7" style="0" width="27.54"/>
    <col collapsed="false" customWidth="true" hidden="false" outlineLevel="0" max="9" min="8" style="0" width="18"/>
    <col collapsed="false" customWidth="true" hidden="false" outlineLevel="0" max="13" min="10" style="0" width="20"/>
    <col collapsed="false" customWidth="true" hidden="false" outlineLevel="0" max="14" min="14" style="0" width="14"/>
    <col collapsed="false" customWidth="true" hidden="false" outlineLevel="0" max="15" min="15" style="0" width="16"/>
  </cols>
  <sheetData>
    <row r="1" customFormat="false" ht="33.75" hidden="false" customHeight="true" outlineLevel="0" collapsed="false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4.2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4.25" hidden="false" customHeight="true" outlineLevel="0" collapsed="false">
      <c r="A3" s="6" t="str">
        <f aca="false">HYPERLINK("#'HOME'!A1","HOME")</f>
        <v>HOME</v>
      </c>
      <c r="B3" s="6" t="str">
        <f aca="false">HYPERLINK("#'FARMERS'!A1","FARMERS")</f>
        <v>FARMERS</v>
      </c>
      <c r="C3" s="6" t="str">
        <f aca="false">HYPERLINK("#'SUBSCRIPTIONS'!A1","SUBSCRIPTIONS")</f>
        <v>SUBSCRIPTIONS</v>
      </c>
      <c r="D3" s="6" t="str">
        <f aca="false">HYPERLINK("#'PRODUCTION'!A1","PRODUCTION")</f>
        <v>PRODUCTION</v>
      </c>
      <c r="E3" s="6" t="str">
        <f aca="false">HYPERLINK("#'RECOVERY'!A1","RECOVERY")</f>
        <v>RECOVERY</v>
      </c>
      <c r="F3" s="6" t="str">
        <f aca="false">HYPERLINK("#'DELIVERIES'!A1","DELIVERIES")</f>
        <v>DELIVERIES</v>
      </c>
      <c r="G3" s="6" t="str">
        <f aca="false">HYPERLINK("#'FINANCE'!A1","FINANCE")</f>
        <v>FINANCE</v>
      </c>
      <c r="H3" s="6" t="str">
        <f aca="false">HYPERLINK("#'REPORTS'!A1","REPORTS")</f>
        <v>REPORTS</v>
      </c>
      <c r="J3" s="7" t="str">
        <f aca="false">HYPERLINK("#'MONTHLY SALARY'!A1","MONTHLY SALARY")</f>
        <v>MONTHLY SALARY</v>
      </c>
      <c r="K3" s="7" t="str">
        <f aca="false">HYPERLINK("#'PROFIT &amp; LOSS'!A1","PROFIT &amp; LOSS")</f>
        <v>PROFIT &amp; LOSS</v>
      </c>
      <c r="L3" s="7" t="str">
        <f aca="false">HYPERLINK("#'BALANCE SHEET'!A1","BALANCE SHEET")</f>
        <v>BALANCE SHEET</v>
      </c>
    </row>
    <row r="4" customFormat="false" ht="18.75" hidden="false" customHeight="true" outlineLevel="0" collapsed="false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customFormat="false" ht="24" hidden="false" customHeight="true" outlineLevel="0" collapsed="false">
      <c r="A5" s="9" t="s">
        <v>4</v>
      </c>
      <c r="B5" s="9"/>
      <c r="C5" s="9" t="s">
        <v>5</v>
      </c>
      <c r="D5" s="9"/>
      <c r="E5" s="9" t="s">
        <v>6</v>
      </c>
      <c r="F5" s="9"/>
      <c r="G5" s="9" t="s">
        <v>7</v>
      </c>
      <c r="H5" s="9"/>
      <c r="I5" s="9" t="s">
        <v>8</v>
      </c>
      <c r="J5" s="9"/>
      <c r="K5" s="9" t="s">
        <v>9</v>
      </c>
      <c r="L5" s="9"/>
    </row>
    <row r="6" customFormat="false" ht="31.5" hidden="false" customHeight="true" outlineLevel="0" collapsed="false">
      <c r="A6" s="10" t="n">
        <f aca="false">COUNTA(DATA_PIPELINE!$B$6:$B$601)</f>
        <v>573</v>
      </c>
      <c r="B6" s="10"/>
      <c r="C6" s="10" t="n">
        <f aca="false">COUNTIF(DATA_PIPELINE!$Y$6:$Y$601,"Paid")</f>
        <v>18</v>
      </c>
      <c r="D6" s="10"/>
      <c r="E6" s="10" t="n">
        <f aca="false">COUNTIF(DATA_PIPELINE!$Y$6:$Y$601,"Partly Paid")</f>
        <v>38</v>
      </c>
      <c r="F6" s="10"/>
      <c r="G6" s="10" t="n">
        <f aca="false">C6+E6</f>
        <v>56</v>
      </c>
      <c r="H6" s="10"/>
      <c r="I6" s="11" t="n">
        <f aca="false">IFERROR(G6/A6,0)</f>
        <v>0.0977312390924956</v>
      </c>
      <c r="J6" s="11"/>
      <c r="K6" s="12" t="n">
        <f aca="false">SUM(DATA_RECEIPTS!$E$6:$E$75)</f>
        <v>17375</v>
      </c>
      <c r="L6" s="12"/>
    </row>
    <row r="7" customFormat="false" ht="15" hidden="false" customHeight="true" outlineLevel="0" collapsed="false">
      <c r="A7" s="13" t="s">
        <v>10</v>
      </c>
      <c r="B7" s="13"/>
      <c r="C7" s="14" t="s">
        <v>11</v>
      </c>
      <c r="D7" s="14"/>
      <c r="E7" s="14" t="s">
        <v>12</v>
      </c>
      <c r="F7" s="14"/>
      <c r="G7" s="14" t="s">
        <v>13</v>
      </c>
      <c r="H7" s="14"/>
      <c r="I7" s="14" t="s">
        <v>14</v>
      </c>
      <c r="J7" s="14"/>
      <c r="K7" s="14" t="s">
        <v>15</v>
      </c>
      <c r="L7" s="14"/>
    </row>
    <row r="8" customFormat="false" ht="21" hidden="false" customHeight="true" outlineLevel="0" collapsed="false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 customFormat="false" ht="21" hidden="false" customHeight="true" outlineLevel="0" collapsed="false">
      <c r="A9" s="17"/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customFormat="false" ht="24" hidden="false" customHeight="true" outlineLevel="0" collapsed="false">
      <c r="A10" s="9" t="s">
        <v>16</v>
      </c>
      <c r="B10" s="9"/>
      <c r="C10" s="9" t="s">
        <v>17</v>
      </c>
      <c r="D10" s="9"/>
      <c r="E10" s="9" t="s">
        <v>18</v>
      </c>
      <c r="F10" s="9"/>
      <c r="G10" s="9" t="s">
        <v>19</v>
      </c>
      <c r="H10" s="9"/>
      <c r="I10" s="9" t="s">
        <v>20</v>
      </c>
      <c r="J10" s="9"/>
      <c r="K10" s="9" t="s">
        <v>21</v>
      </c>
      <c r="L10" s="9"/>
    </row>
    <row r="11" customFormat="false" ht="31.5" hidden="false" customHeight="true" outlineLevel="0" collapsed="false">
      <c r="A11" s="19" t="n">
        <v>20000</v>
      </c>
      <c r="B11" s="19"/>
      <c r="C11" s="20" t="n">
        <f aca="false">SUMIFS(DATA_PIPELINE!$M$6:$M$601,DATA_PIPELINE!$Y$6:$Y$601,"Paid")+SUMIFS(DATA_PIPELINE!$M$6:$M$601,DATA_PIPELINE!$Y$6:$Y$601,"Partly Paid")</f>
        <v>1950</v>
      </c>
      <c r="D11" s="20"/>
      <c r="E11" s="21" t="n">
        <f aca="false">C11-A11</f>
        <v>-18050</v>
      </c>
      <c r="F11" s="21"/>
      <c r="G11" s="20" t="n">
        <v>20000</v>
      </c>
      <c r="H11" s="20"/>
      <c r="I11" s="20" t="n">
        <f aca="false">SUMIFS(DATA_PIPELINE!$N$6:$N$601,DATA_PIPELINE!$Y$6:$Y$601,"Paid")+SUMIFS(DATA_PIPELINE!$N$6:$N$601,DATA_PIPELINE!$Y$6:$Y$601,"Partly Paid")</f>
        <v>5265</v>
      </c>
      <c r="J11" s="20"/>
      <c r="K11" s="21" t="n">
        <f aca="false">I11-G11</f>
        <v>-14735</v>
      </c>
      <c r="L11" s="21"/>
    </row>
    <row r="12" customFormat="false" ht="18.75" hidden="false" customHeight="true" outlineLevel="0" collapsed="false">
      <c r="A12" s="22" t="s">
        <v>22</v>
      </c>
      <c r="B12" s="22"/>
      <c r="C12" s="23" t="n">
        <f aca="false">IFERROR(C11/A11,0)</f>
        <v>0.0975</v>
      </c>
      <c r="D12" s="23"/>
      <c r="E12" s="24" t="s">
        <v>23</v>
      </c>
      <c r="F12" s="24"/>
      <c r="G12" s="14" t="s">
        <v>24</v>
      </c>
      <c r="H12" s="14"/>
      <c r="I12" s="23" t="n">
        <v>0.195</v>
      </c>
      <c r="J12" s="23"/>
      <c r="K12" s="24" t="s">
        <v>23</v>
      </c>
      <c r="L12" s="24"/>
    </row>
    <row r="13" customFormat="false" ht="21" hidden="false" customHeight="true" outlineLevel="0" collapsed="false">
      <c r="A13" s="25" t="s">
        <v>25</v>
      </c>
      <c r="B13" s="26" t="s">
        <v>25</v>
      </c>
      <c r="C13" s="26" t="s">
        <v>25</v>
      </c>
      <c r="D13" s="26" t="s">
        <v>25</v>
      </c>
      <c r="E13" s="27" t="s">
        <v>25</v>
      </c>
      <c r="F13" s="28" t="s">
        <v>25</v>
      </c>
      <c r="G13" s="27" t="s">
        <v>25</v>
      </c>
      <c r="H13" s="27" t="s">
        <v>25</v>
      </c>
      <c r="I13" s="27" t="s">
        <v>25</v>
      </c>
      <c r="J13" s="27" t="s">
        <v>25</v>
      </c>
      <c r="K13" s="27" t="s">
        <v>25</v>
      </c>
      <c r="L13" s="28"/>
    </row>
    <row r="14" customFormat="false" ht="21" hidden="false" customHeight="true" outlineLevel="0" collapsed="false">
      <c r="A14" s="17"/>
      <c r="B14" s="17"/>
      <c r="C14" s="17"/>
      <c r="D14" s="17"/>
    </row>
    <row r="15" customFormat="false" ht="24" hidden="false" customHeight="true" outlineLevel="0" collapsed="false">
      <c r="A15" s="29" t="s">
        <v>26</v>
      </c>
      <c r="B15" s="29"/>
      <c r="C15" s="30" t="s">
        <v>27</v>
      </c>
      <c r="D15" s="30"/>
      <c r="E15" s="30" t="s">
        <v>28</v>
      </c>
      <c r="F15" s="30"/>
      <c r="G15" s="30" t="s">
        <v>29</v>
      </c>
      <c r="H15" s="30"/>
      <c r="I15" s="30" t="s">
        <v>30</v>
      </c>
      <c r="J15" s="30"/>
      <c r="K15" s="30" t="s">
        <v>31</v>
      </c>
      <c r="L15" s="30"/>
    </row>
    <row r="16" customFormat="false" ht="31.5" hidden="false" customHeight="true" outlineLevel="0" collapsed="false">
      <c r="A16" s="31" t="n">
        <f aca="true">TODAY()</f>
        <v>46295</v>
      </c>
      <c r="B16" s="31"/>
      <c r="C16" s="32" t="n">
        <f aca="false">SUM(DATA_BANK!$C$6:$C$10)</f>
        <v>17375</v>
      </c>
      <c r="D16" s="32"/>
      <c r="E16" s="32" t="n">
        <f aca="false">SUMIFS(DATA_RECEIPTS!E:E, DATA_RECEIPTS!A:A, "&gt;=2026-09-01", DATA_RECEIPTS!A:A, "&lt;2026-10-01")</f>
        <v>2725</v>
      </c>
      <c r="F16" s="32"/>
      <c r="G16" s="33" t="n">
        <f aca="false">DATA_BANK!E10</f>
        <v>4125.12</v>
      </c>
      <c r="H16" s="33"/>
      <c r="I16" s="32" t="n">
        <f aca="false">SUM(DATA_RECEIPTS!$F$6:$F$75)</f>
        <v>14025</v>
      </c>
      <c r="J16" s="32"/>
      <c r="K16" s="31" t="n">
        <f aca="true">TODAY()</f>
        <v>46295</v>
      </c>
      <c r="L16" s="31"/>
    </row>
    <row r="17" customFormat="false" ht="15" hidden="false" customHeight="true" outlineLevel="0" collapsed="false"/>
    <row r="20" customFormat="false" ht="17.25" hidden="false" customHeight="true" outlineLevel="0" collapsed="false">
      <c r="A20" s="34" t="s">
        <v>32</v>
      </c>
    </row>
    <row r="21" customFormat="false" ht="14.25" hidden="false" customHeight="true" outlineLevel="0" collapsed="false">
      <c r="A21" s="35" t="str">
        <f aca="false">HYPERLINK("#'FARMERS'!A1","Farmers")</f>
        <v>Farmers</v>
      </c>
      <c r="B21" s="35"/>
      <c r="C21" s="35" t="str">
        <f aca="false">HYPERLINK("#'SUBSCRIPTIONS'!A1","Subscriptions")</f>
        <v>Subscriptions</v>
      </c>
      <c r="D21" s="35"/>
      <c r="E21" s="35" t="str">
        <f aca="false">HYPERLINK("#'PRODUCTION'!A1","Production")</f>
        <v>Production</v>
      </c>
      <c r="F21" s="35"/>
      <c r="G21" s="35" t="str">
        <f aca="false">HYPERLINK("#'RECOVERY'!A1","Recovery Programme")</f>
        <v>Recovery Programme</v>
      </c>
      <c r="H21" s="35"/>
      <c r="I21" s="35" t="str">
        <f aca="false">HYPERLINK("#'DELIVERIES'!A1","Grain Deliveries")</f>
        <v>Grain Deliveries</v>
      </c>
      <c r="J21" s="35"/>
      <c r="K21" s="35" t="str">
        <f aca="false">HYPERLINK("#'FINANCE'!A1","Finance")</f>
        <v>Finance</v>
      </c>
      <c r="L21" s="35"/>
      <c r="M21" s="36"/>
    </row>
    <row r="24" customFormat="false" ht="14.25" hidden="false" customHeight="true" outlineLevel="0" collapsed="false">
      <c r="A24" s="35" t="str">
        <f aca="false">HYPERLINK("#'REPORTS'!A1","Reports")</f>
        <v>Reports</v>
      </c>
      <c r="B24" s="35"/>
      <c r="C24" s="35" t="str">
        <f aca="false">HYPERLINK("#'DATA_PIPELINE'!A1","Data Pipeline")</f>
        <v>Data Pipeline</v>
      </c>
      <c r="D24" s="35"/>
      <c r="E24" s="35" t="str">
        <f aca="false">HYPERLINK("#'DATA_RECOVERY'!A1","Data Recovery")</f>
        <v>Data Recovery</v>
      </c>
      <c r="F24" s="35"/>
      <c r="G24" s="35" t="str">
        <f aca="false">HYPERLINK("#'DATA_RECEIPTS'!A1","Data Receipts")</f>
        <v>Data Receipts</v>
      </c>
      <c r="H24" s="35"/>
      <c r="I24" s="35" t="str">
        <f aca="false">HYPERLINK("#'DATA_EXPENSES'!A1","Data Expenses")</f>
        <v>Data Expenses</v>
      </c>
      <c r="J24" s="35"/>
      <c r="K24" s="35" t="str">
        <f aca="false">HYPERLINK("#'DATA_BANK'!A1","Data Bank")</f>
        <v>Data Bank</v>
      </c>
      <c r="L24" s="35"/>
    </row>
    <row r="26" customFormat="false" ht="15" hidden="false" customHeight="true" outlineLevel="0" collapsed="false"/>
    <row r="27" customFormat="false" ht="27.75" hidden="false" customHeight="true" outlineLevel="0" collapsed="false">
      <c r="A27" s="37" t="s">
        <v>33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</row>
    <row r="28" customFormat="false" ht="21.75" hidden="false" customHeight="true" outlineLevel="0" collapsed="false"/>
    <row r="29" customFormat="false" ht="21.75" hidden="false" customHeight="true" outlineLevel="0" collapsed="false">
      <c r="A29" s="38" t="s">
        <v>34</v>
      </c>
      <c r="B29" s="38"/>
      <c r="C29" s="38"/>
      <c r="D29" s="38" t="s">
        <v>35</v>
      </c>
      <c r="E29" s="38"/>
      <c r="F29" s="38"/>
      <c r="G29" s="38" t="s">
        <v>36</v>
      </c>
      <c r="H29" s="38"/>
      <c r="I29" s="38"/>
      <c r="J29" s="38" t="s">
        <v>37</v>
      </c>
      <c r="K29" s="38"/>
      <c r="L29" s="38"/>
      <c r="M29" s="38" t="s">
        <v>38</v>
      </c>
      <c r="N29" s="38"/>
      <c r="O29" s="38"/>
    </row>
    <row r="30" customFormat="false" ht="21.75" hidden="false" customHeight="true" outlineLevel="0" collapsed="false">
      <c r="A30" s="39" t="n">
        <f aca="false">COUNTIF(DATA_PIPELINE!$Y$6:$Y$601,"Paid")+COUNTIF(DATA_PIPELINE!$Y$6:$Y$601,"Partly Paid")</f>
        <v>56</v>
      </c>
      <c r="B30" s="39"/>
      <c r="C30" s="39"/>
      <c r="D30" s="40" t="n">
        <f aca="false">SUMIFS(DATA_PIPELINE!$N$6:$N$601,DATA_PIPELINE!$Y$6:$Y$601,"Paid")+SUMIFS(DATA_PIPELINE!$N$6:$N$601,DATA_PIPELINE!$Y$6:$Y$601,"Partly Paid")</f>
        <v>5265</v>
      </c>
      <c r="E30" s="40"/>
      <c r="F30" s="40"/>
      <c r="G30" s="40" t="n">
        <f aca="false">MIN(D30,J30)</f>
        <v>5265</v>
      </c>
      <c r="H30" s="40"/>
      <c r="I30" s="40"/>
      <c r="J30" s="39" t="n">
        <f aca="false">20000</f>
        <v>20000</v>
      </c>
      <c r="K30" s="39"/>
      <c r="L30" s="39"/>
      <c r="M30" s="40" t="n">
        <f aca="false">MAX(0,J30-G30)</f>
        <v>14735</v>
      </c>
      <c r="N30" s="40"/>
      <c r="O30" s="40"/>
    </row>
    <row r="31" customFormat="false" ht="21.75" hidden="false" customHeight="true" outlineLevel="0" collapsed="false"/>
    <row r="32" customFormat="false" ht="21.75" hidden="false" customHeight="true" outlineLevel="0" collapsed="false">
      <c r="A32" s="41" t="s">
        <v>39</v>
      </c>
      <c r="B32" s="41"/>
      <c r="C32" s="41"/>
      <c r="D32" s="41" t="s">
        <v>40</v>
      </c>
      <c r="E32" s="41"/>
      <c r="F32" s="41"/>
      <c r="G32" s="41" t="s">
        <v>41</v>
      </c>
      <c r="H32" s="41"/>
      <c r="I32" s="41"/>
      <c r="J32" s="41" t="s">
        <v>42</v>
      </c>
      <c r="K32" s="41"/>
      <c r="L32" s="41"/>
      <c r="M32" s="41" t="s">
        <v>43</v>
      </c>
      <c r="N32" s="41"/>
      <c r="O32" s="41"/>
    </row>
    <row r="33" customFormat="false" ht="21.75" hidden="false" customHeight="true" outlineLevel="0" collapsed="false">
      <c r="A33" s="42" t="n">
        <f aca="false">'SORGHUM BUDGET'!I38</f>
        <v>873</v>
      </c>
      <c r="B33" s="42"/>
      <c r="C33" s="42"/>
      <c r="D33" s="42" t="n">
        <f aca="false">J30*A33</f>
        <v>17460000</v>
      </c>
      <c r="E33" s="42"/>
      <c r="F33" s="42"/>
      <c r="G33" s="42" t="n">
        <f aca="false">G30*A33</f>
        <v>4596345</v>
      </c>
      <c r="H33" s="42"/>
      <c r="I33" s="42"/>
      <c r="J33" s="42" t="n">
        <f aca="false">MAX(0,D33-G33)</f>
        <v>12863655</v>
      </c>
      <c r="K33" s="42"/>
      <c r="L33" s="42"/>
      <c r="M33" s="43" t="n">
        <f aca="false">IFERROR(G30/J30,0)</f>
        <v>0.26325</v>
      </c>
      <c r="N33" s="43"/>
      <c r="O33" s="43"/>
    </row>
    <row r="34" customFormat="false" ht="21.75" hidden="false" customHeight="true" outlineLevel="0" collapsed="false"/>
    <row r="35" customFormat="false" ht="21.75" hidden="false" customHeight="true" outlineLevel="0" collapsed="false">
      <c r="A35" s="44" t="s">
        <v>44</v>
      </c>
      <c r="B35" s="44"/>
      <c r="C35" s="44"/>
      <c r="D35" s="44"/>
      <c r="E35" s="44"/>
      <c r="G35" s="44" t="s">
        <v>45</v>
      </c>
      <c r="H35" s="44"/>
      <c r="I35" s="44"/>
      <c r="J35" s="44"/>
      <c r="K35" s="44"/>
      <c r="L35" s="44"/>
      <c r="M35" s="44"/>
      <c r="N35" s="44"/>
      <c r="O35" s="44"/>
    </row>
    <row r="36" customFormat="false" ht="21.75" hidden="false" customHeight="true" outlineLevel="0" collapsed="false">
      <c r="A36" s="45" t="s">
        <v>46</v>
      </c>
      <c r="B36" s="45" t="s">
        <v>47</v>
      </c>
      <c r="C36" s="45" t="s">
        <v>48</v>
      </c>
      <c r="D36" s="45" t="s">
        <v>49</v>
      </c>
      <c r="E36" s="45" t="s">
        <v>50</v>
      </c>
    </row>
    <row r="37" customFormat="false" ht="21.75" hidden="false" customHeight="true" outlineLevel="0" collapsed="false">
      <c r="A37" s="0" t="s">
        <v>51</v>
      </c>
      <c r="B37" s="46" t="n">
        <f aca="false">'SORGHUM BUDGET'!I10+'SORGHUM BUDGET'!I11</f>
        <v>50</v>
      </c>
      <c r="C37" s="46" t="n">
        <f aca="false">B37*$J$30</f>
        <v>1000000</v>
      </c>
      <c r="D37" s="46" t="n">
        <f aca="false">B37*$G$30</f>
        <v>263250</v>
      </c>
      <c r="E37" s="47" t="n">
        <f aca="false">IFERROR(B37/$A$33,0)</f>
        <v>0.0572737686139748</v>
      </c>
      <c r="G37" s="48" t="s">
        <v>52</v>
      </c>
      <c r="I37" s="49" t="n">
        <f aca="false">'SORGHUM BUDGET'!I38</f>
        <v>873</v>
      </c>
      <c r="J37" s="49"/>
      <c r="K37" s="49"/>
      <c r="L37" s="49"/>
      <c r="M37" s="49"/>
      <c r="N37" s="49"/>
      <c r="O37" s="49"/>
    </row>
    <row r="38" customFormat="false" ht="21.75" hidden="false" customHeight="true" outlineLevel="0" collapsed="false">
      <c r="A38" s="0" t="s">
        <v>53</v>
      </c>
      <c r="B38" s="46" t="n">
        <f aca="false">'SORGHUM BUDGET'!I14+'SORGHUM BUDGET'!I15</f>
        <v>268</v>
      </c>
      <c r="C38" s="46" t="n">
        <f aca="false">B38*$J$30</f>
        <v>5360000</v>
      </c>
      <c r="D38" s="46" t="n">
        <f aca="false">B38*$G$30</f>
        <v>1411020</v>
      </c>
      <c r="E38" s="47" t="n">
        <f aca="false">IFERROR(B38/$A$33,0)</f>
        <v>0.306987399770905</v>
      </c>
      <c r="G38" s="48" t="s">
        <v>54</v>
      </c>
      <c r="I38" s="49" t="n">
        <f aca="false">'SORGHUM BUDGET'!H38</f>
        <v>743</v>
      </c>
      <c r="J38" s="49"/>
      <c r="K38" s="49"/>
      <c r="L38" s="49"/>
      <c r="M38" s="49"/>
      <c r="N38" s="49"/>
      <c r="O38" s="49"/>
    </row>
    <row r="39" customFormat="false" ht="21.75" hidden="false" customHeight="true" outlineLevel="0" collapsed="false">
      <c r="A39" s="0" t="s">
        <v>55</v>
      </c>
      <c r="B39" s="46" t="n">
        <f aca="false">'SORGHUM BUDGET'!I18+'SORGHUM BUDGET'!I19+'SORGHUM BUDGET'!I20</f>
        <v>220</v>
      </c>
      <c r="C39" s="46" t="n">
        <f aca="false">B39*$J$30</f>
        <v>4400000</v>
      </c>
      <c r="D39" s="46" t="n">
        <f aca="false">B39*$G$30</f>
        <v>1158300</v>
      </c>
      <c r="E39" s="47" t="n">
        <f aca="false">IFERROR(B39/$A$33,0)</f>
        <v>0.252004581901489</v>
      </c>
      <c r="G39" s="48" t="s">
        <v>56</v>
      </c>
      <c r="I39" s="50" t="n">
        <f aca="false">COUNTIF(DATA_PIPELINE!$Y$6:$Y$601,"Paid")+COUNTIF(DATA_PIPELINE!$Y$6:$Y$601,"Partly Paid")</f>
        <v>56</v>
      </c>
      <c r="J39" s="50"/>
      <c r="K39" s="50"/>
      <c r="L39" s="50"/>
      <c r="M39" s="50"/>
      <c r="N39" s="50"/>
      <c r="O39" s="50"/>
    </row>
    <row r="40" customFormat="false" ht="21.75" hidden="false" customHeight="true" outlineLevel="0" collapsed="false">
      <c r="A40" s="0" t="s">
        <v>57</v>
      </c>
      <c r="B40" s="46" t="n">
        <f aca="false">'SORGHUM BUDGET'!I24+'SORGHUM BUDGET'!I25+'SORGHUM BUDGET'!I26</f>
        <v>32</v>
      </c>
      <c r="C40" s="46" t="n">
        <f aca="false">B40*$J$30</f>
        <v>640000</v>
      </c>
      <c r="D40" s="46" t="n">
        <f aca="false">B40*$G$30</f>
        <v>168480</v>
      </c>
      <c r="E40" s="47" t="n">
        <f aca="false">IFERROR(B40/$A$33,0)</f>
        <v>0.0366552119129439</v>
      </c>
      <c r="G40" s="48" t="s">
        <v>58</v>
      </c>
      <c r="I40" s="51" t="n">
        <f aca="false">SUMIFS(DATA_PIPELINE!$N$6:$N$601,DATA_PIPELINE!$Y$6:$Y$601,"Paid")+SUMIFS(DATA_PIPELINE!$N$6:$N$601,DATA_PIPELINE!$Y$6:$Y$601,"Partly Paid")</f>
        <v>5265</v>
      </c>
      <c r="J40" s="51"/>
      <c r="K40" s="51"/>
      <c r="L40" s="51"/>
      <c r="M40" s="51"/>
      <c r="N40" s="51"/>
      <c r="O40" s="51"/>
    </row>
    <row r="41" customFormat="false" ht="21.75" hidden="false" customHeight="true" outlineLevel="0" collapsed="false">
      <c r="A41" s="0" t="s">
        <v>59</v>
      </c>
      <c r="B41" s="46" t="n">
        <f aca="false">'SORGHUM BUDGET'!I28+'SORGHUM BUDGET'!I29</f>
        <v>15</v>
      </c>
      <c r="C41" s="46" t="n">
        <f aca="false">B41*$J$30</f>
        <v>300000</v>
      </c>
      <c r="D41" s="46" t="n">
        <f aca="false">B41*$G$30</f>
        <v>78975</v>
      </c>
      <c r="E41" s="47" t="n">
        <f aca="false">IFERROR(B41/$A$33,0)</f>
        <v>0.0171821305841924</v>
      </c>
      <c r="G41" s="48" t="s">
        <v>60</v>
      </c>
      <c r="I41" s="51" t="n">
        <f aca="false">G30</f>
        <v>5265</v>
      </c>
      <c r="J41" s="51"/>
      <c r="K41" s="51"/>
      <c r="L41" s="51"/>
      <c r="M41" s="51"/>
      <c r="N41" s="51"/>
      <c r="O41" s="51"/>
    </row>
    <row r="42" customFormat="false" ht="21.75" hidden="false" customHeight="true" outlineLevel="0" collapsed="false">
      <c r="A42" s="0" t="s">
        <v>61</v>
      </c>
      <c r="B42" s="46" t="n">
        <f aca="false">'SORGHUM BUDGET'!I31+'SORGHUM BUDGET'!I32+'SORGHUM BUDGET'!I33</f>
        <v>18</v>
      </c>
      <c r="C42" s="46" t="n">
        <f aca="false">B42*$J$30</f>
        <v>360000</v>
      </c>
      <c r="D42" s="46" t="n">
        <f aca="false">B42*$G$30</f>
        <v>94770</v>
      </c>
      <c r="E42" s="47" t="n">
        <f aca="false">IFERROR(B42/$A$33,0)</f>
        <v>0.0206185567010309</v>
      </c>
      <c r="G42" s="48" t="s">
        <v>62</v>
      </c>
      <c r="I42" s="51" t="n">
        <f aca="false">MAX(0,J30-G30)</f>
        <v>14735</v>
      </c>
      <c r="J42" s="51"/>
      <c r="K42" s="51"/>
      <c r="L42" s="51"/>
      <c r="M42" s="51"/>
      <c r="N42" s="51"/>
      <c r="O42" s="51"/>
    </row>
    <row r="43" customFormat="false" ht="21.75" hidden="false" customHeight="true" outlineLevel="0" collapsed="false">
      <c r="A43" s="0" t="s">
        <v>63</v>
      </c>
      <c r="B43" s="46" t="n">
        <f aca="false">'SORGHUM BUDGET'!I34</f>
        <v>20</v>
      </c>
      <c r="C43" s="46" t="n">
        <f aca="false">B43*$J$30</f>
        <v>400000</v>
      </c>
      <c r="D43" s="46" t="n">
        <f aca="false">B43*$G$30</f>
        <v>105300</v>
      </c>
      <c r="E43" s="47" t="n">
        <f aca="false">IFERROR(B43/$A$33,0)</f>
        <v>0.0229095074455899</v>
      </c>
      <c r="G43" s="48" t="s">
        <v>64</v>
      </c>
      <c r="I43" s="49" t="n">
        <f aca="false">G33</f>
        <v>4596345</v>
      </c>
      <c r="J43" s="49"/>
      <c r="K43" s="49"/>
      <c r="L43" s="49"/>
      <c r="M43" s="49"/>
      <c r="N43" s="49"/>
      <c r="O43" s="49"/>
    </row>
    <row r="44" customFormat="false" ht="21.75" hidden="false" customHeight="true" outlineLevel="0" collapsed="false">
      <c r="A44" s="0" t="s">
        <v>65</v>
      </c>
      <c r="B44" s="46" t="n">
        <f aca="false">'SORGHUM BUDGET'!I35</f>
        <v>90</v>
      </c>
      <c r="C44" s="46" t="n">
        <f aca="false">B44*$J$30</f>
        <v>1800000</v>
      </c>
      <c r="D44" s="46" t="n">
        <f aca="false">B44*$G$30</f>
        <v>473850</v>
      </c>
      <c r="E44" s="47" t="n">
        <f aca="false">IFERROR(B44/$A$33,0)</f>
        <v>0.103092783505155</v>
      </c>
      <c r="G44" s="48" t="s">
        <v>66</v>
      </c>
      <c r="I44" s="49" t="n">
        <f aca="false">D33</f>
        <v>17460000</v>
      </c>
      <c r="J44" s="49"/>
      <c r="K44" s="49"/>
      <c r="L44" s="49"/>
      <c r="M44" s="49"/>
      <c r="N44" s="49"/>
      <c r="O44" s="49"/>
    </row>
    <row r="45" customFormat="false" ht="21.75" hidden="false" customHeight="true" outlineLevel="0" collapsed="false">
      <c r="A45" s="0" t="s">
        <v>67</v>
      </c>
      <c r="B45" s="46" t="n">
        <f aca="false">'SORGHUM BUDGET'!I36</f>
        <v>80</v>
      </c>
      <c r="C45" s="46" t="n">
        <f aca="false">B45*$J$30</f>
        <v>1600000</v>
      </c>
      <c r="D45" s="46" t="n">
        <f aca="false">B45*$G$30</f>
        <v>421200</v>
      </c>
      <c r="E45" s="47" t="n">
        <f aca="false">IFERROR(B45/$A$33,0)</f>
        <v>0.0916380297823597</v>
      </c>
      <c r="G45" s="48" t="s">
        <v>68</v>
      </c>
      <c r="I45" s="52"/>
      <c r="J45" s="52"/>
      <c r="K45" s="52"/>
      <c r="L45" s="52"/>
      <c r="M45" s="52"/>
      <c r="N45" s="52"/>
      <c r="O45" s="52"/>
    </row>
    <row r="46" customFormat="false" ht="21.75" hidden="false" customHeight="true" outlineLevel="0" collapsed="false">
      <c r="A46" s="0" t="s">
        <v>69</v>
      </c>
      <c r="B46" s="46" t="n">
        <f aca="false">'SORGHUM BUDGET'!I37</f>
        <v>80</v>
      </c>
      <c r="C46" s="46" t="n">
        <f aca="false">B46*$J$30</f>
        <v>1600000</v>
      </c>
      <c r="D46" s="46" t="n">
        <f aca="false">B46*$G$30</f>
        <v>421200</v>
      </c>
      <c r="E46" s="47" t="n">
        <f aca="false">IFERROR(B46/$A$33,0)</f>
        <v>0.0916380297823597</v>
      </c>
    </row>
    <row r="47" customFormat="false" ht="21.75" hidden="false" customHeight="true" outlineLevel="0" collapsed="false">
      <c r="A47" s="53" t="s">
        <v>70</v>
      </c>
      <c r="B47" s="54" t="n">
        <f aca="false">SUM(B37:B46)</f>
        <v>873</v>
      </c>
      <c r="C47" s="54" t="n">
        <f aca="false">SUM(C37:C46)</f>
        <v>17460000</v>
      </c>
      <c r="D47" s="54" t="n">
        <f aca="false">SUM(D37:D46)</f>
        <v>4596345</v>
      </c>
      <c r="E47" s="55" t="n">
        <f aca="false">SUM(E37:E46)</f>
        <v>1</v>
      </c>
    </row>
    <row r="50" customFormat="false" ht="27.75" hidden="false" customHeight="true" outlineLevel="0" collapsed="false">
      <c r="A50" s="37" t="s">
        <v>71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</row>
    <row r="52" customFormat="false" ht="21.75" hidden="false" customHeight="true" outlineLevel="0" collapsed="false">
      <c r="A52" s="38" t="s">
        <v>34</v>
      </c>
      <c r="B52" s="38"/>
      <c r="C52" s="38"/>
      <c r="D52" s="38" t="s">
        <v>72</v>
      </c>
      <c r="E52" s="38"/>
      <c r="F52" s="38"/>
      <c r="G52" s="38" t="s">
        <v>36</v>
      </c>
      <c r="H52" s="38"/>
      <c r="I52" s="38"/>
      <c r="J52" s="38" t="s">
        <v>37</v>
      </c>
      <c r="K52" s="38"/>
      <c r="L52" s="38"/>
      <c r="M52" s="38" t="s">
        <v>38</v>
      </c>
      <c r="N52" s="38"/>
      <c r="O52" s="38"/>
    </row>
    <row r="53" customFormat="false" ht="21.75" hidden="false" customHeight="true" outlineLevel="0" collapsed="false">
      <c r="A53" s="39" t="n">
        <f aca="false">COUNTIF(DATA_PIPELINE!$Y$6:$Y$601,"Paid")+COUNTIF(DATA_PIPELINE!$Y$6:$Y$601,"Partly Paid")</f>
        <v>56</v>
      </c>
      <c r="B53" s="39"/>
      <c r="C53" s="39"/>
      <c r="D53" s="40" t="n">
        <f aca="false">SUMIFS(DATA_PIPELINE!$M$6:$M$601,DATA_PIPELINE!$Y$6:$Y$601,"Paid")+SUMIFS(DATA_PIPELINE!$M$6:$M$601,DATA_PIPELINE!$Y$6:$Y$601,"Partly Paid")</f>
        <v>1950</v>
      </c>
      <c r="E53" s="40"/>
      <c r="F53" s="40"/>
      <c r="G53" s="40" t="n">
        <f aca="false">MIN(D53,J53)</f>
        <v>1950</v>
      </c>
      <c r="H53" s="40"/>
      <c r="I53" s="40"/>
      <c r="J53" s="40" t="n">
        <f aca="false">20000</f>
        <v>20000</v>
      </c>
      <c r="K53" s="40"/>
      <c r="L53" s="40"/>
      <c r="M53" s="40" t="n">
        <f aca="false">MAX(0,J53-G53)</f>
        <v>18050</v>
      </c>
      <c r="N53" s="40"/>
      <c r="O53" s="40"/>
    </row>
    <row r="55" customFormat="false" ht="21.75" hidden="false" customHeight="true" outlineLevel="0" collapsed="false">
      <c r="A55" s="41" t="s">
        <v>39</v>
      </c>
      <c r="B55" s="41"/>
      <c r="C55" s="41"/>
      <c r="D55" s="41" t="s">
        <v>40</v>
      </c>
      <c r="E55" s="41"/>
      <c r="F55" s="41"/>
      <c r="G55" s="41" t="s">
        <v>41</v>
      </c>
      <c r="H55" s="41"/>
      <c r="I55" s="41"/>
      <c r="J55" s="41" t="s">
        <v>42</v>
      </c>
      <c r="K55" s="41"/>
      <c r="L55" s="41"/>
      <c r="M55" s="41" t="s">
        <v>43</v>
      </c>
      <c r="N55" s="41"/>
      <c r="O55" s="41"/>
    </row>
    <row r="56" customFormat="false" ht="21.75" hidden="false" customHeight="true" outlineLevel="0" collapsed="false">
      <c r="A56" s="56" t="n">
        <f aca="false">'MAIZE BUDGET'!E49</f>
        <v>1119.825</v>
      </c>
      <c r="D56" s="56" t="n">
        <f aca="false">J53*A56</f>
        <v>22396500</v>
      </c>
      <c r="G56" s="56" t="n">
        <f aca="false">G53*A56</f>
        <v>2183658.75</v>
      </c>
      <c r="J56" s="56" t="n">
        <f aca="false">MAX(0,D56-G56)</f>
        <v>20212841.25</v>
      </c>
      <c r="M56" s="57" t="n">
        <f aca="false">IFERROR(G53/J53,0)</f>
        <v>0.0975</v>
      </c>
    </row>
    <row r="58" customFormat="false" ht="21.75" hidden="false" customHeight="true" outlineLevel="0" collapsed="false">
      <c r="A58" s="44" t="s">
        <v>44</v>
      </c>
      <c r="B58" s="44"/>
      <c r="C58" s="44"/>
      <c r="D58" s="44"/>
      <c r="E58" s="44"/>
      <c r="G58" s="44" t="s">
        <v>45</v>
      </c>
      <c r="H58" s="44"/>
      <c r="I58" s="44"/>
      <c r="J58" s="44"/>
      <c r="K58" s="44"/>
      <c r="L58" s="44"/>
      <c r="M58" s="44"/>
      <c r="N58" s="44"/>
      <c r="O58" s="44"/>
    </row>
    <row r="59" customFormat="false" ht="21.75" hidden="false" customHeight="true" outlineLevel="0" collapsed="false">
      <c r="A59" s="45" t="s">
        <v>46</v>
      </c>
      <c r="B59" s="45" t="s">
        <v>47</v>
      </c>
      <c r="C59" s="45" t="s">
        <v>48</v>
      </c>
      <c r="D59" s="45" t="s">
        <v>49</v>
      </c>
      <c r="E59" s="45" t="s">
        <v>50</v>
      </c>
      <c r="G59" s="0" t="s">
        <v>52</v>
      </c>
      <c r="I59" s="58" t="n">
        <f aca="false">'MAIZE BUDGET'!E49</f>
        <v>1119.825</v>
      </c>
    </row>
    <row r="60" customFormat="false" ht="21.75" hidden="false" customHeight="true" outlineLevel="0" collapsed="false">
      <c r="A60" s="0" t="s">
        <v>73</v>
      </c>
      <c r="B60" s="58" t="n">
        <f aca="false">'MAIZE BUDGET'!E35+'MAIZE BUDGET'!E36+'MAIZE BUDGET'!E37</f>
        <v>310</v>
      </c>
      <c r="C60" s="58" t="n">
        <f aca="false">B60*$J$53</f>
        <v>6200000</v>
      </c>
      <c r="D60" s="58" t="n">
        <f aca="false">B60*$G$53</f>
        <v>604500</v>
      </c>
      <c r="E60" s="47" t="n">
        <f aca="false">IFERROR(B60/$A$56,0)</f>
        <v>0.276828968812091</v>
      </c>
      <c r="G60" s="48" t="s">
        <v>54</v>
      </c>
      <c r="I60" s="58" t="n">
        <f aca="false">'MAIZE BUDGET'!D30</f>
        <v>1066.5</v>
      </c>
    </row>
    <row r="61" customFormat="false" ht="21.75" hidden="false" customHeight="true" outlineLevel="0" collapsed="false">
      <c r="A61" s="0" t="s">
        <v>74</v>
      </c>
      <c r="B61" s="58" t="n">
        <f aca="false">'MAIZE BUDGET'!E38+'MAIZE BUDGET'!E39+'MAIZE BUDGET'!E40</f>
        <v>514.5</v>
      </c>
      <c r="C61" s="58" t="n">
        <f aca="false">B61*$J$53</f>
        <v>10290000</v>
      </c>
      <c r="D61" s="58" t="n">
        <f aca="false">B61*$G$53</f>
        <v>1003275</v>
      </c>
      <c r="E61" s="47" t="n">
        <f aca="false">IFERROR(B61/$A$56,0)</f>
        <v>0.459446788560713</v>
      </c>
      <c r="G61" s="48" t="s">
        <v>56</v>
      </c>
      <c r="I61" s="46" t="n">
        <f aca="false">COUNTIF(DATA_PIPELINE!$Y$6:$Y$601,"Paid")+COUNTIF(DATA_PIPELINE!$Y$6:$Y$601,"Partly Paid")</f>
        <v>56</v>
      </c>
    </row>
    <row r="62" customFormat="false" ht="21.75" hidden="false" customHeight="true" outlineLevel="0" collapsed="false">
      <c r="A62" s="0" t="s">
        <v>75</v>
      </c>
      <c r="B62" s="58" t="n">
        <f aca="false">'MAIZE BUDGET'!E41+'MAIZE BUDGET'!E42+'MAIZE BUDGET'!E43+'MAIZE BUDGET'!E44+'MAIZE BUDGET'!E45</f>
        <v>112</v>
      </c>
      <c r="C62" s="58" t="n">
        <f aca="false">B62*$J$53</f>
        <v>2240000</v>
      </c>
      <c r="D62" s="58" t="n">
        <f aca="false">B62*$G$53</f>
        <v>218400</v>
      </c>
      <c r="E62" s="47" t="n">
        <f aca="false">IFERROR(B62/$A$56,0)</f>
        <v>0.100015627441788</v>
      </c>
      <c r="G62" s="48" t="s">
        <v>76</v>
      </c>
      <c r="I62" s="58" t="n">
        <f aca="false">SUMIFS(DATA_PIPELINE!$M$6:$M$601,DATA_PIPELINE!$Y$6:$Y$601,"Paid")+SUMIFS(DATA_PIPELINE!$M$6:$M$601,DATA_PIPELINE!$Y$6:$Y$601,"Partly Paid")</f>
        <v>1950</v>
      </c>
    </row>
    <row r="63" customFormat="false" ht="21.75" hidden="false" customHeight="true" outlineLevel="0" collapsed="false">
      <c r="A63" s="0" t="s">
        <v>77</v>
      </c>
      <c r="B63" s="58" t="n">
        <f aca="false">'MAIZE BUDGET'!E46</f>
        <v>80</v>
      </c>
      <c r="C63" s="58" t="n">
        <f aca="false">B63*$J$53</f>
        <v>1600000</v>
      </c>
      <c r="D63" s="58" t="n">
        <f aca="false">B63*$G$53</f>
        <v>156000</v>
      </c>
      <c r="E63" s="47" t="n">
        <f aca="false">IFERROR(B63/$A$56,0)</f>
        <v>0.0714397338869913</v>
      </c>
      <c r="G63" s="48" t="s">
        <v>60</v>
      </c>
      <c r="I63" s="58" t="n">
        <f aca="false">G53</f>
        <v>1950</v>
      </c>
    </row>
    <row r="64" customFormat="false" ht="21.75" hidden="false" customHeight="true" outlineLevel="0" collapsed="false">
      <c r="A64" s="0" t="s">
        <v>67</v>
      </c>
      <c r="B64" s="58" t="n">
        <f aca="false">'MAIZE BUDGET'!E47</f>
        <v>50</v>
      </c>
      <c r="C64" s="58" t="n">
        <f aca="false">B64*$J$53</f>
        <v>1000000</v>
      </c>
      <c r="D64" s="58" t="n">
        <f aca="false">B64*$G$53</f>
        <v>97500</v>
      </c>
      <c r="E64" s="47" t="n">
        <f aca="false">IFERROR(B64/$A$56,0)</f>
        <v>0.0446498336793695</v>
      </c>
      <c r="G64" s="48" t="s">
        <v>62</v>
      </c>
      <c r="I64" s="58" t="n">
        <f aca="false">MAX(0,J53-G53)</f>
        <v>18050</v>
      </c>
    </row>
    <row r="65" customFormat="false" ht="21.75" hidden="false" customHeight="true" outlineLevel="0" collapsed="false">
      <c r="A65" s="0" t="s">
        <v>78</v>
      </c>
      <c r="B65" s="58" t="n">
        <f aca="false">'MAIZE BUDGET'!E48</f>
        <v>53.325</v>
      </c>
      <c r="C65" s="58" t="n">
        <f aca="false">B65*$J$53</f>
        <v>1066500</v>
      </c>
      <c r="D65" s="58" t="n">
        <f aca="false">B65*$G$53</f>
        <v>103983.75</v>
      </c>
      <c r="E65" s="47" t="n">
        <f aca="false">IFERROR(B65/$A$56,0)</f>
        <v>0.0476190476190476</v>
      </c>
      <c r="G65" s="48" t="s">
        <v>64</v>
      </c>
      <c r="I65" s="58" t="n">
        <f aca="false">G56</f>
        <v>2183658.75</v>
      </c>
    </row>
    <row r="66" customFormat="false" ht="21.75" hidden="false" customHeight="true" outlineLevel="0" collapsed="false">
      <c r="A66" s="59" t="s">
        <v>70</v>
      </c>
      <c r="B66" s="60" t="n">
        <f aca="false">SUM(B60:B65)</f>
        <v>1119.825</v>
      </c>
      <c r="C66" s="60" t="n">
        <f aca="false">SUM(C60:C65)</f>
        <v>22396500</v>
      </c>
      <c r="D66" s="60" t="n">
        <f aca="false">SUM(D60:D65)</f>
        <v>2183658.75</v>
      </c>
      <c r="E66" s="61" t="n">
        <f aca="false">SUM(E60:E65)</f>
        <v>1</v>
      </c>
      <c r="G66" s="48" t="s">
        <v>66</v>
      </c>
      <c r="I66" s="58" t="n">
        <f aca="false">D56</f>
        <v>22396500</v>
      </c>
    </row>
    <row r="67" customFormat="false" ht="21.75" hidden="false" customHeight="true" outlineLevel="0" collapsed="false">
      <c r="B67" s="46"/>
      <c r="C67" s="46"/>
      <c r="D67" s="46"/>
      <c r="E67" s="47"/>
      <c r="G67" s="48"/>
      <c r="I67" s="36"/>
    </row>
  </sheetData>
  <mergeCells count="113">
    <mergeCell ref="A1:L1"/>
    <mergeCell ref="A2:L2"/>
    <mergeCell ref="A4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A10:B10"/>
    <mergeCell ref="C10:D10"/>
    <mergeCell ref="E10:F10"/>
    <mergeCell ref="G10:H10"/>
    <mergeCell ref="I10:J10"/>
    <mergeCell ref="K10:L10"/>
    <mergeCell ref="A11:B11"/>
    <mergeCell ref="C11:D11"/>
    <mergeCell ref="E11:F11"/>
    <mergeCell ref="G11:H11"/>
    <mergeCell ref="I11:J11"/>
    <mergeCell ref="K11:L11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6:B16"/>
    <mergeCell ref="C16:D16"/>
    <mergeCell ref="E16:F16"/>
    <mergeCell ref="G16:H16"/>
    <mergeCell ref="I16:J16"/>
    <mergeCell ref="K16:L16"/>
    <mergeCell ref="A21:B21"/>
    <mergeCell ref="C21:D21"/>
    <mergeCell ref="E21:F21"/>
    <mergeCell ref="G21:H21"/>
    <mergeCell ref="I21:J21"/>
    <mergeCell ref="K21:L21"/>
    <mergeCell ref="A24:B24"/>
    <mergeCell ref="C24:D24"/>
    <mergeCell ref="E24:F24"/>
    <mergeCell ref="G24:H24"/>
    <mergeCell ref="I24:J24"/>
    <mergeCell ref="K24:L24"/>
    <mergeCell ref="A27:O27"/>
    <mergeCell ref="A29:C29"/>
    <mergeCell ref="D29:F29"/>
    <mergeCell ref="G29:I29"/>
    <mergeCell ref="J29:L29"/>
    <mergeCell ref="M29:O29"/>
    <mergeCell ref="A30:C30"/>
    <mergeCell ref="D30:F30"/>
    <mergeCell ref="G30:I30"/>
    <mergeCell ref="J30:L30"/>
    <mergeCell ref="M30:O30"/>
    <mergeCell ref="A32:C32"/>
    <mergeCell ref="D32:F32"/>
    <mergeCell ref="G32:I32"/>
    <mergeCell ref="J32:L32"/>
    <mergeCell ref="M32:O32"/>
    <mergeCell ref="A33:C33"/>
    <mergeCell ref="D33:F33"/>
    <mergeCell ref="G33:I33"/>
    <mergeCell ref="J33:L33"/>
    <mergeCell ref="M33:O33"/>
    <mergeCell ref="A35:E35"/>
    <mergeCell ref="G35:O35"/>
    <mergeCell ref="I37:O37"/>
    <mergeCell ref="I38:O38"/>
    <mergeCell ref="I39:O39"/>
    <mergeCell ref="I40:O40"/>
    <mergeCell ref="I41:O41"/>
    <mergeCell ref="I42:O42"/>
    <mergeCell ref="I43:O43"/>
    <mergeCell ref="I44:O44"/>
    <mergeCell ref="I45:O45"/>
    <mergeCell ref="A50:O50"/>
    <mergeCell ref="A52:C52"/>
    <mergeCell ref="D52:F52"/>
    <mergeCell ref="G52:I52"/>
    <mergeCell ref="J52:L52"/>
    <mergeCell ref="M52:O52"/>
    <mergeCell ref="A53:C53"/>
    <mergeCell ref="D53:F53"/>
    <mergeCell ref="G53:I53"/>
    <mergeCell ref="J53:L53"/>
    <mergeCell ref="M53:O53"/>
    <mergeCell ref="A55:C55"/>
    <mergeCell ref="D55:F55"/>
    <mergeCell ref="G55:I55"/>
    <mergeCell ref="J55:L55"/>
    <mergeCell ref="M55:O55"/>
    <mergeCell ref="A58:E58"/>
    <mergeCell ref="G58:O58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1859C"/>
    <pageSetUpPr fitToPage="false"/>
  </sheetPr>
  <dimension ref="A1:I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25" activePane="bottomLeft" state="frozen"/>
      <selection pane="topLeft" activeCell="A1" activeCellId="0" sqref="A1"/>
      <selection pane="bottomLeft" activeCell="I14" activeCellId="1" sqref="A1:L7 I14"/>
    </sheetView>
  </sheetViews>
  <sheetFormatPr defaultColWidth="8.73046875" defaultRowHeight="15" zeroHeight="false" outlineLevelRow="0" outlineLevelCol="0"/>
  <cols>
    <col collapsed="false" customWidth="true" hidden="false" outlineLevel="0" max="1" min="1" style="0" width="30.82"/>
    <col collapsed="false" customWidth="true" hidden="false" outlineLevel="0" max="2" min="2" style="0" width="25.27"/>
    <col collapsed="false" customWidth="true" hidden="false" outlineLevel="0" max="3" min="3" style="0" width="21"/>
    <col collapsed="false" customWidth="true" hidden="false" outlineLevel="0" max="4" min="4" style="0" width="15.82"/>
    <col collapsed="false" customWidth="true" hidden="false" outlineLevel="0" max="6" min="6" style="0" width="19.27"/>
    <col collapsed="false" customWidth="true" hidden="false" outlineLevel="0" max="7" min="7" style="0" width="18.27"/>
    <col collapsed="false" customWidth="true" hidden="false" outlineLevel="0" max="8" min="8" style="0" width="10.73"/>
    <col collapsed="false" customWidth="true" hidden="false" outlineLevel="0" max="9" min="9" style="0" width="17.27"/>
  </cols>
  <sheetData>
    <row r="1" customFormat="false" ht="14.25" hidden="false" customHeight="true" outlineLevel="0" collapsed="false">
      <c r="A1" s="62" t="str">
        <f aca="false">HYPERLINK("#'HOME'!A1","HOME")</f>
        <v>HOME</v>
      </c>
      <c r="B1" s="63" t="str">
        <f aca="false">HYPERLINK("#'SORGHUM BUDGET'!A1","SORGHUM BUDGET")</f>
        <v>SORGHUM BUDGET</v>
      </c>
      <c r="C1" s="63" t="str">
        <f aca="false">HYPERLINK("#'PRODUCTION'!A1","PRODUCTION")</f>
        <v>PRODUCTION</v>
      </c>
      <c r="D1" s="63" t="str">
        <f aca="false">HYPERLINK("#'SUBSCRIPTIONS'!A1","SUBSCRIPTIONS")</f>
        <v>SUBSCRIPTIONS</v>
      </c>
      <c r="E1" s="64"/>
      <c r="F1" s="64"/>
      <c r="G1" s="65"/>
      <c r="H1" s="66"/>
    </row>
    <row r="2" customFormat="false" ht="24" hidden="false" customHeight="true" outlineLevel="0" collapsed="false">
      <c r="A2" s="67" t="s">
        <v>79</v>
      </c>
      <c r="H2" s="68"/>
    </row>
    <row r="3" customFormat="false" ht="22.5" hidden="false" customHeight="true" outlineLevel="0" collapsed="false">
      <c r="A3" s="69" t="s">
        <v>80</v>
      </c>
      <c r="B3" s="69"/>
      <c r="C3" s="69"/>
      <c r="D3" s="69"/>
      <c r="E3" s="69"/>
      <c r="F3" s="69"/>
      <c r="G3" s="69"/>
      <c r="H3" s="69"/>
      <c r="I3" s="69"/>
    </row>
    <row r="4" customFormat="false" ht="14.25" hidden="false" customHeight="true" outlineLevel="0" collapsed="false">
      <c r="A4" s="70"/>
      <c r="H4" s="68"/>
    </row>
    <row r="5" customFormat="false" ht="14.25" hidden="false" customHeight="true" outlineLevel="0" collapsed="false">
      <c r="A5" s="71" t="s">
        <v>81</v>
      </c>
      <c r="H5" s="68"/>
    </row>
    <row r="6" customFormat="false" ht="14.25" hidden="false" customHeight="true" outlineLevel="0" collapsed="false">
      <c r="A6" s="70"/>
      <c r="H6" s="68"/>
    </row>
    <row r="7" customFormat="false" ht="14.25" hidden="false" customHeight="true" outlineLevel="0" collapsed="false">
      <c r="A7" s="70"/>
      <c r="B7" s="72"/>
      <c r="C7" s="73"/>
      <c r="D7" s="73"/>
      <c r="E7" s="73"/>
      <c r="F7" s="73"/>
      <c r="G7" s="74"/>
      <c r="H7" s="75"/>
    </row>
    <row r="8" customFormat="false" ht="14.25" hidden="false" customHeight="true" outlineLevel="0" collapsed="false">
      <c r="A8" s="76"/>
      <c r="B8" s="73"/>
      <c r="C8" s="73"/>
      <c r="D8" s="73"/>
      <c r="E8" s="73"/>
      <c r="F8" s="73"/>
      <c r="G8" s="74"/>
      <c r="H8" s="75"/>
    </row>
    <row r="9" customFormat="false" ht="14.25" hidden="false" customHeight="true" outlineLevel="0" collapsed="false">
      <c r="A9" s="77"/>
      <c r="B9" s="72"/>
      <c r="C9" s="72"/>
      <c r="D9" s="78" t="s">
        <v>82</v>
      </c>
      <c r="E9" s="78" t="s">
        <v>83</v>
      </c>
      <c r="F9" s="78" t="s">
        <v>84</v>
      </c>
      <c r="G9" s="79" t="s">
        <v>85</v>
      </c>
      <c r="H9" s="80" t="s">
        <v>86</v>
      </c>
      <c r="I9" s="80" t="s">
        <v>87</v>
      </c>
    </row>
    <row r="10" customFormat="false" ht="14.25" hidden="false" customHeight="true" outlineLevel="0" collapsed="false">
      <c r="A10" s="81" t="s">
        <v>51</v>
      </c>
      <c r="B10" s="82" t="s">
        <v>88</v>
      </c>
      <c r="C10" s="82"/>
      <c r="D10" s="82" t="n">
        <v>10</v>
      </c>
      <c r="E10" s="82" t="s">
        <v>89</v>
      </c>
      <c r="F10" s="82" t="n">
        <v>1</v>
      </c>
      <c r="G10" s="83" t="n">
        <v>40</v>
      </c>
      <c r="H10" s="84" t="n">
        <f aca="false">F10*G10</f>
        <v>40</v>
      </c>
      <c r="I10" s="85" t="n">
        <f aca="false">H10</f>
        <v>40</v>
      </c>
    </row>
    <row r="11" customFormat="false" ht="14.25" hidden="false" customHeight="true" outlineLevel="0" collapsed="false">
      <c r="A11" s="86"/>
      <c r="B11" s="82" t="s">
        <v>90</v>
      </c>
      <c r="C11" s="82" t="s">
        <v>91</v>
      </c>
      <c r="D11" s="82" t="n">
        <v>0.06</v>
      </c>
      <c r="E11" s="82" t="s">
        <v>92</v>
      </c>
      <c r="F11" s="82" t="n">
        <v>1</v>
      </c>
      <c r="G11" s="83" t="n">
        <v>10</v>
      </c>
      <c r="H11" s="84" t="n">
        <f aca="false">F11*G11</f>
        <v>10</v>
      </c>
      <c r="I11" s="85" t="n">
        <f aca="false">H11</f>
        <v>10</v>
      </c>
    </row>
    <row r="12" customFormat="false" ht="14.25" hidden="false" customHeight="true" outlineLevel="0" collapsed="false">
      <c r="A12" s="86"/>
      <c r="B12" s="82"/>
      <c r="C12" s="82"/>
      <c r="D12" s="82"/>
      <c r="E12" s="82"/>
      <c r="F12" s="82"/>
      <c r="G12" s="83"/>
      <c r="H12" s="84"/>
      <c r="I12" s="85" t="n">
        <f aca="false">H12</f>
        <v>0</v>
      </c>
    </row>
    <row r="13" customFormat="false" ht="14.25" hidden="false" customHeight="true" outlineLevel="0" collapsed="false">
      <c r="A13" s="81" t="s">
        <v>53</v>
      </c>
      <c r="B13" s="82"/>
      <c r="C13" s="82"/>
      <c r="D13" s="82"/>
      <c r="E13" s="82"/>
      <c r="F13" s="82"/>
      <c r="G13" s="83"/>
      <c r="H13" s="84"/>
      <c r="I13" s="85" t="n">
        <f aca="false">H13</f>
        <v>0</v>
      </c>
    </row>
    <row r="14" customFormat="false" ht="14.25" hidden="false" customHeight="true" outlineLevel="0" collapsed="false">
      <c r="A14" s="86"/>
      <c r="B14" s="82" t="s">
        <v>93</v>
      </c>
      <c r="C14" s="82"/>
      <c r="D14" s="82" t="n">
        <v>200</v>
      </c>
      <c r="E14" s="82" t="s">
        <v>92</v>
      </c>
      <c r="F14" s="82" t="n">
        <f aca="false">D14/50</f>
        <v>4</v>
      </c>
      <c r="G14" s="83" t="n">
        <v>32</v>
      </c>
      <c r="H14" s="84" t="n">
        <f aca="false">F14*G14</f>
        <v>128</v>
      </c>
      <c r="I14" s="85" t="n">
        <f aca="false">H14</f>
        <v>128</v>
      </c>
    </row>
    <row r="15" customFormat="false" ht="14.25" hidden="false" customHeight="true" outlineLevel="0" collapsed="false">
      <c r="A15" s="86"/>
      <c r="B15" s="82" t="s">
        <v>94</v>
      </c>
      <c r="C15" s="82"/>
      <c r="D15" s="82" t="n">
        <v>200</v>
      </c>
      <c r="E15" s="82" t="s">
        <v>92</v>
      </c>
      <c r="F15" s="82" t="n">
        <f aca="false">D15/50</f>
        <v>4</v>
      </c>
      <c r="G15" s="83" t="n">
        <v>35</v>
      </c>
      <c r="H15" s="84" t="n">
        <f aca="false">F15*G15</f>
        <v>140</v>
      </c>
      <c r="I15" s="85" t="n">
        <f aca="false">H15</f>
        <v>140</v>
      </c>
    </row>
    <row r="16" customFormat="false" ht="14.25" hidden="false" customHeight="true" outlineLevel="0" collapsed="false">
      <c r="A16" s="86"/>
      <c r="B16" s="82"/>
      <c r="C16" s="82"/>
      <c r="D16" s="82"/>
      <c r="E16" s="82"/>
      <c r="F16" s="82"/>
      <c r="G16" s="83"/>
      <c r="H16" s="84"/>
      <c r="I16" s="85" t="n">
        <f aca="false">H16</f>
        <v>0</v>
      </c>
    </row>
    <row r="17" customFormat="false" ht="14.25" hidden="false" customHeight="true" outlineLevel="0" collapsed="false">
      <c r="A17" s="81" t="s">
        <v>55</v>
      </c>
      <c r="B17" s="82"/>
      <c r="C17" s="82"/>
      <c r="D17" s="82"/>
      <c r="E17" s="82"/>
      <c r="F17" s="82"/>
      <c r="G17" s="83"/>
      <c r="H17" s="84"/>
      <c r="I17" s="85" t="n">
        <f aca="false">H17</f>
        <v>0</v>
      </c>
    </row>
    <row r="18" customFormat="false" ht="14.25" hidden="false" customHeight="true" outlineLevel="0" collapsed="false">
      <c r="A18" s="86" t="s">
        <v>95</v>
      </c>
      <c r="B18" s="82" t="s">
        <v>96</v>
      </c>
      <c r="C18" s="82"/>
      <c r="D18" s="82" t="n">
        <v>20</v>
      </c>
      <c r="E18" s="82" t="s">
        <v>97</v>
      </c>
      <c r="F18" s="82" t="n">
        <v>1</v>
      </c>
      <c r="G18" s="83" t="n">
        <v>2</v>
      </c>
      <c r="H18" s="84" t="n">
        <v>40</v>
      </c>
      <c r="I18" s="85" t="n">
        <f aca="false">50+40</f>
        <v>90</v>
      </c>
    </row>
    <row r="19" customFormat="false" ht="14.25" hidden="false" customHeight="true" outlineLevel="0" collapsed="false">
      <c r="A19" s="86" t="s">
        <v>98</v>
      </c>
      <c r="B19" s="82" t="s">
        <v>96</v>
      </c>
      <c r="C19" s="82"/>
      <c r="D19" s="82" t="n">
        <v>15</v>
      </c>
      <c r="E19" s="82" t="s">
        <v>97</v>
      </c>
      <c r="F19" s="82" t="n">
        <v>1</v>
      </c>
      <c r="G19" s="83" t="n">
        <v>2</v>
      </c>
      <c r="H19" s="84" t="n">
        <v>30</v>
      </c>
      <c r="I19" s="85" t="n">
        <f aca="false">40+30</f>
        <v>70</v>
      </c>
    </row>
    <row r="20" customFormat="false" ht="14.25" hidden="false" customHeight="true" outlineLevel="0" collapsed="false">
      <c r="A20" s="86" t="s">
        <v>99</v>
      </c>
      <c r="B20" s="82" t="s">
        <v>96</v>
      </c>
      <c r="C20" s="82"/>
      <c r="D20" s="82" t="n">
        <v>5</v>
      </c>
      <c r="E20" s="82" t="s">
        <v>97</v>
      </c>
      <c r="F20" s="82" t="n">
        <v>2</v>
      </c>
      <c r="G20" s="83" t="n">
        <v>2</v>
      </c>
      <c r="H20" s="84" t="n">
        <v>20</v>
      </c>
      <c r="I20" s="87" t="n">
        <f aca="false">20+40</f>
        <v>60</v>
      </c>
    </row>
    <row r="21" customFormat="false" ht="14.25" hidden="false" customHeight="true" outlineLevel="0" collapsed="false">
      <c r="A21" s="86"/>
      <c r="B21" s="82"/>
      <c r="C21" s="82"/>
      <c r="D21" s="82"/>
      <c r="E21" s="82"/>
      <c r="F21" s="82"/>
      <c r="G21" s="83"/>
      <c r="H21" s="84"/>
      <c r="I21" s="85" t="n">
        <f aca="false">H21</f>
        <v>0</v>
      </c>
    </row>
    <row r="22" customFormat="false" ht="14.25" hidden="false" customHeight="true" outlineLevel="0" collapsed="false">
      <c r="A22" s="81" t="s">
        <v>75</v>
      </c>
      <c r="B22" s="82"/>
      <c r="C22" s="82"/>
      <c r="D22" s="82"/>
      <c r="E22" s="82"/>
      <c r="F22" s="82"/>
      <c r="G22" s="83"/>
      <c r="H22" s="84"/>
      <c r="I22" s="85" t="n">
        <f aca="false">H22</f>
        <v>0</v>
      </c>
    </row>
    <row r="23" customFormat="false" ht="14.25" hidden="false" customHeight="true" outlineLevel="0" collapsed="false">
      <c r="A23" s="88" t="s">
        <v>100</v>
      </c>
      <c r="B23" s="89"/>
      <c r="C23" s="82" t="s">
        <v>101</v>
      </c>
      <c r="D23" s="82"/>
      <c r="E23" s="82"/>
      <c r="F23" s="82"/>
      <c r="G23" s="83"/>
      <c r="H23" s="84"/>
      <c r="I23" s="85" t="n">
        <f aca="false">H23</f>
        <v>0</v>
      </c>
    </row>
    <row r="24" customFormat="false" ht="14.25" hidden="false" customHeight="true" outlineLevel="0" collapsed="false">
      <c r="A24" s="86"/>
      <c r="B24" s="82" t="s">
        <v>102</v>
      </c>
      <c r="C24" s="82" t="s">
        <v>103</v>
      </c>
      <c r="D24" s="82" t="n">
        <v>2</v>
      </c>
      <c r="E24" s="82" t="s">
        <v>89</v>
      </c>
      <c r="F24" s="82" t="n">
        <v>2</v>
      </c>
      <c r="G24" s="83" t="n">
        <v>6</v>
      </c>
      <c r="H24" s="84" t="n">
        <v>12</v>
      </c>
      <c r="I24" s="85" t="n">
        <f aca="false">H24</f>
        <v>12</v>
      </c>
    </row>
    <row r="25" customFormat="false" ht="14.25" hidden="false" customHeight="true" outlineLevel="0" collapsed="false">
      <c r="A25" s="86"/>
      <c r="B25" s="82" t="s">
        <v>104</v>
      </c>
      <c r="C25" s="82" t="s">
        <v>105</v>
      </c>
      <c r="D25" s="82" t="n">
        <v>1.2</v>
      </c>
      <c r="E25" s="82" t="s">
        <v>106</v>
      </c>
      <c r="F25" s="82" t="n">
        <v>1.2</v>
      </c>
      <c r="G25" s="83" t="n">
        <v>10</v>
      </c>
      <c r="H25" s="84" t="n">
        <v>12</v>
      </c>
      <c r="I25" s="85" t="n">
        <f aca="false">H25</f>
        <v>12</v>
      </c>
    </row>
    <row r="26" customFormat="false" ht="14.25" hidden="false" customHeight="true" outlineLevel="0" collapsed="false">
      <c r="A26" s="86"/>
      <c r="B26" s="82" t="s">
        <v>107</v>
      </c>
      <c r="C26" s="82" t="s">
        <v>108</v>
      </c>
      <c r="D26" s="82" t="n">
        <v>2</v>
      </c>
      <c r="E26" s="82" t="s">
        <v>106</v>
      </c>
      <c r="F26" s="82" t="n">
        <v>2</v>
      </c>
      <c r="G26" s="83" t="n">
        <v>4</v>
      </c>
      <c r="H26" s="84" t="n">
        <v>8</v>
      </c>
      <c r="I26" s="85" t="n">
        <f aca="false">H26</f>
        <v>8</v>
      </c>
    </row>
    <row r="27" customFormat="false" ht="14.25" hidden="false" customHeight="true" outlineLevel="0" collapsed="false">
      <c r="A27" s="88" t="s">
        <v>109</v>
      </c>
      <c r="B27" s="89"/>
      <c r="C27" s="82"/>
      <c r="D27" s="82"/>
      <c r="E27" s="82"/>
      <c r="F27" s="82"/>
      <c r="G27" s="83"/>
      <c r="H27" s="84"/>
      <c r="I27" s="85" t="n">
        <f aca="false">H27</f>
        <v>0</v>
      </c>
    </row>
    <row r="28" customFormat="false" ht="14.25" hidden="false" customHeight="true" outlineLevel="0" collapsed="false">
      <c r="A28" s="86"/>
      <c r="B28" s="82" t="s">
        <v>107</v>
      </c>
      <c r="C28" s="82" t="s">
        <v>110</v>
      </c>
      <c r="D28" s="82" t="n">
        <v>3</v>
      </c>
      <c r="E28" s="82" t="s">
        <v>106</v>
      </c>
      <c r="F28" s="82" t="n">
        <v>1</v>
      </c>
      <c r="G28" s="83" t="n">
        <v>4</v>
      </c>
      <c r="H28" s="84" t="n">
        <v>12</v>
      </c>
      <c r="I28" s="85" t="n">
        <f aca="false">H28</f>
        <v>12</v>
      </c>
    </row>
    <row r="29" customFormat="false" ht="14.25" hidden="false" customHeight="true" outlineLevel="0" collapsed="false">
      <c r="A29" s="86"/>
      <c r="B29" s="82" t="s">
        <v>111</v>
      </c>
      <c r="C29" s="82" t="s">
        <v>112</v>
      </c>
      <c r="D29" s="82" t="n">
        <v>0.3</v>
      </c>
      <c r="E29" s="82" t="s">
        <v>106</v>
      </c>
      <c r="F29" s="82" t="n">
        <v>0.3</v>
      </c>
      <c r="G29" s="83" t="n">
        <v>3</v>
      </c>
      <c r="H29" s="84" t="n">
        <v>3</v>
      </c>
      <c r="I29" s="85" t="n">
        <f aca="false">H29</f>
        <v>3</v>
      </c>
    </row>
    <row r="30" customFormat="false" ht="14.25" hidden="false" customHeight="true" outlineLevel="0" collapsed="false">
      <c r="A30" s="88" t="s">
        <v>113</v>
      </c>
      <c r="B30" s="89"/>
      <c r="C30" s="82"/>
      <c r="D30" s="82"/>
      <c r="E30" s="82"/>
      <c r="F30" s="82"/>
      <c r="G30" s="83"/>
      <c r="H30" s="84"/>
      <c r="I30" s="85" t="n">
        <f aca="false">H30</f>
        <v>0</v>
      </c>
    </row>
    <row r="31" customFormat="false" ht="14.25" hidden="false" customHeight="true" outlineLevel="0" collapsed="false">
      <c r="A31" s="86"/>
      <c r="B31" s="82" t="s">
        <v>114</v>
      </c>
      <c r="C31" s="82" t="s">
        <v>115</v>
      </c>
      <c r="D31" s="82" t="n">
        <v>0.15</v>
      </c>
      <c r="E31" s="82" t="s">
        <v>106</v>
      </c>
      <c r="F31" s="82" t="n">
        <v>0.15</v>
      </c>
      <c r="G31" s="83" t="n">
        <v>8</v>
      </c>
      <c r="H31" s="84" t="n">
        <v>8</v>
      </c>
      <c r="I31" s="85" t="n">
        <f aca="false">H31</f>
        <v>8</v>
      </c>
    </row>
    <row r="32" customFormat="false" ht="14.25" hidden="false" customHeight="true" outlineLevel="0" collapsed="false">
      <c r="A32" s="86"/>
      <c r="B32" s="82" t="s">
        <v>116</v>
      </c>
      <c r="C32" s="82" t="s">
        <v>117</v>
      </c>
      <c r="D32" s="82" t="n">
        <v>0.56</v>
      </c>
      <c r="E32" s="82" t="s">
        <v>106</v>
      </c>
      <c r="F32" s="82" t="n">
        <v>0.56</v>
      </c>
      <c r="G32" s="83" t="n">
        <v>8.9</v>
      </c>
      <c r="H32" s="84" t="n">
        <v>5</v>
      </c>
      <c r="I32" s="85" t="n">
        <f aca="false">H32</f>
        <v>5</v>
      </c>
    </row>
    <row r="33" customFormat="false" ht="14.25" hidden="false" customHeight="true" outlineLevel="0" collapsed="false">
      <c r="A33" s="86"/>
      <c r="B33" s="82" t="s">
        <v>118</v>
      </c>
      <c r="C33" s="82" t="s">
        <v>119</v>
      </c>
      <c r="D33" s="82" t="n">
        <v>0.25</v>
      </c>
      <c r="E33" s="82" t="s">
        <v>106</v>
      </c>
      <c r="F33" s="82" t="n">
        <v>0.25</v>
      </c>
      <c r="G33" s="83" t="n">
        <v>5</v>
      </c>
      <c r="H33" s="84" t="n">
        <v>5</v>
      </c>
      <c r="I33" s="85" t="n">
        <f aca="false">H33</f>
        <v>5</v>
      </c>
    </row>
    <row r="34" customFormat="false" ht="14.25" hidden="false" customHeight="true" outlineLevel="0" collapsed="false">
      <c r="A34" s="81" t="s">
        <v>63</v>
      </c>
      <c r="B34" s="82"/>
      <c r="C34" s="82" t="s">
        <v>120</v>
      </c>
      <c r="D34" s="82" t="n">
        <v>80</v>
      </c>
      <c r="E34" s="82"/>
      <c r="F34" s="82" t="n">
        <v>5</v>
      </c>
      <c r="G34" s="83" t="n">
        <v>4</v>
      </c>
      <c r="H34" s="84" t="n">
        <v>20</v>
      </c>
      <c r="I34" s="85" t="n">
        <f aca="false">H34</f>
        <v>20</v>
      </c>
    </row>
    <row r="35" customFormat="false" ht="14.25" hidden="false" customHeight="true" outlineLevel="0" collapsed="false">
      <c r="A35" s="81" t="s">
        <v>121</v>
      </c>
      <c r="B35" s="82"/>
      <c r="C35" s="82" t="s">
        <v>122</v>
      </c>
      <c r="D35" s="82"/>
      <c r="E35" s="82"/>
      <c r="F35" s="82"/>
      <c r="G35" s="83"/>
      <c r="H35" s="84" t="n">
        <v>90</v>
      </c>
      <c r="I35" s="85" t="n">
        <f aca="false">H35</f>
        <v>90</v>
      </c>
    </row>
    <row r="36" customFormat="false" ht="14.25" hidden="false" customHeight="true" outlineLevel="0" collapsed="false">
      <c r="A36" s="81" t="s">
        <v>123</v>
      </c>
      <c r="B36" s="82"/>
      <c r="C36" s="82" t="s">
        <v>124</v>
      </c>
      <c r="D36" s="82" t="n">
        <v>5</v>
      </c>
      <c r="E36" s="82" t="s">
        <v>125</v>
      </c>
      <c r="F36" s="82" t="n">
        <v>4</v>
      </c>
      <c r="G36" s="83" t="n">
        <v>20</v>
      </c>
      <c r="H36" s="84" t="n">
        <v>80</v>
      </c>
      <c r="I36" s="85" t="n">
        <f aca="false">H36</f>
        <v>80</v>
      </c>
    </row>
    <row r="37" customFormat="false" ht="14.25" hidden="false" customHeight="true" outlineLevel="0" collapsed="false">
      <c r="A37" s="81" t="s">
        <v>69</v>
      </c>
      <c r="B37" s="82"/>
      <c r="C37" s="82" t="s">
        <v>126</v>
      </c>
      <c r="D37" s="82"/>
      <c r="E37" s="82"/>
      <c r="F37" s="82" t="n">
        <v>10</v>
      </c>
      <c r="G37" s="83" t="n">
        <v>8</v>
      </c>
      <c r="H37" s="84" t="n">
        <v>80</v>
      </c>
      <c r="I37" s="85" t="n">
        <f aca="false">H37</f>
        <v>80</v>
      </c>
    </row>
    <row r="38" customFormat="false" ht="15" hidden="false" customHeight="true" outlineLevel="0" collapsed="false">
      <c r="A38" s="90" t="s">
        <v>127</v>
      </c>
      <c r="B38" s="91"/>
      <c r="C38" s="91"/>
      <c r="D38" s="91"/>
      <c r="E38" s="91"/>
      <c r="F38" s="91"/>
      <c r="G38" s="92"/>
      <c r="H38" s="93" t="n">
        <f aca="false">SUM(H10:H37)</f>
        <v>743</v>
      </c>
      <c r="I38" s="93" t="n">
        <f aca="false">SUM(I10:I37)</f>
        <v>873</v>
      </c>
    </row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6.5" hidden="false" customHeight="true" outlineLevel="0" collapsed="false">
      <c r="A46" s="44" t="s">
        <v>128</v>
      </c>
      <c r="B46" s="44"/>
      <c r="C46" s="44"/>
      <c r="D46" s="44"/>
      <c r="E46" s="44"/>
      <c r="F46" s="44"/>
      <c r="G46" s="44"/>
      <c r="H46" s="44"/>
    </row>
    <row r="47" customFormat="false" ht="14.25" hidden="false" customHeight="true" outlineLevel="0" collapsed="false">
      <c r="A47" s="45" t="s">
        <v>129</v>
      </c>
      <c r="B47" s="45" t="s">
        <v>130</v>
      </c>
      <c r="C47" s="45" t="s">
        <v>82</v>
      </c>
      <c r="D47" s="45" t="s">
        <v>83</v>
      </c>
      <c r="E47" s="45" t="s">
        <v>131</v>
      </c>
      <c r="F47" s="45" t="s">
        <v>132</v>
      </c>
      <c r="G47" s="45" t="s">
        <v>49</v>
      </c>
      <c r="H47" s="45" t="s">
        <v>133</v>
      </c>
    </row>
    <row r="48" customFormat="false" ht="14.25" hidden="false" customHeight="true" outlineLevel="0" collapsed="false">
      <c r="A48" s="0" t="s">
        <v>51</v>
      </c>
      <c r="B48" s="0" t="s">
        <v>88</v>
      </c>
      <c r="C48" s="94" t="n">
        <f aca="false">D10</f>
        <v>10</v>
      </c>
      <c r="D48" s="0" t="str">
        <f aca="false">E10</f>
        <v>Kg</v>
      </c>
      <c r="E48" s="46" t="n">
        <f aca="false">I10</f>
        <v>40</v>
      </c>
      <c r="F48" s="46" t="n">
        <f aca="false">E48*20000</f>
        <v>800000</v>
      </c>
      <c r="G48" s="46" t="n">
        <f aca="false">E48*HOME!$G$30</f>
        <v>210600</v>
      </c>
      <c r="H48" s="0" t="n">
        <v>10</v>
      </c>
    </row>
    <row r="49" customFormat="false" ht="14.25" hidden="false" customHeight="true" outlineLevel="0" collapsed="false">
      <c r="A49" s="0" t="s">
        <v>51</v>
      </c>
      <c r="B49" s="0" t="s">
        <v>134</v>
      </c>
      <c r="C49" s="94" t="n">
        <f aca="false">D11</f>
        <v>0.06</v>
      </c>
      <c r="D49" s="0" t="str">
        <f aca="false">E11</f>
        <v>kg</v>
      </c>
      <c r="E49" s="46" t="n">
        <f aca="false">I11</f>
        <v>10</v>
      </c>
      <c r="F49" s="46" t="n">
        <f aca="false">E49*20000</f>
        <v>200000</v>
      </c>
      <c r="G49" s="46" t="n">
        <f aca="false">E49*HOME!$G$30</f>
        <v>52650</v>
      </c>
      <c r="H49" s="0" t="n">
        <v>11</v>
      </c>
    </row>
    <row r="50" customFormat="false" ht="14.25" hidden="false" customHeight="true" outlineLevel="0" collapsed="false">
      <c r="A50" s="0" t="s">
        <v>53</v>
      </c>
      <c r="B50" s="0" t="s">
        <v>93</v>
      </c>
      <c r="C50" s="94" t="n">
        <f aca="false">D14</f>
        <v>200</v>
      </c>
      <c r="D50" s="0" t="str">
        <f aca="false">E14</f>
        <v>kg</v>
      </c>
      <c r="E50" s="46" t="n">
        <f aca="false">I14</f>
        <v>128</v>
      </c>
      <c r="F50" s="46" t="n">
        <f aca="false">E50*20000</f>
        <v>2560000</v>
      </c>
      <c r="G50" s="46" t="n">
        <f aca="false">E50*HOME!$G$30</f>
        <v>673920</v>
      </c>
      <c r="H50" s="0" t="n">
        <v>14</v>
      </c>
    </row>
    <row r="51" customFormat="false" ht="14.25" hidden="false" customHeight="true" outlineLevel="0" collapsed="false">
      <c r="A51" s="0" t="s">
        <v>53</v>
      </c>
      <c r="B51" s="0" t="s">
        <v>94</v>
      </c>
      <c r="C51" s="94" t="n">
        <f aca="false">D15</f>
        <v>200</v>
      </c>
      <c r="D51" s="0" t="str">
        <f aca="false">E15</f>
        <v>kg</v>
      </c>
      <c r="E51" s="46" t="n">
        <f aca="false">I15</f>
        <v>140</v>
      </c>
      <c r="F51" s="46" t="n">
        <f aca="false">E51*20000</f>
        <v>2800000</v>
      </c>
      <c r="G51" s="46" t="n">
        <f aca="false">E51*HOME!$G$30</f>
        <v>737100</v>
      </c>
      <c r="H51" s="0" t="n">
        <v>15</v>
      </c>
    </row>
    <row r="52" customFormat="false" ht="14.25" hidden="false" customHeight="true" outlineLevel="0" collapsed="false">
      <c r="A52" s="0" t="s">
        <v>55</v>
      </c>
      <c r="B52" s="0" t="s">
        <v>95</v>
      </c>
      <c r="C52" s="94" t="n">
        <f aca="false">D18</f>
        <v>20</v>
      </c>
      <c r="D52" s="0" t="str">
        <f aca="false">E18</f>
        <v>l</v>
      </c>
      <c r="E52" s="46" t="n">
        <f aca="false">I18</f>
        <v>90</v>
      </c>
      <c r="F52" s="46" t="n">
        <f aca="false">E52*20000</f>
        <v>1800000</v>
      </c>
      <c r="G52" s="46" t="n">
        <f aca="false">E52*HOME!$G$30</f>
        <v>473850</v>
      </c>
      <c r="H52" s="0" t="n">
        <v>18</v>
      </c>
    </row>
    <row r="53" customFormat="false" ht="14.25" hidden="false" customHeight="true" outlineLevel="0" collapsed="false">
      <c r="A53" s="0" t="s">
        <v>55</v>
      </c>
      <c r="B53" s="0" t="s">
        <v>98</v>
      </c>
      <c r="C53" s="94" t="n">
        <f aca="false">D19</f>
        <v>15</v>
      </c>
      <c r="D53" s="0" t="str">
        <f aca="false">E19</f>
        <v>l</v>
      </c>
      <c r="E53" s="46" t="n">
        <f aca="false">I19</f>
        <v>70</v>
      </c>
      <c r="F53" s="46" t="n">
        <f aca="false">E53*20000</f>
        <v>1400000</v>
      </c>
      <c r="G53" s="46" t="n">
        <f aca="false">E53*HOME!$G$30</f>
        <v>368550</v>
      </c>
      <c r="H53" s="0" t="n">
        <v>19</v>
      </c>
    </row>
    <row r="54" customFormat="false" ht="14.25" hidden="false" customHeight="true" outlineLevel="0" collapsed="false">
      <c r="A54" s="0" t="s">
        <v>55</v>
      </c>
      <c r="B54" s="0" t="s">
        <v>135</v>
      </c>
      <c r="C54" s="94" t="n">
        <f aca="false">D20</f>
        <v>5</v>
      </c>
      <c r="D54" s="0" t="str">
        <f aca="false">E20</f>
        <v>l</v>
      </c>
      <c r="E54" s="46" t="n">
        <f aca="false">I20</f>
        <v>60</v>
      </c>
      <c r="F54" s="46" t="n">
        <f aca="false">E54*20000</f>
        <v>1200000</v>
      </c>
      <c r="G54" s="46" t="n">
        <f aca="false">E54*HOME!$G$30</f>
        <v>315900</v>
      </c>
      <c r="H54" s="0" t="n">
        <v>20</v>
      </c>
    </row>
    <row r="55" customFormat="false" ht="14.25" hidden="false" customHeight="true" outlineLevel="0" collapsed="false">
      <c r="A55" s="0" t="s">
        <v>57</v>
      </c>
      <c r="B55" s="0" t="s">
        <v>136</v>
      </c>
      <c r="C55" s="94" t="n">
        <f aca="false">D24</f>
        <v>2</v>
      </c>
      <c r="D55" s="0" t="str">
        <f aca="false">E24</f>
        <v>Kg</v>
      </c>
      <c r="E55" s="46" t="n">
        <f aca="false">I24</f>
        <v>12</v>
      </c>
      <c r="F55" s="46" t="n">
        <f aca="false">E55*20000</f>
        <v>240000</v>
      </c>
      <c r="G55" s="46" t="n">
        <f aca="false">E55*HOME!$G$30</f>
        <v>63180</v>
      </c>
      <c r="H55" s="0" t="n">
        <v>24</v>
      </c>
    </row>
    <row r="56" customFormat="false" ht="14.25" hidden="false" customHeight="true" outlineLevel="0" collapsed="false">
      <c r="A56" s="0" t="s">
        <v>57</v>
      </c>
      <c r="B56" s="0" t="s">
        <v>104</v>
      </c>
      <c r="C56" s="94" t="n">
        <f aca="false">D25</f>
        <v>1.2</v>
      </c>
      <c r="D56" s="0" t="str">
        <f aca="false">E25</f>
        <v>L</v>
      </c>
      <c r="E56" s="46" t="n">
        <f aca="false">I25</f>
        <v>12</v>
      </c>
      <c r="F56" s="46" t="n">
        <f aca="false">E56*20000</f>
        <v>240000</v>
      </c>
      <c r="G56" s="46" t="n">
        <f aca="false">E56*HOME!$G$30</f>
        <v>63180</v>
      </c>
      <c r="H56" s="0" t="n">
        <v>25</v>
      </c>
    </row>
    <row r="57" customFormat="false" ht="14.25" hidden="false" customHeight="true" outlineLevel="0" collapsed="false">
      <c r="A57" s="0" t="s">
        <v>57</v>
      </c>
      <c r="B57" s="0" t="s">
        <v>107</v>
      </c>
      <c r="C57" s="94" t="n">
        <f aca="false">D26</f>
        <v>2</v>
      </c>
      <c r="D57" s="0" t="str">
        <f aca="false">E26</f>
        <v>L</v>
      </c>
      <c r="E57" s="46" t="n">
        <f aca="false">I26</f>
        <v>8</v>
      </c>
      <c r="F57" s="46" t="n">
        <f aca="false">E57*20000</f>
        <v>160000</v>
      </c>
      <c r="G57" s="46" t="n">
        <f aca="false">E57*HOME!$G$30</f>
        <v>42120</v>
      </c>
      <c r="H57" s="0" t="n">
        <v>26</v>
      </c>
    </row>
    <row r="58" customFormat="false" ht="14.25" hidden="false" customHeight="true" outlineLevel="0" collapsed="false">
      <c r="A58" s="0" t="s">
        <v>59</v>
      </c>
      <c r="B58" s="0" t="s">
        <v>107</v>
      </c>
      <c r="C58" s="94" t="n">
        <f aca="false">D28</f>
        <v>3</v>
      </c>
      <c r="D58" s="0" t="str">
        <f aca="false">E28</f>
        <v>L</v>
      </c>
      <c r="E58" s="46" t="n">
        <f aca="false">I28</f>
        <v>12</v>
      </c>
      <c r="F58" s="46" t="n">
        <f aca="false">E58*20000</f>
        <v>240000</v>
      </c>
      <c r="G58" s="46" t="n">
        <f aca="false">E58*HOME!$G$30</f>
        <v>63180</v>
      </c>
      <c r="H58" s="0" t="n">
        <v>28</v>
      </c>
    </row>
    <row r="59" customFormat="false" ht="14.25" hidden="false" customHeight="true" outlineLevel="0" collapsed="false">
      <c r="A59" s="0" t="s">
        <v>59</v>
      </c>
      <c r="B59" s="0" t="s">
        <v>111</v>
      </c>
      <c r="C59" s="94" t="n">
        <f aca="false">D29</f>
        <v>0.3</v>
      </c>
      <c r="D59" s="0" t="str">
        <f aca="false">E29</f>
        <v>L</v>
      </c>
      <c r="E59" s="46" t="n">
        <f aca="false">I29</f>
        <v>3</v>
      </c>
      <c r="F59" s="46" t="n">
        <f aca="false">E59*20000</f>
        <v>60000</v>
      </c>
      <c r="G59" s="46" t="n">
        <f aca="false">E59*HOME!$G$30</f>
        <v>15795</v>
      </c>
      <c r="H59" s="0" t="n">
        <v>29</v>
      </c>
    </row>
    <row r="60" customFormat="false" ht="14.25" hidden="false" customHeight="true" outlineLevel="0" collapsed="false">
      <c r="A60" s="0" t="s">
        <v>61</v>
      </c>
      <c r="B60" s="0" t="s">
        <v>114</v>
      </c>
      <c r="C60" s="94" t="n">
        <f aca="false">D31</f>
        <v>0.15</v>
      </c>
      <c r="D60" s="0" t="str">
        <f aca="false">E31</f>
        <v>L</v>
      </c>
      <c r="E60" s="46" t="n">
        <f aca="false">I31</f>
        <v>8</v>
      </c>
      <c r="F60" s="46" t="n">
        <f aca="false">E60*20000</f>
        <v>160000</v>
      </c>
      <c r="G60" s="46" t="n">
        <f aca="false">E60*HOME!$G$30</f>
        <v>42120</v>
      </c>
      <c r="H60" s="0" t="n">
        <v>31</v>
      </c>
    </row>
    <row r="61" customFormat="false" ht="14.25" hidden="false" customHeight="true" outlineLevel="0" collapsed="false">
      <c r="A61" s="0" t="s">
        <v>61</v>
      </c>
      <c r="B61" s="0" t="s">
        <v>116</v>
      </c>
      <c r="C61" s="94" t="n">
        <f aca="false">D32</f>
        <v>0.56</v>
      </c>
      <c r="D61" s="0" t="str">
        <f aca="false">E32</f>
        <v>L</v>
      </c>
      <c r="E61" s="46" t="n">
        <f aca="false">I32</f>
        <v>5</v>
      </c>
      <c r="F61" s="46" t="n">
        <f aca="false">E61*20000</f>
        <v>100000</v>
      </c>
      <c r="G61" s="46" t="n">
        <f aca="false">E61*HOME!$G$30</f>
        <v>26325</v>
      </c>
      <c r="H61" s="0" t="n">
        <v>32</v>
      </c>
    </row>
    <row r="62" customFormat="false" ht="14.25" hidden="false" customHeight="true" outlineLevel="0" collapsed="false">
      <c r="A62" s="0" t="s">
        <v>61</v>
      </c>
      <c r="B62" s="0" t="s">
        <v>118</v>
      </c>
      <c r="C62" s="94" t="n">
        <f aca="false">D33</f>
        <v>0.25</v>
      </c>
      <c r="D62" s="0" t="str">
        <f aca="false">E33</f>
        <v>L</v>
      </c>
      <c r="E62" s="46" t="n">
        <f aca="false">I33</f>
        <v>5</v>
      </c>
      <c r="F62" s="46" t="n">
        <f aca="false">E62*20000</f>
        <v>100000</v>
      </c>
      <c r="G62" s="46" t="n">
        <f aca="false">E62*HOME!$G$30</f>
        <v>26325</v>
      </c>
      <c r="H62" s="0" t="n">
        <v>33</v>
      </c>
    </row>
    <row r="63" customFormat="false" ht="14.25" hidden="false" customHeight="true" outlineLevel="0" collapsed="false">
      <c r="A63" s="0" t="s">
        <v>63</v>
      </c>
      <c r="B63" s="0" t="s">
        <v>63</v>
      </c>
      <c r="C63" s="94" t="n">
        <f aca="false">D34</f>
        <v>80</v>
      </c>
      <c r="D63" s="0" t="n">
        <f aca="false">E34</f>
        <v>0</v>
      </c>
      <c r="E63" s="46" t="n">
        <f aca="false">I34</f>
        <v>20</v>
      </c>
      <c r="F63" s="46" t="n">
        <f aca="false">E63*20000</f>
        <v>400000</v>
      </c>
      <c r="G63" s="46" t="n">
        <f aca="false">E63*HOME!$G$30</f>
        <v>105300</v>
      </c>
      <c r="H63" s="0" t="n">
        <v>34</v>
      </c>
    </row>
    <row r="64" customFormat="false" ht="14.25" hidden="false" customHeight="true" outlineLevel="0" collapsed="false">
      <c r="A64" s="0" t="s">
        <v>65</v>
      </c>
      <c r="B64" s="0" t="s">
        <v>65</v>
      </c>
      <c r="C64" s="94" t="n">
        <f aca="false">D35</f>
        <v>0</v>
      </c>
      <c r="D64" s="0" t="n">
        <f aca="false">E35</f>
        <v>0</v>
      </c>
      <c r="E64" s="46" t="n">
        <f aca="false">I35</f>
        <v>90</v>
      </c>
      <c r="F64" s="46" t="n">
        <f aca="false">E64*20000</f>
        <v>1800000</v>
      </c>
      <c r="G64" s="46" t="n">
        <f aca="false">E64*HOME!$G$30</f>
        <v>473850</v>
      </c>
      <c r="H64" s="0" t="n">
        <v>35</v>
      </c>
    </row>
    <row r="65" customFormat="false" ht="14.25" hidden="false" customHeight="true" outlineLevel="0" collapsed="false">
      <c r="A65" s="0" t="s">
        <v>67</v>
      </c>
      <c r="B65" s="0" t="s">
        <v>123</v>
      </c>
      <c r="C65" s="94" t="n">
        <f aca="false">D36</f>
        <v>5</v>
      </c>
      <c r="D65" s="0" t="str">
        <f aca="false">E36</f>
        <v>days</v>
      </c>
      <c r="E65" s="46" t="n">
        <f aca="false">I36</f>
        <v>80</v>
      </c>
      <c r="F65" s="46" t="n">
        <f aca="false">E65*20000</f>
        <v>1600000</v>
      </c>
      <c r="G65" s="46" t="n">
        <f aca="false">E65*HOME!$G$30</f>
        <v>421200</v>
      </c>
      <c r="H65" s="0" t="n">
        <v>36</v>
      </c>
    </row>
    <row r="66" customFormat="false" ht="14.25" hidden="false" customHeight="true" outlineLevel="0" collapsed="false">
      <c r="A66" s="0" t="s">
        <v>69</v>
      </c>
      <c r="B66" s="0" t="s">
        <v>69</v>
      </c>
      <c r="C66" s="94" t="n">
        <f aca="false">D37</f>
        <v>0</v>
      </c>
      <c r="D66" s="0" t="n">
        <f aca="false">E37</f>
        <v>0</v>
      </c>
      <c r="E66" s="46" t="n">
        <f aca="false">I37</f>
        <v>80</v>
      </c>
      <c r="F66" s="46" t="n">
        <f aca="false">E66*20000</f>
        <v>1600000</v>
      </c>
      <c r="G66" s="46" t="n">
        <f aca="false">E66*HOME!$G$30</f>
        <v>421200</v>
      </c>
      <c r="H66" s="0" t="n">
        <v>37</v>
      </c>
    </row>
    <row r="67" customFormat="false" ht="14.25" hidden="false" customHeight="true" outlineLevel="0" collapsed="false">
      <c r="A67" s="53" t="s">
        <v>70</v>
      </c>
      <c r="B67" s="53"/>
      <c r="C67" s="53"/>
      <c r="D67" s="53"/>
      <c r="E67" s="54" t="n">
        <f aca="false">SUM(E48:E66)</f>
        <v>873</v>
      </c>
      <c r="F67" s="54" t="n">
        <f aca="false">SUM(F48:F66)</f>
        <v>17460000</v>
      </c>
      <c r="G67" s="54" t="n">
        <f aca="false">SUM(G48:G66)</f>
        <v>4596345</v>
      </c>
    </row>
    <row r="70" customFormat="false" ht="15" hidden="false" customHeight="true" outlineLevel="0" collapsed="false">
      <c r="A70" s="95" t="s">
        <v>137</v>
      </c>
      <c r="B70" s="95"/>
      <c r="C70" s="95"/>
      <c r="D70" s="95"/>
      <c r="E70" s="95"/>
      <c r="F70" s="95"/>
      <c r="G70" s="95"/>
      <c r="H70" s="95"/>
      <c r="I70" s="95"/>
    </row>
  </sheetData>
  <mergeCells count="3">
    <mergeCell ref="A3:I3"/>
    <mergeCell ref="A46:H46"/>
    <mergeCell ref="A70:I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H13" activeCellId="1" sqref="A1:L7 H13"/>
    </sheetView>
  </sheetViews>
  <sheetFormatPr defaultColWidth="8.73046875" defaultRowHeight="14.25" zeroHeight="false" outlineLevelRow="0" outlineLevelCol="0"/>
  <cols>
    <col collapsed="false" customWidth="true" hidden="false" outlineLevel="0" max="9" min="1" style="0" width="14"/>
    <col collapsed="false" customWidth="true" hidden="false" outlineLevel="0" max="10" min="10" style="0" width="24"/>
    <col collapsed="false" customWidth="true" hidden="false" outlineLevel="0" max="12" min="11" style="0" width="14"/>
  </cols>
  <sheetData>
    <row r="1" customFormat="false" ht="33.75" hidden="false" customHeight="true" outlineLevel="0" collapsed="false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4.25" hidden="false" customHeight="true" outlineLevel="0" collapsed="false">
      <c r="A2" s="2" t="s">
        <v>139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4.25" hidden="false" customHeight="true" outlineLevel="0" collapsed="false">
      <c r="A3" s="6" t="str">
        <f aca="false">HYPERLINK("#'HOME'!A1","HOME")</f>
        <v>HOME</v>
      </c>
      <c r="B3" s="6" t="str">
        <f aca="false">HYPERLINK("#'FARMERS'!A1","FARMERS")</f>
        <v>FARMERS</v>
      </c>
      <c r="C3" s="6" t="str">
        <f aca="false">HYPERLINK("#'SUBSCRIPTIONS'!A1","SUBSCRIPTIONS")</f>
        <v>SUBSCRIPTIONS</v>
      </c>
      <c r="D3" s="6" t="str">
        <f aca="false">HYPERLINK("#'PRODUCTION'!A1","PRODUCTION")</f>
        <v>PRODUCTION</v>
      </c>
      <c r="E3" s="6" t="str">
        <f aca="false">HYPERLINK("#'RECOVERY'!A1","RECOVERY")</f>
        <v>RECOVERY</v>
      </c>
      <c r="F3" s="6" t="str">
        <f aca="false">HYPERLINK("#'DELIVERIES'!A1","DELIVERIES")</f>
        <v>DELIVERIES</v>
      </c>
      <c r="G3" s="6" t="str">
        <f aca="false">HYPERLINK("#'FINANCE'!A1","FINANCE")</f>
        <v>FINANCE</v>
      </c>
      <c r="H3" s="6" t="str">
        <f aca="false">HYPERLINK("#'REPORTS'!A1","REPORTS")</f>
        <v>REPORTS</v>
      </c>
    </row>
    <row r="5" customFormat="false" ht="14.25" hidden="false" customHeight="true" outlineLevel="0" collapsed="false">
      <c r="A5" s="96" t="str">
        <f aca="false">HYPERLINK("#'HOME'!A1","Executive Summary Report")</f>
        <v>Executive Summary Report</v>
      </c>
      <c r="B5" s="96"/>
      <c r="D5" s="96" t="str">
        <f aca="false">HYPERLINK("#'FARMERS'!A1","Farmer Register")</f>
        <v>Farmer Register</v>
      </c>
      <c r="E5" s="96"/>
      <c r="G5" s="96" t="str">
        <f aca="false">HYPERLINK("#'SUBSCRIPTIONS'!A1","Subscription Report")</f>
        <v>Subscription Report</v>
      </c>
      <c r="H5" s="96"/>
      <c r="J5" s="97" t="str">
        <f aca="false">HYPERLINK("#'SORGHUM BUDGET'!A1","Sorghum 20,000 HA Budget")</f>
        <v>Sorghum 20,000 HA Budget</v>
      </c>
      <c r="K5" s="97"/>
    </row>
    <row r="8" customFormat="false" ht="14.25" hidden="false" customHeight="true" outlineLevel="0" collapsed="false">
      <c r="A8" s="96" t="str">
        <f aca="false">HYPERLINK("#'RECOVERY'!A1","Recovery Report")</f>
        <v>Recovery Report</v>
      </c>
      <c r="B8" s="96"/>
      <c r="D8" s="96" t="str">
        <f aca="false">HYPERLINK("#'DELIVERIES'!A1","Grain Delivery Report")</f>
        <v>Grain Delivery Report</v>
      </c>
      <c r="E8" s="96"/>
      <c r="G8" s="96" t="str">
        <f aca="false">HYPERLINK("#'FINANCE'!A1","Financial Report")</f>
        <v>Financial Report</v>
      </c>
      <c r="H8" s="96"/>
      <c r="J8" s="96" t="str">
        <f aca="false">HYPERLINK("#'FINANCE'!A1","Monthly Management Report")</f>
        <v>Monthly Management Report</v>
      </c>
      <c r="K8" s="96"/>
    </row>
    <row r="10" customFormat="false" ht="14.25" hidden="false" customHeight="true" outlineLevel="0" collapsed="false">
      <c r="J10" s="7" t="str">
        <f aca="false">HYPERLINK("#'MONTHLY SALARY'!A1","MONTHLY SALARY")</f>
        <v>MONTHLY SALARY</v>
      </c>
    </row>
    <row r="11" customFormat="false" ht="14.25" hidden="false" customHeight="true" outlineLevel="0" collapsed="false">
      <c r="A11" s="96" t="str">
        <f aca="false">HYPERLINK("#'HOME'!A1","Annual Performance Report")</f>
        <v>Annual Performance Report</v>
      </c>
      <c r="B11" s="96"/>
      <c r="J11" s="7" t="str">
        <f aca="false">HYPERLINK("#'PROFIT &amp; LOSS'!A1","PROFIT &amp; LOSS")</f>
        <v>PROFIT &amp; LOSS</v>
      </c>
    </row>
    <row r="12" customFormat="false" ht="14.25" hidden="false" customHeight="true" outlineLevel="0" collapsed="false">
      <c r="J12" s="7" t="str">
        <f aca="false">HYPERLINK("#'BALANCE SHEET'!A1","BALANCE SHEET")</f>
        <v>BALANCE SHEET</v>
      </c>
    </row>
    <row r="15" customFormat="false" ht="17.25" hidden="false" customHeight="true" outlineLevel="0" collapsed="false">
      <c r="A15" s="34" t="s">
        <v>140</v>
      </c>
    </row>
    <row r="16" customFormat="false" ht="14.25" hidden="false" customHeight="true" outlineLevel="0" collapsed="false">
      <c r="A16" s="98" t="s">
        <v>141</v>
      </c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</row>
    <row r="17" customFormat="false" ht="14.25" hidden="false" customHeight="true" outlineLevel="0" collapsed="false">
      <c r="A17" s="98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</row>
    <row r="18" customFormat="false" ht="14.25" hidden="false" customHeight="true" outlineLevel="0" collapsed="false">
      <c r="A18" s="98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</row>
  </sheetData>
  <mergeCells count="12">
    <mergeCell ref="A1:L1"/>
    <mergeCell ref="A2:L2"/>
    <mergeCell ref="A5:B5"/>
    <mergeCell ref="D5:E5"/>
    <mergeCell ref="G5:H5"/>
    <mergeCell ref="J5:K5"/>
    <mergeCell ref="A8:B8"/>
    <mergeCell ref="D8:E8"/>
    <mergeCell ref="G8:H8"/>
    <mergeCell ref="J8:K8"/>
    <mergeCell ref="A11:B11"/>
    <mergeCell ref="A16:L18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Y6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391" activePane="bottomLeft" state="frozen"/>
      <selection pane="topLeft" activeCell="A1" activeCellId="0" sqref="A1"/>
      <selection pane="bottomLeft" activeCell="V603" activeCellId="1" sqref="A1:L7 V603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9"/>
    <col collapsed="false" customWidth="true" hidden="false" outlineLevel="0" max="3" min="3" style="0" width="41.18"/>
    <col collapsed="false" customWidth="true" hidden="false" outlineLevel="0" max="4" min="4" style="0" width="18.54"/>
    <col collapsed="false" customWidth="true" hidden="false" outlineLevel="0" max="5" min="5" style="0" width="18.45"/>
    <col collapsed="false" customWidth="true" hidden="false" outlineLevel="0" max="6" min="6" style="0" width="14.54"/>
    <col collapsed="false" customWidth="true" hidden="false" outlineLevel="0" max="7" min="7" style="0" width="15.45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13"/>
    <col collapsed="false" customWidth="true" hidden="false" outlineLevel="0" max="12" min="12" style="0" width="11.27"/>
    <col collapsed="false" customWidth="true" hidden="false" outlineLevel="0" max="16" min="13" style="0" width="14"/>
    <col collapsed="false" customWidth="true" hidden="false" outlineLevel="0" max="17" min="17" style="0" width="15"/>
    <col collapsed="false" customWidth="true" hidden="false" outlineLevel="0" max="18" min="18" style="0" width="14"/>
    <col collapsed="false" customWidth="true" hidden="false" outlineLevel="0" max="19" min="19" style="0" width="15"/>
    <col collapsed="false" customWidth="true" hidden="false" outlineLevel="0" max="20" min="20" style="0" width="21"/>
    <col collapsed="false" customWidth="true" hidden="false" outlineLevel="0" max="22" min="21" style="0" width="23"/>
    <col collapsed="false" customWidth="true" hidden="false" outlineLevel="0" max="24" min="23" style="0" width="14"/>
    <col collapsed="false" customWidth="true" hidden="false" outlineLevel="0" max="25" min="25" style="0" width="27"/>
  </cols>
  <sheetData>
    <row r="1" customFormat="false" ht="33.75" hidden="false" customHeight="true" outlineLevel="0" collapsed="false">
      <c r="A1" s="99" t="s">
        <v>142</v>
      </c>
      <c r="B1" s="99"/>
      <c r="C1" s="99"/>
      <c r="D1" s="99"/>
      <c r="E1" s="99"/>
      <c r="F1" s="99"/>
      <c r="G1" s="99"/>
      <c r="H1" s="99"/>
      <c r="I1" s="99"/>
      <c r="J1" s="99"/>
      <c r="K1" s="99"/>
    </row>
    <row r="2" customFormat="false" ht="14.25" hidden="false" customHeight="true" outlineLevel="0" collapsed="false">
      <c r="A2" s="2" t="s">
        <v>143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4.25" hidden="false" customHeight="true" outlineLevel="0" collapsed="false">
      <c r="A3" s="100" t="str">
        <f aca="false">HYPERLINK("#'HOME'!A1","HOME")</f>
        <v>HOME</v>
      </c>
      <c r="B3" s="100" t="str">
        <f aca="false">HYPERLINK("#'FARMERS'!A1","FARMERS")</f>
        <v>FARMERS</v>
      </c>
      <c r="C3" s="100" t="str">
        <f aca="false">HYPERLINK("#'SUBSCRIPTIONS'!A1","SUBSCRIPTIONS")</f>
        <v>SUBSCRIPTIONS</v>
      </c>
      <c r="D3" s="100" t="str">
        <f aca="false">HYPERLINK("#'PRODUCTION'!A1","PRODUCTION")</f>
        <v>PRODUCTION</v>
      </c>
      <c r="E3" s="100" t="str">
        <f aca="false">HYPERLINK("#'RECOVERY'!A1","RECOVERY")</f>
        <v>RECOVERY</v>
      </c>
      <c r="F3" s="100" t="str">
        <f aca="false">HYPERLINK("#'DELIVERIES'!A1","DELIVERIES")</f>
        <v>DELIVERIES</v>
      </c>
      <c r="G3" s="100" t="str">
        <f aca="false">HYPERLINK("#'FINANCE'!A1","FINANCE")</f>
        <v>FINANCE</v>
      </c>
      <c r="H3" s="100" t="str">
        <f aca="false">HYPERLINK("#'REPORTS'!A1","REPORTS")</f>
        <v>REPORTS</v>
      </c>
    </row>
    <row r="5" customFormat="false" ht="30.75" hidden="false" customHeight="true" outlineLevel="0" collapsed="false">
      <c r="A5" s="101" t="s">
        <v>144</v>
      </c>
      <c r="B5" s="101" t="s">
        <v>145</v>
      </c>
      <c r="C5" s="101" t="s">
        <v>146</v>
      </c>
      <c r="D5" s="101" t="s">
        <v>147</v>
      </c>
      <c r="E5" s="101" t="s">
        <v>148</v>
      </c>
      <c r="F5" s="101" t="s">
        <v>149</v>
      </c>
      <c r="G5" s="101" t="s">
        <v>150</v>
      </c>
      <c r="H5" s="101" t="s">
        <v>151</v>
      </c>
      <c r="I5" s="101" t="s">
        <v>152</v>
      </c>
      <c r="J5" s="101" t="s">
        <v>153</v>
      </c>
      <c r="K5" s="101" t="s">
        <v>154</v>
      </c>
      <c r="L5" s="102" t="s">
        <v>155</v>
      </c>
      <c r="M5" s="102" t="s">
        <v>156</v>
      </c>
      <c r="N5" s="102" t="s">
        <v>157</v>
      </c>
      <c r="O5" s="102" t="s">
        <v>158</v>
      </c>
      <c r="P5" s="102" t="s">
        <v>159</v>
      </c>
      <c r="Q5" s="102" t="s">
        <v>160</v>
      </c>
      <c r="R5" s="102" t="s">
        <v>161</v>
      </c>
      <c r="S5" s="102" t="s">
        <v>162</v>
      </c>
      <c r="T5" s="102" t="s">
        <v>163</v>
      </c>
      <c r="U5" s="102" t="s">
        <v>164</v>
      </c>
      <c r="V5" s="102" t="s">
        <v>165</v>
      </c>
      <c r="W5" s="102" t="s">
        <v>166</v>
      </c>
      <c r="X5" s="102" t="s">
        <v>167</v>
      </c>
      <c r="Y5" s="102" t="s">
        <v>168</v>
      </c>
    </row>
    <row r="6" customFormat="false" ht="15" hidden="false" customHeight="true" outlineLevel="0" collapsed="false">
      <c r="A6" s="103" t="n">
        <v>1</v>
      </c>
      <c r="B6" s="103" t="s">
        <v>169</v>
      </c>
      <c r="C6" s="103" t="s">
        <v>170</v>
      </c>
      <c r="D6" s="104" t="s">
        <v>171</v>
      </c>
      <c r="E6" s="103" t="s">
        <v>172</v>
      </c>
      <c r="F6" s="103" t="n">
        <v>772816543</v>
      </c>
      <c r="G6" s="103" t="s">
        <v>173</v>
      </c>
      <c r="H6" s="103" t="s">
        <v>174</v>
      </c>
      <c r="I6" s="103" t="n">
        <v>21</v>
      </c>
      <c r="J6" s="103" t="s">
        <v>175</v>
      </c>
      <c r="K6" s="103" t="n">
        <v>0</v>
      </c>
      <c r="L6" s="103" t="n">
        <v>0</v>
      </c>
      <c r="M6" s="0" t="n">
        <v>50</v>
      </c>
      <c r="N6" s="103" t="n">
        <v>50</v>
      </c>
      <c r="O6" s="103" t="n">
        <v>10273.28</v>
      </c>
      <c r="P6" s="103" t="n">
        <v>0</v>
      </c>
      <c r="Q6" s="103" t="n">
        <v>0</v>
      </c>
      <c r="R6" s="103" t="n">
        <v>10273.28</v>
      </c>
      <c r="S6" s="103" t="s">
        <v>176</v>
      </c>
      <c r="T6" s="103" t="n">
        <v>50</v>
      </c>
      <c r="U6" s="103" t="s">
        <v>177</v>
      </c>
      <c r="V6" s="103" t="n">
        <v>500</v>
      </c>
      <c r="W6" s="103" t="n">
        <f aca="false">DATA_PIPELINE!$K6</f>
        <v>0</v>
      </c>
      <c r="X6" s="103" t="n">
        <f aca="false">DATA_PIPELINE!$V6-DATA_PIPELINE!$W6</f>
        <v>500</v>
      </c>
      <c r="Y6" s="103" t="str">
        <f aca="false">IF(DATA_PIPELINE!$X6=0,"Paid",IF(DATA_PIPELINE!$W6=0,"Unpaid","Partly Paid"))</f>
        <v>Unpaid</v>
      </c>
    </row>
    <row r="7" customFormat="false" ht="15" hidden="false" customHeight="true" outlineLevel="0" collapsed="false">
      <c r="A7" s="103" t="n">
        <v>2</v>
      </c>
      <c r="B7" s="103" t="s">
        <v>178</v>
      </c>
      <c r="C7" s="103" t="s">
        <v>179</v>
      </c>
      <c r="D7" s="104" t="s">
        <v>171</v>
      </c>
      <c r="E7" s="103" t="s">
        <v>180</v>
      </c>
      <c r="F7" s="103" t="n">
        <v>774739609</v>
      </c>
      <c r="G7" s="103" t="s">
        <v>173</v>
      </c>
      <c r="H7" s="103" t="s">
        <v>174</v>
      </c>
      <c r="I7" s="103"/>
      <c r="J7" s="103" t="s">
        <v>175</v>
      </c>
      <c r="K7" s="103" t="n">
        <v>0</v>
      </c>
      <c r="L7" s="103" t="n">
        <v>0</v>
      </c>
      <c r="M7" s="0" t="n">
        <v>35</v>
      </c>
      <c r="N7" s="103" t="n">
        <v>50</v>
      </c>
      <c r="O7" s="103" t="n">
        <v>6466.9</v>
      </c>
      <c r="P7" s="103" t="n">
        <v>0</v>
      </c>
      <c r="Q7" s="103" t="n">
        <v>0</v>
      </c>
      <c r="R7" s="103" t="n">
        <v>6466.9</v>
      </c>
      <c r="S7" s="103" t="s">
        <v>176</v>
      </c>
      <c r="T7" s="103" t="n">
        <v>50</v>
      </c>
      <c r="U7" s="103" t="s">
        <v>177</v>
      </c>
      <c r="V7" s="103" t="n">
        <v>500</v>
      </c>
      <c r="W7" s="103" t="n">
        <f aca="false">DATA_PIPELINE!$K7</f>
        <v>0</v>
      </c>
      <c r="X7" s="103" t="n">
        <f aca="false">DATA_PIPELINE!$V7-DATA_PIPELINE!$W7</f>
        <v>500</v>
      </c>
      <c r="Y7" s="103" t="str">
        <f aca="false">IF(DATA_PIPELINE!$X7=0,"Paid",IF(DATA_PIPELINE!$W7=0,"Unpaid","Partly Paid"))</f>
        <v>Unpaid</v>
      </c>
    </row>
    <row r="8" customFormat="false" ht="15" hidden="false" customHeight="true" outlineLevel="0" collapsed="false">
      <c r="A8" s="103" t="n">
        <v>3</v>
      </c>
      <c r="B8" s="103" t="s">
        <v>181</v>
      </c>
      <c r="C8" s="103" t="s">
        <v>182</v>
      </c>
      <c r="D8" s="104" t="s">
        <v>171</v>
      </c>
      <c r="E8" s="103" t="s">
        <v>183</v>
      </c>
      <c r="F8" s="103" t="n">
        <v>771487499</v>
      </c>
      <c r="G8" s="103" t="s">
        <v>173</v>
      </c>
      <c r="H8" s="103" t="s">
        <v>174</v>
      </c>
      <c r="I8" s="103"/>
      <c r="J8" s="103" t="s">
        <v>175</v>
      </c>
      <c r="K8" s="103" t="n">
        <v>0</v>
      </c>
      <c r="L8" s="103" t="n">
        <v>0</v>
      </c>
      <c r="M8" s="0" t="n">
        <v>40</v>
      </c>
      <c r="N8" s="103" t="n">
        <v>40</v>
      </c>
      <c r="O8" s="103" t="n">
        <v>7596.28</v>
      </c>
      <c r="P8" s="103" t="n">
        <v>0</v>
      </c>
      <c r="Q8" s="103" t="n">
        <v>0</v>
      </c>
      <c r="R8" s="103" t="n">
        <v>7596.28</v>
      </c>
      <c r="S8" s="103" t="s">
        <v>176</v>
      </c>
      <c r="T8" s="103" t="n">
        <v>40</v>
      </c>
      <c r="U8" s="103" t="s">
        <v>177</v>
      </c>
      <c r="V8" s="103" t="n">
        <v>500</v>
      </c>
      <c r="W8" s="103" t="n">
        <f aca="false">DATA_PIPELINE!$K8</f>
        <v>0</v>
      </c>
      <c r="X8" s="103" t="n">
        <f aca="false">DATA_PIPELINE!$V8-DATA_PIPELINE!$W8</f>
        <v>500</v>
      </c>
      <c r="Y8" s="103" t="str">
        <f aca="false">IF(DATA_PIPELINE!$X8=0,"Paid",IF(DATA_PIPELINE!$W8=0,"Unpaid","Partly Paid"))</f>
        <v>Unpaid</v>
      </c>
    </row>
    <row r="9" customFormat="false" ht="15" hidden="false" customHeight="true" outlineLevel="0" collapsed="false">
      <c r="A9" s="103" t="n">
        <v>4</v>
      </c>
      <c r="B9" s="103" t="s">
        <v>184</v>
      </c>
      <c r="C9" s="103" t="s">
        <v>185</v>
      </c>
      <c r="D9" s="104" t="s">
        <v>171</v>
      </c>
      <c r="E9" s="103" t="s">
        <v>186</v>
      </c>
      <c r="F9" s="103" t="n">
        <v>773040703</v>
      </c>
      <c r="G9" s="103" t="s">
        <v>173</v>
      </c>
      <c r="H9" s="103" t="s">
        <v>174</v>
      </c>
      <c r="I9" s="103" t="n">
        <v>29</v>
      </c>
      <c r="J9" s="103" t="s">
        <v>175</v>
      </c>
      <c r="K9" s="103" t="n">
        <v>0</v>
      </c>
      <c r="L9" s="103" t="n">
        <v>0</v>
      </c>
      <c r="M9" s="0" t="n">
        <v>30</v>
      </c>
      <c r="N9" s="103" t="n">
        <v>30</v>
      </c>
      <c r="O9" s="103" t="n">
        <v>6008.43</v>
      </c>
      <c r="P9" s="103" t="n">
        <v>0</v>
      </c>
      <c r="Q9" s="103" t="n">
        <v>0</v>
      </c>
      <c r="R9" s="103" t="n">
        <v>6008.43</v>
      </c>
      <c r="S9" s="103" t="s">
        <v>176</v>
      </c>
      <c r="T9" s="103" t="n">
        <v>30</v>
      </c>
      <c r="U9" s="103" t="s">
        <v>177</v>
      </c>
      <c r="V9" s="103" t="n">
        <v>500</v>
      </c>
      <c r="W9" s="103" t="n">
        <f aca="false">DATA_PIPELINE!$K9</f>
        <v>0</v>
      </c>
      <c r="X9" s="103" t="n">
        <f aca="false">DATA_PIPELINE!$V9-DATA_PIPELINE!$W9</f>
        <v>500</v>
      </c>
      <c r="Y9" s="103" t="str">
        <f aca="false">IF(DATA_PIPELINE!$X9=0,"Paid",IF(DATA_PIPELINE!$W9=0,"Unpaid","Partly Paid"))</f>
        <v>Unpaid</v>
      </c>
    </row>
    <row r="10" customFormat="false" ht="15" hidden="false" customHeight="true" outlineLevel="0" collapsed="false">
      <c r="A10" s="103" t="n">
        <v>5</v>
      </c>
      <c r="B10" s="103" t="s">
        <v>187</v>
      </c>
      <c r="C10" s="103" t="s">
        <v>188</v>
      </c>
      <c r="D10" s="104" t="s">
        <v>171</v>
      </c>
      <c r="E10" s="103" t="s">
        <v>189</v>
      </c>
      <c r="F10" s="103" t="n">
        <v>712521593</v>
      </c>
      <c r="G10" s="103" t="s">
        <v>173</v>
      </c>
      <c r="H10" s="103" t="s">
        <v>174</v>
      </c>
      <c r="I10" s="103" t="n">
        <v>29</v>
      </c>
      <c r="J10" s="103" t="s">
        <v>175</v>
      </c>
      <c r="K10" s="103" t="n">
        <v>0</v>
      </c>
      <c r="L10" s="103" t="n">
        <v>0</v>
      </c>
      <c r="M10" s="0" t="n">
        <v>20</v>
      </c>
      <c r="N10" s="103" t="n">
        <v>20</v>
      </c>
      <c r="O10" s="103" t="n">
        <v>4415.12</v>
      </c>
      <c r="P10" s="103" t="n">
        <v>0</v>
      </c>
      <c r="Q10" s="103" t="n">
        <v>0</v>
      </c>
      <c r="R10" s="103" t="n">
        <v>4415.12</v>
      </c>
      <c r="S10" s="103" t="s">
        <v>176</v>
      </c>
      <c r="T10" s="103" t="n">
        <v>20</v>
      </c>
      <c r="U10" s="103" t="s">
        <v>177</v>
      </c>
      <c r="V10" s="103" t="n">
        <v>500</v>
      </c>
      <c r="W10" s="103" t="n">
        <f aca="false">DATA_PIPELINE!$K10</f>
        <v>0</v>
      </c>
      <c r="X10" s="103" t="n">
        <f aca="false">DATA_PIPELINE!$V10-DATA_PIPELINE!$W10</f>
        <v>500</v>
      </c>
      <c r="Y10" s="103" t="str">
        <f aca="false">IF(DATA_PIPELINE!$X10=0,"Paid",IF(DATA_PIPELINE!$W10=0,"Unpaid","Partly Paid"))</f>
        <v>Unpaid</v>
      </c>
    </row>
    <row r="11" customFormat="false" ht="15" hidden="false" customHeight="true" outlineLevel="0" collapsed="false">
      <c r="A11" s="103" t="n">
        <v>6</v>
      </c>
      <c r="B11" s="103" t="s">
        <v>190</v>
      </c>
      <c r="C11" s="103" t="s">
        <v>191</v>
      </c>
      <c r="D11" s="104" t="s">
        <v>171</v>
      </c>
      <c r="E11" s="103" t="s">
        <v>192</v>
      </c>
      <c r="F11" s="103" t="n">
        <v>785980422</v>
      </c>
      <c r="G11" s="103" t="s">
        <v>173</v>
      </c>
      <c r="H11" s="103" t="s">
        <v>193</v>
      </c>
      <c r="I11" s="103" t="n">
        <v>29</v>
      </c>
      <c r="J11" s="103" t="s">
        <v>175</v>
      </c>
      <c r="K11" s="103" t="n">
        <v>0</v>
      </c>
      <c r="L11" s="103" t="n">
        <v>0</v>
      </c>
      <c r="M11" s="0" t="n">
        <v>20</v>
      </c>
      <c r="N11" s="103" t="n">
        <v>20</v>
      </c>
      <c r="O11" s="103" t="n">
        <v>4415.12</v>
      </c>
      <c r="P11" s="103" t="n">
        <v>0</v>
      </c>
      <c r="Q11" s="103" t="n">
        <v>0</v>
      </c>
      <c r="R11" s="103" t="n">
        <v>4415.12</v>
      </c>
      <c r="S11" s="103" t="s">
        <v>176</v>
      </c>
      <c r="T11" s="103" t="n">
        <v>20</v>
      </c>
      <c r="U11" s="103" t="s">
        <v>177</v>
      </c>
      <c r="V11" s="103" t="n">
        <v>500</v>
      </c>
      <c r="W11" s="103" t="n">
        <f aca="false">DATA_PIPELINE!$K11</f>
        <v>0</v>
      </c>
      <c r="X11" s="103" t="n">
        <f aca="false">DATA_PIPELINE!$V11-DATA_PIPELINE!$W11</f>
        <v>500</v>
      </c>
      <c r="Y11" s="103" t="str">
        <f aca="false">IF(DATA_PIPELINE!$X11=0,"Paid",IF(DATA_PIPELINE!$W11=0,"Unpaid","Partly Paid"))</f>
        <v>Unpaid</v>
      </c>
    </row>
    <row r="12" customFormat="false" ht="15" hidden="false" customHeight="true" outlineLevel="0" collapsed="false">
      <c r="A12" s="103" t="n">
        <v>7</v>
      </c>
      <c r="B12" s="103" t="s">
        <v>194</v>
      </c>
      <c r="C12" s="103" t="s">
        <v>195</v>
      </c>
      <c r="D12" s="104" t="s">
        <v>171</v>
      </c>
      <c r="E12" s="103" t="s">
        <v>196</v>
      </c>
      <c r="F12" s="103" t="n">
        <v>772216457</v>
      </c>
      <c r="G12" s="103" t="s">
        <v>173</v>
      </c>
      <c r="H12" s="103" t="s">
        <v>174</v>
      </c>
      <c r="I12" s="103" t="n">
        <v>29</v>
      </c>
      <c r="J12" s="103" t="s">
        <v>175</v>
      </c>
      <c r="K12" s="103" t="n">
        <v>0</v>
      </c>
      <c r="L12" s="103" t="n">
        <v>0</v>
      </c>
      <c r="M12" s="0" t="n">
        <v>25</v>
      </c>
      <c r="N12" s="103" t="n">
        <v>25</v>
      </c>
      <c r="O12" s="103" t="n">
        <v>5316.94</v>
      </c>
      <c r="P12" s="103" t="n">
        <v>0</v>
      </c>
      <c r="Q12" s="103" t="n">
        <v>0</v>
      </c>
      <c r="R12" s="103" t="n">
        <v>5316.94</v>
      </c>
      <c r="S12" s="103" t="s">
        <v>176</v>
      </c>
      <c r="T12" s="103" t="n">
        <v>25</v>
      </c>
      <c r="U12" s="103" t="s">
        <v>177</v>
      </c>
      <c r="V12" s="103" t="n">
        <v>500</v>
      </c>
      <c r="W12" s="103" t="n">
        <f aca="false">DATA_PIPELINE!$K12</f>
        <v>0</v>
      </c>
      <c r="X12" s="103" t="n">
        <f aca="false">DATA_PIPELINE!$V12-DATA_PIPELINE!$W12</f>
        <v>500</v>
      </c>
      <c r="Y12" s="103" t="str">
        <f aca="false">IF(DATA_PIPELINE!$X12=0,"Paid",IF(DATA_PIPELINE!$W12=0,"Unpaid","Partly Paid"))</f>
        <v>Unpaid</v>
      </c>
    </row>
    <row r="13" customFormat="false" ht="15" hidden="false" customHeight="true" outlineLevel="0" collapsed="false">
      <c r="A13" s="103" t="n">
        <v>8</v>
      </c>
      <c r="B13" s="103" t="s">
        <v>197</v>
      </c>
      <c r="C13" s="103" t="s">
        <v>198</v>
      </c>
      <c r="D13" s="104" t="s">
        <v>171</v>
      </c>
      <c r="E13" s="103" t="s">
        <v>199</v>
      </c>
      <c r="F13" s="103" t="n">
        <v>718363313</v>
      </c>
      <c r="G13" s="103" t="s">
        <v>173</v>
      </c>
      <c r="H13" s="103" t="s">
        <v>174</v>
      </c>
      <c r="I13" s="103" t="n">
        <v>29</v>
      </c>
      <c r="J13" s="103" t="s">
        <v>175</v>
      </c>
      <c r="K13" s="103" t="n">
        <v>0</v>
      </c>
      <c r="L13" s="103" t="n">
        <v>0</v>
      </c>
      <c r="M13" s="0" t="n">
        <v>20</v>
      </c>
      <c r="N13" s="103" t="n">
        <v>20</v>
      </c>
      <c r="O13" s="103" t="n">
        <v>4415.12</v>
      </c>
      <c r="P13" s="103" t="n">
        <v>0</v>
      </c>
      <c r="Q13" s="103" t="n">
        <v>0</v>
      </c>
      <c r="R13" s="103" t="n">
        <v>4415.12</v>
      </c>
      <c r="S13" s="103" t="s">
        <v>176</v>
      </c>
      <c r="T13" s="103" t="n">
        <v>20</v>
      </c>
      <c r="U13" s="103" t="s">
        <v>177</v>
      </c>
      <c r="V13" s="103" t="n">
        <v>500</v>
      </c>
      <c r="W13" s="103" t="n">
        <f aca="false">DATA_PIPELINE!$K13</f>
        <v>0</v>
      </c>
      <c r="X13" s="103" t="n">
        <f aca="false">DATA_PIPELINE!$V13-DATA_PIPELINE!$W13</f>
        <v>500</v>
      </c>
      <c r="Y13" s="103" t="str">
        <f aca="false">IF(DATA_PIPELINE!$X13=0,"Paid",IF(DATA_PIPELINE!$W13=0,"Unpaid","Partly Paid"))</f>
        <v>Unpaid</v>
      </c>
    </row>
    <row r="14" customFormat="false" ht="15" hidden="false" customHeight="true" outlineLevel="0" collapsed="false">
      <c r="A14" s="103" t="n">
        <v>9</v>
      </c>
      <c r="B14" s="103" t="s">
        <v>200</v>
      </c>
      <c r="C14" s="103" t="s">
        <v>201</v>
      </c>
      <c r="D14" s="104" t="s">
        <v>171</v>
      </c>
      <c r="E14" s="103" t="s">
        <v>202</v>
      </c>
      <c r="F14" s="103" t="n">
        <v>712730426</v>
      </c>
      <c r="G14" s="103" t="s">
        <v>173</v>
      </c>
      <c r="H14" s="103" t="s">
        <v>174</v>
      </c>
      <c r="I14" s="103"/>
      <c r="J14" s="103" t="s">
        <v>175</v>
      </c>
      <c r="K14" s="103" t="n">
        <v>0</v>
      </c>
      <c r="L14" s="103" t="n">
        <v>0</v>
      </c>
      <c r="M14" s="0" t="n">
        <v>80</v>
      </c>
      <c r="N14" s="103" t="n">
        <v>80</v>
      </c>
      <c r="O14" s="103" t="n">
        <v>12654.97</v>
      </c>
      <c r="P14" s="103" t="n">
        <v>0</v>
      </c>
      <c r="Q14" s="103" t="n">
        <v>0</v>
      </c>
      <c r="R14" s="103" t="n">
        <v>12654.97</v>
      </c>
      <c r="S14" s="103" t="s">
        <v>176</v>
      </c>
      <c r="T14" s="103" t="n">
        <v>80</v>
      </c>
      <c r="U14" s="103" t="s">
        <v>177</v>
      </c>
      <c r="V14" s="103" t="n">
        <v>500</v>
      </c>
      <c r="W14" s="103" t="n">
        <f aca="false">DATA_PIPELINE!$K14</f>
        <v>0</v>
      </c>
      <c r="X14" s="103" t="n">
        <f aca="false">DATA_PIPELINE!$V14-DATA_PIPELINE!$W14</f>
        <v>500</v>
      </c>
      <c r="Y14" s="103" t="str">
        <f aca="false">IF(DATA_PIPELINE!$X14=0,"Paid",IF(DATA_PIPELINE!$W14=0,"Unpaid","Partly Paid"))</f>
        <v>Unpaid</v>
      </c>
    </row>
    <row r="15" customFormat="false" ht="15" hidden="false" customHeight="true" outlineLevel="0" collapsed="false">
      <c r="A15" s="103" t="n">
        <v>10</v>
      </c>
      <c r="B15" s="103" t="s">
        <v>203</v>
      </c>
      <c r="C15" s="103" t="s">
        <v>204</v>
      </c>
      <c r="D15" s="104" t="s">
        <v>171</v>
      </c>
      <c r="E15" s="103" t="s">
        <v>205</v>
      </c>
      <c r="F15" s="103" t="n">
        <v>772960915</v>
      </c>
      <c r="G15" s="103" t="s">
        <v>173</v>
      </c>
      <c r="H15" s="103" t="s">
        <v>174</v>
      </c>
      <c r="I15" s="103"/>
      <c r="J15" s="103" t="s">
        <v>175</v>
      </c>
      <c r="K15" s="103" t="n">
        <v>0</v>
      </c>
      <c r="L15" s="103" t="n">
        <v>0</v>
      </c>
      <c r="M15" s="0" t="n">
        <v>100</v>
      </c>
      <c r="N15" s="103" t="n">
        <v>100</v>
      </c>
      <c r="O15" s="103" t="n">
        <v>27964.77</v>
      </c>
      <c r="P15" s="103" t="n">
        <v>0</v>
      </c>
      <c r="Q15" s="103" t="n">
        <v>0</v>
      </c>
      <c r="R15" s="103" t="n">
        <v>27964.77</v>
      </c>
      <c r="S15" s="103" t="s">
        <v>176</v>
      </c>
      <c r="T15" s="103" t="n">
        <v>100</v>
      </c>
      <c r="U15" s="103" t="s">
        <v>177</v>
      </c>
      <c r="V15" s="103" t="n">
        <v>500</v>
      </c>
      <c r="W15" s="103" t="n">
        <f aca="false">DATA_PIPELINE!$K15</f>
        <v>0</v>
      </c>
      <c r="X15" s="103" t="n">
        <f aca="false">DATA_PIPELINE!$V15-DATA_PIPELINE!$W15</f>
        <v>500</v>
      </c>
      <c r="Y15" s="103" t="str">
        <f aca="false">IF(DATA_PIPELINE!$X15=0,"Paid",IF(DATA_PIPELINE!$W15=0,"Unpaid","Partly Paid"))</f>
        <v>Unpaid</v>
      </c>
    </row>
    <row r="16" customFormat="false" ht="15" hidden="false" customHeight="true" outlineLevel="0" collapsed="false">
      <c r="A16" s="103" t="n">
        <v>11</v>
      </c>
      <c r="B16" s="103" t="s">
        <v>206</v>
      </c>
      <c r="C16" s="103" t="s">
        <v>207</v>
      </c>
      <c r="D16" s="104" t="s">
        <v>171</v>
      </c>
      <c r="E16" s="103" t="s">
        <v>208</v>
      </c>
      <c r="F16" s="103" t="n">
        <v>773409156</v>
      </c>
      <c r="G16" s="103" t="s">
        <v>173</v>
      </c>
      <c r="H16" s="103" t="s">
        <v>174</v>
      </c>
      <c r="I16" s="103"/>
      <c r="J16" s="103" t="s">
        <v>175</v>
      </c>
      <c r="K16" s="103" t="n">
        <v>0</v>
      </c>
      <c r="L16" s="103" t="n">
        <v>0</v>
      </c>
      <c r="M16" s="0" t="n">
        <v>15</v>
      </c>
      <c r="N16" s="103" t="n">
        <v>15</v>
      </c>
      <c r="O16" s="103" t="n">
        <v>2807.94</v>
      </c>
      <c r="P16" s="103" t="n">
        <v>0</v>
      </c>
      <c r="Q16" s="103" t="n">
        <v>0</v>
      </c>
      <c r="R16" s="103" t="n">
        <v>2807.94</v>
      </c>
      <c r="S16" s="103" t="s">
        <v>176</v>
      </c>
      <c r="T16" s="103" t="n">
        <v>15</v>
      </c>
      <c r="U16" s="103" t="s">
        <v>177</v>
      </c>
      <c r="V16" s="103" t="n">
        <v>500</v>
      </c>
      <c r="W16" s="103" t="n">
        <f aca="false">DATA_PIPELINE!$K16</f>
        <v>0</v>
      </c>
      <c r="X16" s="103" t="n">
        <f aca="false">DATA_PIPELINE!$V16-DATA_PIPELINE!$W16</f>
        <v>500</v>
      </c>
      <c r="Y16" s="103" t="str">
        <f aca="false">IF(DATA_PIPELINE!$X16=0,"Paid",IF(DATA_PIPELINE!$W16=0,"Unpaid","Partly Paid"))</f>
        <v>Unpaid</v>
      </c>
    </row>
    <row r="17" customFormat="false" ht="15" hidden="false" customHeight="true" outlineLevel="0" collapsed="false">
      <c r="A17" s="103" t="n">
        <v>12</v>
      </c>
      <c r="B17" s="103" t="s">
        <v>209</v>
      </c>
      <c r="C17" s="103" t="s">
        <v>210</v>
      </c>
      <c r="D17" s="104" t="s">
        <v>171</v>
      </c>
      <c r="E17" s="103" t="s">
        <v>211</v>
      </c>
      <c r="F17" s="103" t="n">
        <v>715082150</v>
      </c>
      <c r="G17" s="103" t="s">
        <v>173</v>
      </c>
      <c r="H17" s="103" t="s">
        <v>174</v>
      </c>
      <c r="I17" s="103"/>
      <c r="J17" s="103" t="s">
        <v>175</v>
      </c>
      <c r="K17" s="103" t="n">
        <v>0</v>
      </c>
      <c r="L17" s="103" t="n">
        <v>0</v>
      </c>
      <c r="M17" s="0" t="n">
        <v>10</v>
      </c>
      <c r="N17" s="103" t="n">
        <v>10</v>
      </c>
      <c r="O17" s="103" t="n">
        <v>4433.03</v>
      </c>
      <c r="P17" s="103" t="n">
        <v>0</v>
      </c>
      <c r="Q17" s="103" t="n">
        <v>0</v>
      </c>
      <c r="R17" s="103" t="n">
        <v>4433.03</v>
      </c>
      <c r="S17" s="103" t="s">
        <v>176</v>
      </c>
      <c r="T17" s="103" t="n">
        <v>10</v>
      </c>
      <c r="U17" s="103" t="s">
        <v>177</v>
      </c>
      <c r="V17" s="103" t="n">
        <v>500</v>
      </c>
      <c r="W17" s="103" t="n">
        <f aca="false">DATA_PIPELINE!$K17</f>
        <v>0</v>
      </c>
      <c r="X17" s="103" t="n">
        <f aca="false">DATA_PIPELINE!$V17-DATA_PIPELINE!$W17</f>
        <v>500</v>
      </c>
      <c r="Y17" s="103" t="str">
        <f aca="false">IF(DATA_PIPELINE!$X17=0,"Paid",IF(DATA_PIPELINE!$W17=0,"Unpaid","Partly Paid"))</f>
        <v>Unpaid</v>
      </c>
    </row>
    <row r="18" customFormat="false" ht="15" hidden="false" customHeight="true" outlineLevel="0" collapsed="false">
      <c r="A18" s="103" t="n">
        <v>13</v>
      </c>
      <c r="B18" s="103" t="s">
        <v>212</v>
      </c>
      <c r="C18" s="103" t="s">
        <v>213</v>
      </c>
      <c r="D18" s="104" t="s">
        <v>171</v>
      </c>
      <c r="E18" s="103" t="s">
        <v>214</v>
      </c>
      <c r="F18" s="103" t="n">
        <v>772407927</v>
      </c>
      <c r="G18" s="103" t="s">
        <v>173</v>
      </c>
      <c r="H18" s="103" t="s">
        <v>174</v>
      </c>
      <c r="I18" s="103"/>
      <c r="J18" s="103" t="s">
        <v>175</v>
      </c>
      <c r="K18" s="103" t="n">
        <v>0</v>
      </c>
      <c r="L18" s="103" t="n">
        <v>0</v>
      </c>
      <c r="M18" s="0" t="n">
        <v>20</v>
      </c>
      <c r="N18" s="103" t="n">
        <v>20</v>
      </c>
      <c r="O18" s="103" t="n">
        <v>4743.76</v>
      </c>
      <c r="P18" s="103" t="n">
        <v>0</v>
      </c>
      <c r="Q18" s="103" t="n">
        <v>0</v>
      </c>
      <c r="R18" s="103" t="n">
        <v>4743.76</v>
      </c>
      <c r="S18" s="103" t="s">
        <v>176</v>
      </c>
      <c r="T18" s="103" t="n">
        <v>20</v>
      </c>
      <c r="U18" s="103" t="s">
        <v>177</v>
      </c>
      <c r="V18" s="103" t="n">
        <v>500</v>
      </c>
      <c r="W18" s="103" t="n">
        <f aca="false">DATA_PIPELINE!$K18</f>
        <v>0</v>
      </c>
      <c r="X18" s="103" t="n">
        <f aca="false">DATA_PIPELINE!$V18-DATA_PIPELINE!$W18</f>
        <v>500</v>
      </c>
      <c r="Y18" s="103" t="str">
        <f aca="false">IF(DATA_PIPELINE!$X18=0,"Paid",IF(DATA_PIPELINE!$W18=0,"Unpaid","Partly Paid"))</f>
        <v>Unpaid</v>
      </c>
    </row>
    <row r="19" customFormat="false" ht="15" hidden="false" customHeight="true" outlineLevel="0" collapsed="false">
      <c r="A19" s="103" t="n">
        <v>14</v>
      </c>
      <c r="B19" s="103" t="s">
        <v>215</v>
      </c>
      <c r="C19" s="103" t="s">
        <v>216</v>
      </c>
      <c r="D19" s="104" t="s">
        <v>171</v>
      </c>
      <c r="E19" s="103" t="s">
        <v>217</v>
      </c>
      <c r="F19" s="103" t="n">
        <v>783308067</v>
      </c>
      <c r="G19" s="103" t="s">
        <v>173</v>
      </c>
      <c r="H19" s="103" t="s">
        <v>174</v>
      </c>
      <c r="I19" s="103"/>
      <c r="J19" s="103" t="s">
        <v>175</v>
      </c>
      <c r="K19" s="103" t="n">
        <v>0</v>
      </c>
      <c r="L19" s="103" t="n">
        <v>0</v>
      </c>
      <c r="M19" s="0" t="n">
        <v>10</v>
      </c>
      <c r="N19" s="103" t="n">
        <v>10</v>
      </c>
      <c r="O19" s="103" t="n">
        <v>273</v>
      </c>
      <c r="P19" s="103" t="n">
        <v>0</v>
      </c>
      <c r="Q19" s="103" t="n">
        <v>0</v>
      </c>
      <c r="R19" s="103" t="n">
        <v>273</v>
      </c>
      <c r="S19" s="103" t="s">
        <v>176</v>
      </c>
      <c r="T19" s="103" t="n">
        <v>10</v>
      </c>
      <c r="U19" s="103" t="s">
        <v>177</v>
      </c>
      <c r="V19" s="103" t="n">
        <v>500</v>
      </c>
      <c r="W19" s="103" t="n">
        <f aca="false">DATA_PIPELINE!$K19</f>
        <v>0</v>
      </c>
      <c r="X19" s="103" t="n">
        <f aca="false">DATA_PIPELINE!$V19-DATA_PIPELINE!$W19</f>
        <v>500</v>
      </c>
      <c r="Y19" s="103" t="str">
        <f aca="false">IF(DATA_PIPELINE!$X19=0,"Paid",IF(DATA_PIPELINE!$W19=0,"Unpaid","Partly Paid"))</f>
        <v>Unpaid</v>
      </c>
    </row>
    <row r="20" customFormat="false" ht="15" hidden="false" customHeight="true" outlineLevel="0" collapsed="false">
      <c r="A20" s="103" t="n">
        <v>15</v>
      </c>
      <c r="B20" s="103" t="s">
        <v>218</v>
      </c>
      <c r="C20" s="103" t="s">
        <v>219</v>
      </c>
      <c r="D20" s="104" t="s">
        <v>171</v>
      </c>
      <c r="E20" s="103" t="s">
        <v>220</v>
      </c>
      <c r="F20" s="103" t="n">
        <v>772590002</v>
      </c>
      <c r="G20" s="103" t="s">
        <v>173</v>
      </c>
      <c r="H20" s="103" t="s">
        <v>174</v>
      </c>
      <c r="I20" s="103"/>
      <c r="J20" s="103" t="s">
        <v>175</v>
      </c>
      <c r="K20" s="103" t="n">
        <v>0</v>
      </c>
      <c r="L20" s="103" t="n">
        <v>0</v>
      </c>
      <c r="M20" s="0" t="n">
        <v>30</v>
      </c>
      <c r="N20" s="103" t="n">
        <v>30</v>
      </c>
      <c r="O20" s="103" t="n">
        <v>7215.09</v>
      </c>
      <c r="P20" s="103" t="n">
        <v>0</v>
      </c>
      <c r="Q20" s="103" t="n">
        <v>0</v>
      </c>
      <c r="R20" s="103" t="n">
        <v>7215.09</v>
      </c>
      <c r="S20" s="103" t="s">
        <v>176</v>
      </c>
      <c r="T20" s="103" t="n">
        <v>30</v>
      </c>
      <c r="U20" s="103" t="s">
        <v>177</v>
      </c>
      <c r="V20" s="103" t="n">
        <v>500</v>
      </c>
      <c r="W20" s="103" t="n">
        <f aca="false">DATA_PIPELINE!$K20</f>
        <v>0</v>
      </c>
      <c r="X20" s="103" t="n">
        <f aca="false">DATA_PIPELINE!$V20-DATA_PIPELINE!$W20</f>
        <v>500</v>
      </c>
      <c r="Y20" s="103" t="str">
        <f aca="false">IF(DATA_PIPELINE!$X20=0,"Paid",IF(DATA_PIPELINE!$W20=0,"Unpaid","Partly Paid"))</f>
        <v>Unpaid</v>
      </c>
    </row>
    <row r="21" customFormat="false" ht="15" hidden="false" customHeight="true" outlineLevel="0" collapsed="false">
      <c r="A21" s="103" t="n">
        <v>16</v>
      </c>
      <c r="B21" s="103" t="s">
        <v>221</v>
      </c>
      <c r="C21" s="103" t="s">
        <v>222</v>
      </c>
      <c r="D21" s="104" t="s">
        <v>171</v>
      </c>
      <c r="E21" s="103" t="s">
        <v>223</v>
      </c>
      <c r="F21" s="103" t="n">
        <v>772714503</v>
      </c>
      <c r="G21" s="103" t="s">
        <v>224</v>
      </c>
      <c r="H21" s="103" t="s">
        <v>174</v>
      </c>
      <c r="I21" s="103" t="n">
        <v>4</v>
      </c>
      <c r="J21" s="103" t="s">
        <v>175</v>
      </c>
      <c r="K21" s="103" t="n">
        <v>0</v>
      </c>
      <c r="L21" s="103" t="n">
        <v>0</v>
      </c>
      <c r="M21" s="0" t="n">
        <v>60</v>
      </c>
      <c r="N21" s="103" t="n">
        <v>80</v>
      </c>
      <c r="O21" s="103" t="n">
        <v>20224.72</v>
      </c>
      <c r="P21" s="103" t="n">
        <v>0</v>
      </c>
      <c r="Q21" s="103" t="n">
        <v>0</v>
      </c>
      <c r="R21" s="103" t="n">
        <v>20224.72</v>
      </c>
      <c r="S21" s="103" t="s">
        <v>176</v>
      </c>
      <c r="T21" s="103" t="n">
        <v>80</v>
      </c>
      <c r="U21" s="103" t="s">
        <v>177</v>
      </c>
      <c r="V21" s="103" t="n">
        <v>500</v>
      </c>
      <c r="W21" s="103" t="n">
        <f aca="false">DATA_PIPELINE!$K21</f>
        <v>0</v>
      </c>
      <c r="X21" s="103" t="n">
        <f aca="false">DATA_PIPELINE!$V21-DATA_PIPELINE!$W21</f>
        <v>500</v>
      </c>
      <c r="Y21" s="103" t="str">
        <f aca="false">IF(DATA_PIPELINE!$X21=0,"Paid",IF(DATA_PIPELINE!$W21=0,"Unpaid","Partly Paid"))</f>
        <v>Unpaid</v>
      </c>
    </row>
    <row r="22" customFormat="false" ht="15" hidden="false" customHeight="true" outlineLevel="0" collapsed="false">
      <c r="A22" s="103" t="n">
        <v>17</v>
      </c>
      <c r="B22" s="103" t="s">
        <v>225</v>
      </c>
      <c r="C22" s="103" t="s">
        <v>226</v>
      </c>
      <c r="D22" s="104" t="s">
        <v>171</v>
      </c>
      <c r="E22" s="103" t="s">
        <v>227</v>
      </c>
      <c r="F22" s="103" t="n">
        <v>771525189</v>
      </c>
      <c r="G22" s="103" t="s">
        <v>224</v>
      </c>
      <c r="H22" s="103" t="s">
        <v>174</v>
      </c>
      <c r="I22" s="103"/>
      <c r="J22" s="103" t="s">
        <v>175</v>
      </c>
      <c r="K22" s="103" t="n">
        <v>0</v>
      </c>
      <c r="L22" s="103" t="n">
        <v>0</v>
      </c>
      <c r="M22" s="0" t="n">
        <v>25</v>
      </c>
      <c r="N22" s="103" t="n">
        <v>40</v>
      </c>
      <c r="O22" s="103" t="n">
        <v>6639.56</v>
      </c>
      <c r="P22" s="103" t="n">
        <v>0</v>
      </c>
      <c r="Q22" s="103" t="n">
        <v>0</v>
      </c>
      <c r="R22" s="103" t="n">
        <v>6639.56</v>
      </c>
      <c r="S22" s="103" t="s">
        <v>176</v>
      </c>
      <c r="T22" s="103" t="n">
        <v>40</v>
      </c>
      <c r="U22" s="103" t="s">
        <v>177</v>
      </c>
      <c r="V22" s="103" t="n">
        <v>500</v>
      </c>
      <c r="W22" s="103" t="n">
        <f aca="false">DATA_PIPELINE!$K22</f>
        <v>0</v>
      </c>
      <c r="X22" s="103" t="n">
        <f aca="false">DATA_PIPELINE!$V22-DATA_PIPELINE!$W22</f>
        <v>500</v>
      </c>
      <c r="Y22" s="103" t="str">
        <f aca="false">IF(DATA_PIPELINE!$X22=0,"Paid",IF(DATA_PIPELINE!$W22=0,"Unpaid","Partly Paid"))</f>
        <v>Unpaid</v>
      </c>
    </row>
    <row r="23" customFormat="false" ht="15" hidden="false" customHeight="true" outlineLevel="0" collapsed="false">
      <c r="A23" s="103" t="n">
        <v>18</v>
      </c>
      <c r="B23" s="103" t="s">
        <v>228</v>
      </c>
      <c r="C23" s="103" t="s">
        <v>229</v>
      </c>
      <c r="D23" s="104" t="s">
        <v>171</v>
      </c>
      <c r="E23" s="103" t="s">
        <v>230</v>
      </c>
      <c r="F23" s="103" t="n">
        <v>772207146</v>
      </c>
      <c r="G23" s="103" t="s">
        <v>224</v>
      </c>
      <c r="H23" s="103" t="s">
        <v>174</v>
      </c>
      <c r="I23" s="103"/>
      <c r="J23" s="103" t="s">
        <v>175</v>
      </c>
      <c r="K23" s="103" t="n">
        <v>0</v>
      </c>
      <c r="L23" s="103" t="n">
        <v>0</v>
      </c>
      <c r="M23" s="0" t="n">
        <v>50</v>
      </c>
      <c r="N23" s="103" t="n">
        <v>50</v>
      </c>
      <c r="O23" s="103" t="n">
        <v>9777.72</v>
      </c>
      <c r="P23" s="103" t="n">
        <v>0</v>
      </c>
      <c r="Q23" s="103" t="n">
        <v>0</v>
      </c>
      <c r="R23" s="103" t="n">
        <v>9777.72</v>
      </c>
      <c r="S23" s="103" t="s">
        <v>176</v>
      </c>
      <c r="T23" s="103" t="n">
        <v>50</v>
      </c>
      <c r="U23" s="103" t="s">
        <v>177</v>
      </c>
      <c r="V23" s="103" t="n">
        <v>500</v>
      </c>
      <c r="W23" s="103" t="n">
        <f aca="false">DATA_PIPELINE!$K23</f>
        <v>0</v>
      </c>
      <c r="X23" s="103" t="n">
        <f aca="false">DATA_PIPELINE!$V23-DATA_PIPELINE!$W23</f>
        <v>500</v>
      </c>
      <c r="Y23" s="103" t="str">
        <f aca="false">IF(DATA_PIPELINE!$X23=0,"Paid",IF(DATA_PIPELINE!$W23=0,"Unpaid","Partly Paid"))</f>
        <v>Unpaid</v>
      </c>
    </row>
    <row r="24" customFormat="false" ht="15" hidden="false" customHeight="true" outlineLevel="0" collapsed="false">
      <c r="A24" s="103" t="n">
        <v>19</v>
      </c>
      <c r="B24" s="103" t="s">
        <v>231</v>
      </c>
      <c r="C24" s="103" t="s">
        <v>232</v>
      </c>
      <c r="D24" s="104" t="s">
        <v>171</v>
      </c>
      <c r="E24" s="103" t="s">
        <v>233</v>
      </c>
      <c r="F24" s="103" t="n">
        <v>774383463</v>
      </c>
      <c r="G24" s="103" t="s">
        <v>224</v>
      </c>
      <c r="H24" s="103" t="s">
        <v>174</v>
      </c>
      <c r="I24" s="103"/>
      <c r="J24" s="103" t="s">
        <v>175</v>
      </c>
      <c r="K24" s="103" t="n">
        <v>0</v>
      </c>
      <c r="L24" s="103" t="n">
        <v>0</v>
      </c>
      <c r="M24" s="0" t="n">
        <v>20</v>
      </c>
      <c r="N24" s="103" t="n">
        <v>40</v>
      </c>
      <c r="O24" s="103" t="n">
        <v>2555.28</v>
      </c>
      <c r="P24" s="103" t="n">
        <v>0</v>
      </c>
      <c r="Q24" s="103" t="n">
        <v>0</v>
      </c>
      <c r="R24" s="103" t="n">
        <v>2555.28</v>
      </c>
      <c r="S24" s="103" t="s">
        <v>176</v>
      </c>
      <c r="T24" s="103" t="n">
        <v>40</v>
      </c>
      <c r="U24" s="103" t="s">
        <v>177</v>
      </c>
      <c r="V24" s="103" t="n">
        <v>500</v>
      </c>
      <c r="W24" s="103" t="n">
        <f aca="false">DATA_PIPELINE!$K24</f>
        <v>0</v>
      </c>
      <c r="X24" s="103" t="n">
        <f aca="false">DATA_PIPELINE!$V24-DATA_PIPELINE!$W24</f>
        <v>500</v>
      </c>
      <c r="Y24" s="103" t="str">
        <f aca="false">IF(DATA_PIPELINE!$X24=0,"Paid",IF(DATA_PIPELINE!$W24=0,"Unpaid","Partly Paid"))</f>
        <v>Unpaid</v>
      </c>
    </row>
    <row r="25" customFormat="false" ht="15" hidden="false" customHeight="true" outlineLevel="0" collapsed="false">
      <c r="A25" s="103" t="n">
        <v>20</v>
      </c>
      <c r="B25" s="103" t="s">
        <v>234</v>
      </c>
      <c r="C25" s="103" t="s">
        <v>170</v>
      </c>
      <c r="D25" s="104" t="s">
        <v>171</v>
      </c>
      <c r="E25" s="103" t="s">
        <v>235</v>
      </c>
      <c r="F25" s="103" t="n">
        <v>760572096</v>
      </c>
      <c r="G25" s="103" t="s">
        <v>173</v>
      </c>
      <c r="H25" s="103" t="s">
        <v>174</v>
      </c>
      <c r="I25" s="103"/>
      <c r="J25" s="103" t="s">
        <v>175</v>
      </c>
      <c r="K25" s="103" t="n">
        <v>0</v>
      </c>
      <c r="L25" s="103" t="n">
        <v>0</v>
      </c>
      <c r="M25" s="0" t="n">
        <v>20</v>
      </c>
      <c r="N25" s="103" t="n">
        <v>20</v>
      </c>
      <c r="O25" s="103" t="n">
        <v>2389.4</v>
      </c>
      <c r="P25" s="103" t="n">
        <v>0</v>
      </c>
      <c r="Q25" s="103" t="n">
        <v>0</v>
      </c>
      <c r="R25" s="103" t="n">
        <v>2389.4</v>
      </c>
      <c r="S25" s="103" t="s">
        <v>176</v>
      </c>
      <c r="T25" s="103" t="n">
        <v>20</v>
      </c>
      <c r="U25" s="103" t="s">
        <v>177</v>
      </c>
      <c r="V25" s="103" t="n">
        <v>500</v>
      </c>
      <c r="W25" s="103" t="n">
        <f aca="false">DATA_PIPELINE!$K25</f>
        <v>0</v>
      </c>
      <c r="X25" s="103" t="n">
        <f aca="false">DATA_PIPELINE!$V25-DATA_PIPELINE!$W25</f>
        <v>500</v>
      </c>
      <c r="Y25" s="103" t="str">
        <f aca="false">IF(DATA_PIPELINE!$X25=0,"Paid",IF(DATA_PIPELINE!$W25=0,"Unpaid","Partly Paid"))</f>
        <v>Unpaid</v>
      </c>
    </row>
    <row r="26" customFormat="false" ht="15" hidden="false" customHeight="true" outlineLevel="0" collapsed="false">
      <c r="A26" s="103" t="n">
        <v>21</v>
      </c>
      <c r="B26" s="103" t="s">
        <v>236</v>
      </c>
      <c r="C26" s="103" t="s">
        <v>170</v>
      </c>
      <c r="D26" s="104" t="s">
        <v>171</v>
      </c>
      <c r="E26" s="103" t="s">
        <v>237</v>
      </c>
      <c r="F26" s="103"/>
      <c r="G26" s="103" t="s">
        <v>173</v>
      </c>
      <c r="H26" s="103" t="s">
        <v>174</v>
      </c>
      <c r="I26" s="103"/>
      <c r="J26" s="103" t="s">
        <v>175</v>
      </c>
      <c r="K26" s="103" t="n">
        <v>0</v>
      </c>
      <c r="L26" s="103" t="n">
        <v>0</v>
      </c>
      <c r="M26" s="0" t="n">
        <v>25</v>
      </c>
      <c r="N26" s="103" t="n">
        <v>30</v>
      </c>
      <c r="O26" s="103" t="n">
        <v>5447.2</v>
      </c>
      <c r="P26" s="103" t="n">
        <v>0</v>
      </c>
      <c r="Q26" s="103" t="n">
        <v>0</v>
      </c>
      <c r="R26" s="103" t="n">
        <v>5447.2</v>
      </c>
      <c r="S26" s="103" t="s">
        <v>176</v>
      </c>
      <c r="T26" s="103" t="n">
        <v>30</v>
      </c>
      <c r="U26" s="103" t="s">
        <v>177</v>
      </c>
      <c r="V26" s="103" t="n">
        <v>500</v>
      </c>
      <c r="W26" s="103" t="n">
        <f aca="false">DATA_PIPELINE!$K26</f>
        <v>0</v>
      </c>
      <c r="X26" s="103" t="n">
        <f aca="false">DATA_PIPELINE!$V26-DATA_PIPELINE!$W26</f>
        <v>500</v>
      </c>
      <c r="Y26" s="103" t="str">
        <f aca="false">IF(DATA_PIPELINE!$X26=0,"Paid",IF(DATA_PIPELINE!$W26=0,"Unpaid","Partly Paid"))</f>
        <v>Unpaid</v>
      </c>
    </row>
    <row r="27" customFormat="false" ht="15" hidden="false" customHeight="true" outlineLevel="0" collapsed="false">
      <c r="A27" s="103" t="n">
        <v>22</v>
      </c>
      <c r="B27" s="103" t="s">
        <v>238</v>
      </c>
      <c r="C27" s="103" t="s">
        <v>239</v>
      </c>
      <c r="D27" s="104" t="s">
        <v>171</v>
      </c>
      <c r="E27" s="103" t="s">
        <v>240</v>
      </c>
      <c r="F27" s="103" t="n">
        <v>777241382</v>
      </c>
      <c r="G27" s="103" t="s">
        <v>173</v>
      </c>
      <c r="H27" s="103" t="s">
        <v>174</v>
      </c>
      <c r="I27" s="103"/>
      <c r="J27" s="103" t="s">
        <v>175</v>
      </c>
      <c r="K27" s="103" t="n">
        <v>0</v>
      </c>
      <c r="L27" s="103" t="n">
        <v>0</v>
      </c>
      <c r="M27" s="0" t="n">
        <v>6</v>
      </c>
      <c r="N27" s="103" t="n">
        <v>20</v>
      </c>
      <c r="O27" s="103" t="n">
        <v>891.92</v>
      </c>
      <c r="P27" s="103" t="n">
        <v>0</v>
      </c>
      <c r="Q27" s="103" t="n">
        <v>0</v>
      </c>
      <c r="R27" s="103" t="n">
        <v>891.92</v>
      </c>
      <c r="S27" s="103" t="s">
        <v>176</v>
      </c>
      <c r="T27" s="103" t="n">
        <v>20</v>
      </c>
      <c r="U27" s="103" t="s">
        <v>177</v>
      </c>
      <c r="V27" s="103" t="n">
        <v>500</v>
      </c>
      <c r="W27" s="103" t="n">
        <f aca="false">DATA_PIPELINE!$K27</f>
        <v>0</v>
      </c>
      <c r="X27" s="103" t="n">
        <f aca="false">DATA_PIPELINE!$V27-DATA_PIPELINE!$W27</f>
        <v>500</v>
      </c>
      <c r="Y27" s="103" t="str">
        <f aca="false">IF(DATA_PIPELINE!$X27=0,"Paid",IF(DATA_PIPELINE!$W27=0,"Unpaid","Partly Paid"))</f>
        <v>Unpaid</v>
      </c>
    </row>
    <row r="28" customFormat="false" ht="15" hidden="false" customHeight="true" outlineLevel="0" collapsed="false">
      <c r="A28" s="103" t="n">
        <v>23</v>
      </c>
      <c r="B28" s="103" t="s">
        <v>241</v>
      </c>
      <c r="C28" s="103" t="s">
        <v>242</v>
      </c>
      <c r="D28" s="104" t="s">
        <v>171</v>
      </c>
      <c r="E28" s="103" t="s">
        <v>243</v>
      </c>
      <c r="F28" s="103" t="n">
        <v>779729830</v>
      </c>
      <c r="G28" s="103" t="s">
        <v>244</v>
      </c>
      <c r="H28" s="103" t="s">
        <v>174</v>
      </c>
      <c r="I28" s="103"/>
      <c r="J28" s="103" t="s">
        <v>175</v>
      </c>
      <c r="K28" s="103" t="n">
        <v>0</v>
      </c>
      <c r="L28" s="103" t="n">
        <v>0</v>
      </c>
      <c r="M28" s="0" t="n">
        <v>80</v>
      </c>
      <c r="N28" s="103" t="n">
        <v>100</v>
      </c>
      <c r="O28" s="103" t="n">
        <v>11668.01</v>
      </c>
      <c r="P28" s="103" t="n">
        <v>0</v>
      </c>
      <c r="Q28" s="103" t="n">
        <v>0</v>
      </c>
      <c r="R28" s="103" t="n">
        <v>11668.01</v>
      </c>
      <c r="S28" s="103" t="s">
        <v>176</v>
      </c>
      <c r="T28" s="103" t="n">
        <v>100</v>
      </c>
      <c r="U28" s="103" t="s">
        <v>177</v>
      </c>
      <c r="V28" s="103" t="n">
        <v>500</v>
      </c>
      <c r="W28" s="103" t="n">
        <f aca="false">DATA_PIPELINE!$K28</f>
        <v>0</v>
      </c>
      <c r="X28" s="103" t="n">
        <f aca="false">DATA_PIPELINE!$V28-DATA_PIPELINE!$W28</f>
        <v>500</v>
      </c>
      <c r="Y28" s="103" t="str">
        <f aca="false">IF(DATA_PIPELINE!$X28=0,"Paid",IF(DATA_PIPELINE!$W28=0,"Unpaid","Partly Paid"))</f>
        <v>Unpaid</v>
      </c>
    </row>
    <row r="29" s="106" customFormat="true" ht="15" hidden="false" customHeight="true" outlineLevel="0" collapsed="false">
      <c r="A29" s="103" t="n">
        <v>24</v>
      </c>
      <c r="B29" s="105" t="s">
        <v>245</v>
      </c>
      <c r="C29" s="105" t="s">
        <v>245</v>
      </c>
      <c r="D29" s="104" t="s">
        <v>171</v>
      </c>
      <c r="E29" s="105" t="s">
        <v>246</v>
      </c>
      <c r="F29" s="105" t="n">
        <v>772354114</v>
      </c>
      <c r="G29" s="105" t="s">
        <v>244</v>
      </c>
      <c r="H29" s="105" t="s">
        <v>174</v>
      </c>
      <c r="I29" s="105"/>
      <c r="J29" s="105" t="s">
        <v>175</v>
      </c>
      <c r="K29" s="105" t="n">
        <v>0</v>
      </c>
      <c r="L29" s="105" t="n">
        <v>0</v>
      </c>
      <c r="M29" s="106" t="n">
        <v>145</v>
      </c>
      <c r="N29" s="105" t="n">
        <v>200</v>
      </c>
      <c r="O29" s="105" t="n">
        <v>17554.89</v>
      </c>
      <c r="P29" s="105" t="n">
        <v>0</v>
      </c>
      <c r="Q29" s="105" t="n">
        <v>0</v>
      </c>
      <c r="R29" s="105" t="n">
        <v>17554.89</v>
      </c>
      <c r="S29" s="105" t="s">
        <v>176</v>
      </c>
      <c r="T29" s="105" t="n">
        <v>200</v>
      </c>
      <c r="U29" s="105" t="s">
        <v>247</v>
      </c>
      <c r="V29" s="105" t="n">
        <v>1000</v>
      </c>
      <c r="W29" s="103" t="n">
        <f aca="false">DATA_PIPELINE!$K29</f>
        <v>0</v>
      </c>
      <c r="X29" s="105" t="n">
        <f aca="false">DATA_PIPELINE!$V29-DATA_PIPELINE!$W29</f>
        <v>1000</v>
      </c>
      <c r="Y29" s="105" t="str">
        <f aca="false">IF(DATA_PIPELINE!$X29=0,"Paid",IF(DATA_PIPELINE!$W29=0,"Unpaid","Partly Paid"))</f>
        <v>Unpaid</v>
      </c>
    </row>
    <row r="30" customFormat="false" ht="15" hidden="false" customHeight="true" outlineLevel="0" collapsed="false">
      <c r="A30" s="103" t="n">
        <v>25</v>
      </c>
      <c r="B30" s="103" t="s">
        <v>248</v>
      </c>
      <c r="C30" s="103" t="s">
        <v>249</v>
      </c>
      <c r="D30" s="104" t="s">
        <v>171</v>
      </c>
      <c r="E30" s="103" t="s">
        <v>250</v>
      </c>
      <c r="F30" s="103" t="n">
        <v>772251262</v>
      </c>
      <c r="G30" s="103" t="s">
        <v>173</v>
      </c>
      <c r="H30" s="103" t="s">
        <v>174</v>
      </c>
      <c r="I30" s="103"/>
      <c r="J30" s="103" t="s">
        <v>175</v>
      </c>
      <c r="K30" s="103" t="n">
        <v>0</v>
      </c>
      <c r="L30" s="103" t="n">
        <v>0</v>
      </c>
      <c r="M30" s="103" t="n">
        <v>50</v>
      </c>
      <c r="N30" s="103" t="n">
        <v>50</v>
      </c>
      <c r="O30" s="103" t="n">
        <v>8329.52</v>
      </c>
      <c r="P30" s="103" t="n">
        <v>0</v>
      </c>
      <c r="Q30" s="103" t="n">
        <v>0</v>
      </c>
      <c r="R30" s="103" t="n">
        <v>8329.52</v>
      </c>
      <c r="S30" s="103" t="s">
        <v>176</v>
      </c>
      <c r="T30" s="103" t="n">
        <v>50</v>
      </c>
      <c r="U30" s="103" t="s">
        <v>177</v>
      </c>
      <c r="V30" s="103" t="n">
        <v>500</v>
      </c>
      <c r="W30" s="103" t="n">
        <f aca="false">DATA_PIPELINE!$K30</f>
        <v>0</v>
      </c>
      <c r="X30" s="103" t="n">
        <f aca="false">DATA_PIPELINE!$V30-DATA_PIPELINE!$W30</f>
        <v>500</v>
      </c>
      <c r="Y30" s="103" t="str">
        <f aca="false">IF(DATA_PIPELINE!$X30=0,"Paid",IF(DATA_PIPELINE!$W30=0,"Unpaid","Partly Paid"))</f>
        <v>Unpaid</v>
      </c>
    </row>
    <row r="31" customFormat="false" ht="15" hidden="false" customHeight="true" outlineLevel="0" collapsed="false">
      <c r="A31" s="103" t="n">
        <v>26</v>
      </c>
      <c r="B31" s="103" t="s">
        <v>251</v>
      </c>
      <c r="C31" s="103" t="s">
        <v>252</v>
      </c>
      <c r="D31" s="103" t="s">
        <v>253</v>
      </c>
      <c r="E31" s="103" t="s">
        <v>254</v>
      </c>
      <c r="F31" s="103" t="n">
        <v>773868322</v>
      </c>
      <c r="G31" s="103" t="s">
        <v>173</v>
      </c>
      <c r="H31" s="103" t="s">
        <v>174</v>
      </c>
      <c r="I31" s="103" t="n">
        <v>14</v>
      </c>
      <c r="J31" s="103" t="s">
        <v>175</v>
      </c>
      <c r="K31" s="103" t="n">
        <v>50</v>
      </c>
      <c r="L31" s="103" t="n">
        <v>0</v>
      </c>
      <c r="M31" s="103" t="n">
        <v>0</v>
      </c>
      <c r="N31" s="103" t="n">
        <v>80</v>
      </c>
      <c r="O31" s="103" t="n">
        <v>18089.72</v>
      </c>
      <c r="P31" s="103" t="n">
        <v>3.04</v>
      </c>
      <c r="Q31" s="103" t="n">
        <v>1108.84</v>
      </c>
      <c r="R31" s="103" t="n">
        <v>16980.88</v>
      </c>
      <c r="S31" s="103" t="n">
        <v>6.13</v>
      </c>
      <c r="T31" s="103" t="n">
        <v>80</v>
      </c>
      <c r="U31" s="103" t="s">
        <v>177</v>
      </c>
      <c r="V31" s="103" t="n">
        <v>500</v>
      </c>
      <c r="W31" s="103" t="n">
        <f aca="false">DATA_PIPELINE!$K31</f>
        <v>50</v>
      </c>
      <c r="X31" s="103" t="n">
        <f aca="false">DATA_PIPELINE!$V31-DATA_PIPELINE!$W31</f>
        <v>450</v>
      </c>
      <c r="Y31" s="103" t="str">
        <f aca="false">IF(DATA_PIPELINE!$X31=0,"Paid",IF(DATA_PIPELINE!$W31=0,"Unpaid","Partly Paid"))</f>
        <v>Partly Paid</v>
      </c>
    </row>
    <row r="32" customFormat="false" ht="15" hidden="false" customHeight="true" outlineLevel="0" collapsed="false">
      <c r="A32" s="103" t="n">
        <v>27</v>
      </c>
      <c r="B32" s="103" t="s">
        <v>255</v>
      </c>
      <c r="C32" s="103" t="s">
        <v>256</v>
      </c>
      <c r="D32" s="103" t="s">
        <v>253</v>
      </c>
      <c r="E32" s="103" t="s">
        <v>257</v>
      </c>
      <c r="F32" s="103" t="n">
        <v>774518500</v>
      </c>
      <c r="G32" s="103" t="s">
        <v>173</v>
      </c>
      <c r="H32" s="103" t="s">
        <v>174</v>
      </c>
      <c r="I32" s="103"/>
      <c r="J32" s="103" t="s">
        <v>175</v>
      </c>
      <c r="K32" s="103" t="n">
        <v>0</v>
      </c>
      <c r="L32" s="103" t="n">
        <v>0</v>
      </c>
      <c r="M32" s="103" t="n">
        <v>0</v>
      </c>
      <c r="N32" s="103" t="n">
        <v>40</v>
      </c>
      <c r="O32" s="103" t="n">
        <v>9236.5</v>
      </c>
      <c r="P32" s="103" t="n">
        <v>0</v>
      </c>
      <c r="Q32" s="103" t="n">
        <v>0</v>
      </c>
      <c r="R32" s="103" t="n">
        <v>9236.5</v>
      </c>
      <c r="S32" s="103" t="s">
        <v>176</v>
      </c>
      <c r="T32" s="103" t="n">
        <v>40</v>
      </c>
      <c r="U32" s="103" t="s">
        <v>177</v>
      </c>
      <c r="V32" s="103" t="n">
        <v>500</v>
      </c>
      <c r="W32" s="103" t="n">
        <f aca="false">DATA_PIPELINE!$K32</f>
        <v>0</v>
      </c>
      <c r="X32" s="103" t="n">
        <f aca="false">DATA_PIPELINE!$V32-DATA_PIPELINE!$W32</f>
        <v>500</v>
      </c>
      <c r="Y32" s="103" t="str">
        <f aca="false">IF(DATA_PIPELINE!$X32=0,"Paid",IF(DATA_PIPELINE!$W32=0,"Unpaid","Partly Paid"))</f>
        <v>Unpaid</v>
      </c>
    </row>
    <row r="33" customFormat="false" ht="15" hidden="false" customHeight="true" outlineLevel="0" collapsed="false">
      <c r="A33" s="103" t="n">
        <v>28</v>
      </c>
      <c r="B33" s="103" t="s">
        <v>258</v>
      </c>
      <c r="C33" s="103" t="s">
        <v>170</v>
      </c>
      <c r="D33" s="103" t="s">
        <v>253</v>
      </c>
      <c r="E33" s="103" t="s">
        <v>259</v>
      </c>
      <c r="F33" s="103"/>
      <c r="G33" s="103" t="s">
        <v>173</v>
      </c>
      <c r="H33" s="103" t="s">
        <v>174</v>
      </c>
      <c r="I33" s="103"/>
      <c r="J33" s="103" t="s">
        <v>175</v>
      </c>
      <c r="K33" s="103" t="n">
        <v>0</v>
      </c>
      <c r="L33" s="103" t="n">
        <v>0</v>
      </c>
      <c r="M33" s="103" t="n">
        <v>0</v>
      </c>
      <c r="N33" s="103" t="n">
        <v>40</v>
      </c>
      <c r="O33" s="103" t="n">
        <v>546</v>
      </c>
      <c r="P33" s="103" t="n">
        <v>0</v>
      </c>
      <c r="Q33" s="103" t="n">
        <v>0</v>
      </c>
      <c r="R33" s="103" t="n">
        <v>546</v>
      </c>
      <c r="S33" s="103" t="s">
        <v>176</v>
      </c>
      <c r="T33" s="103" t="n">
        <v>40</v>
      </c>
      <c r="U33" s="103" t="s">
        <v>177</v>
      </c>
      <c r="V33" s="103" t="n">
        <v>500</v>
      </c>
      <c r="W33" s="103" t="n">
        <f aca="false">DATA_PIPELINE!$K33</f>
        <v>0</v>
      </c>
      <c r="X33" s="103" t="n">
        <f aca="false">DATA_PIPELINE!$V33-DATA_PIPELINE!$W33</f>
        <v>500</v>
      </c>
      <c r="Y33" s="103" t="str">
        <f aca="false">IF(DATA_PIPELINE!$X33=0,"Paid",IF(DATA_PIPELINE!$W33=0,"Unpaid","Partly Paid"))</f>
        <v>Unpaid</v>
      </c>
    </row>
    <row r="34" customFormat="false" ht="15" hidden="false" customHeight="true" outlineLevel="0" collapsed="false">
      <c r="A34" s="103" t="n">
        <v>29</v>
      </c>
      <c r="B34" s="103" t="s">
        <v>260</v>
      </c>
      <c r="C34" s="103" t="s">
        <v>170</v>
      </c>
      <c r="D34" s="103" t="s">
        <v>253</v>
      </c>
      <c r="E34" s="103" t="s">
        <v>261</v>
      </c>
      <c r="F34" s="103"/>
      <c r="G34" s="103" t="s">
        <v>173</v>
      </c>
      <c r="H34" s="103" t="s">
        <v>174</v>
      </c>
      <c r="I34" s="103"/>
      <c r="J34" s="103" t="s">
        <v>175</v>
      </c>
      <c r="K34" s="103" t="n">
        <v>0</v>
      </c>
      <c r="L34" s="103" t="n">
        <v>0</v>
      </c>
      <c r="M34" s="103" t="n">
        <v>0</v>
      </c>
      <c r="N34" s="103" t="n">
        <v>60</v>
      </c>
      <c r="O34" s="103" t="n">
        <v>11580.73</v>
      </c>
      <c r="P34" s="103" t="n">
        <v>0</v>
      </c>
      <c r="Q34" s="103" t="n">
        <v>0</v>
      </c>
      <c r="R34" s="103" t="n">
        <v>11580.73</v>
      </c>
      <c r="S34" s="103" t="s">
        <v>176</v>
      </c>
      <c r="T34" s="103" t="n">
        <v>60</v>
      </c>
      <c r="U34" s="103" t="s">
        <v>177</v>
      </c>
      <c r="V34" s="103" t="n">
        <v>500</v>
      </c>
      <c r="W34" s="103" t="n">
        <f aca="false">DATA_PIPELINE!$K34</f>
        <v>0</v>
      </c>
      <c r="X34" s="103" t="n">
        <f aca="false">DATA_PIPELINE!$V34-DATA_PIPELINE!$W34</f>
        <v>500</v>
      </c>
      <c r="Y34" s="103" t="str">
        <f aca="false">IF(DATA_PIPELINE!$X34=0,"Paid",IF(DATA_PIPELINE!$W34=0,"Unpaid","Partly Paid"))</f>
        <v>Unpaid</v>
      </c>
    </row>
    <row r="35" customFormat="false" ht="15" hidden="false" customHeight="true" outlineLevel="0" collapsed="false">
      <c r="A35" s="103" t="n">
        <v>30</v>
      </c>
      <c r="B35" s="103" t="s">
        <v>258</v>
      </c>
      <c r="C35" s="103" t="s">
        <v>262</v>
      </c>
      <c r="D35" s="103" t="s">
        <v>253</v>
      </c>
      <c r="E35" s="103" t="s">
        <v>263</v>
      </c>
      <c r="F35" s="103" t="n">
        <v>772572470</v>
      </c>
      <c r="G35" s="103" t="s">
        <v>173</v>
      </c>
      <c r="H35" s="103" t="s">
        <v>174</v>
      </c>
      <c r="I35" s="103"/>
      <c r="J35" s="103" t="s">
        <v>175</v>
      </c>
      <c r="K35" s="103" t="n">
        <v>0</v>
      </c>
      <c r="L35" s="103" t="n">
        <v>0</v>
      </c>
      <c r="M35" s="103" t="n">
        <v>0</v>
      </c>
      <c r="N35" s="103" t="n">
        <v>0</v>
      </c>
      <c r="O35" s="103" t="n">
        <v>844.01</v>
      </c>
      <c r="P35" s="103" t="n">
        <v>0</v>
      </c>
      <c r="Q35" s="103" t="n">
        <v>0</v>
      </c>
      <c r="R35" s="103" t="n">
        <v>844.01</v>
      </c>
      <c r="S35" s="103" t="s">
        <v>176</v>
      </c>
      <c r="T35" s="103" t="n">
        <v>0</v>
      </c>
      <c r="U35" s="103" t="s">
        <v>177</v>
      </c>
      <c r="V35" s="103" t="n">
        <v>500</v>
      </c>
      <c r="W35" s="103" t="n">
        <f aca="false">DATA_PIPELINE!$K35</f>
        <v>0</v>
      </c>
      <c r="X35" s="103" t="n">
        <f aca="false">DATA_PIPELINE!$V35-DATA_PIPELINE!$W35</f>
        <v>500</v>
      </c>
      <c r="Y35" s="103" t="str">
        <f aca="false">IF(DATA_PIPELINE!$X35=0,"Paid",IF(DATA_PIPELINE!$W35=0,"Unpaid","Partly Paid"))</f>
        <v>Unpaid</v>
      </c>
    </row>
    <row r="36" customFormat="false" ht="15" hidden="false" customHeight="true" outlineLevel="0" collapsed="false">
      <c r="A36" s="103" t="n">
        <v>31</v>
      </c>
      <c r="B36" s="103" t="s">
        <v>264</v>
      </c>
      <c r="C36" s="103" t="s">
        <v>265</v>
      </c>
      <c r="D36" s="103" t="s">
        <v>253</v>
      </c>
      <c r="E36" s="103" t="s">
        <v>266</v>
      </c>
      <c r="F36" s="103" t="n">
        <v>715111991</v>
      </c>
      <c r="G36" s="103" t="s">
        <v>173</v>
      </c>
      <c r="H36" s="103" t="s">
        <v>174</v>
      </c>
      <c r="I36" s="103"/>
      <c r="J36" s="103" t="s">
        <v>175</v>
      </c>
      <c r="K36" s="103" t="n">
        <v>0</v>
      </c>
      <c r="L36" s="103" t="n">
        <v>0</v>
      </c>
      <c r="M36" s="103" t="n">
        <v>0</v>
      </c>
      <c r="N36" s="103" t="n">
        <v>40</v>
      </c>
      <c r="O36" s="103" t="n">
        <v>11005.69</v>
      </c>
      <c r="P36" s="103" t="n">
        <v>0</v>
      </c>
      <c r="Q36" s="103" t="n">
        <v>0</v>
      </c>
      <c r="R36" s="103" t="n">
        <v>11005.69</v>
      </c>
      <c r="S36" s="103" t="s">
        <v>176</v>
      </c>
      <c r="T36" s="103" t="n">
        <v>40</v>
      </c>
      <c r="U36" s="103" t="s">
        <v>177</v>
      </c>
      <c r="V36" s="103" t="n">
        <v>500</v>
      </c>
      <c r="W36" s="103" t="n">
        <f aca="false">DATA_PIPELINE!$K36</f>
        <v>0</v>
      </c>
      <c r="X36" s="103" t="n">
        <f aca="false">DATA_PIPELINE!$V36-DATA_PIPELINE!$W36</f>
        <v>500</v>
      </c>
      <c r="Y36" s="103" t="str">
        <f aca="false">IF(DATA_PIPELINE!$X36=0,"Paid",IF(DATA_PIPELINE!$W36=0,"Unpaid","Partly Paid"))</f>
        <v>Unpaid</v>
      </c>
    </row>
    <row r="37" customFormat="false" ht="15" hidden="false" customHeight="true" outlineLevel="0" collapsed="false">
      <c r="A37" s="103" t="n">
        <v>32</v>
      </c>
      <c r="B37" s="103" t="s">
        <v>267</v>
      </c>
      <c r="C37" s="103" t="s">
        <v>268</v>
      </c>
      <c r="D37" s="103" t="s">
        <v>253</v>
      </c>
      <c r="E37" s="103" t="s">
        <v>269</v>
      </c>
      <c r="F37" s="103" t="n">
        <v>718840612</v>
      </c>
      <c r="G37" s="103" t="s">
        <v>173</v>
      </c>
      <c r="H37" s="103" t="s">
        <v>174</v>
      </c>
      <c r="I37" s="103" t="n">
        <v>26</v>
      </c>
      <c r="J37" s="103" t="s">
        <v>175</v>
      </c>
      <c r="K37" s="103" t="n">
        <v>0</v>
      </c>
      <c r="L37" s="103" t="n">
        <v>0</v>
      </c>
      <c r="M37" s="103" t="n">
        <v>0</v>
      </c>
      <c r="N37" s="103" t="n">
        <v>180</v>
      </c>
      <c r="O37" s="103" t="n">
        <v>27779.25</v>
      </c>
      <c r="P37" s="103" t="n">
        <v>0</v>
      </c>
      <c r="Q37" s="103" t="n">
        <v>0</v>
      </c>
      <c r="R37" s="103" t="n">
        <v>27779.25</v>
      </c>
      <c r="S37" s="103" t="s">
        <v>176</v>
      </c>
      <c r="T37" s="103" t="n">
        <v>180</v>
      </c>
      <c r="U37" s="103" t="s">
        <v>177</v>
      </c>
      <c r="V37" s="103" t="n">
        <v>500</v>
      </c>
      <c r="W37" s="103" t="n">
        <f aca="false">DATA_PIPELINE!$K37</f>
        <v>0</v>
      </c>
      <c r="X37" s="103" t="n">
        <f aca="false">DATA_PIPELINE!$V37-DATA_PIPELINE!$W37</f>
        <v>500</v>
      </c>
      <c r="Y37" s="103" t="str">
        <f aca="false">IF(DATA_PIPELINE!$X37=0,"Paid",IF(DATA_PIPELINE!$W37=0,"Unpaid","Partly Paid"))</f>
        <v>Unpaid</v>
      </c>
    </row>
    <row r="38" customFormat="false" ht="15" hidden="false" customHeight="true" outlineLevel="0" collapsed="false">
      <c r="A38" s="103" t="n">
        <v>33</v>
      </c>
      <c r="B38" s="103" t="s">
        <v>270</v>
      </c>
      <c r="C38" s="103" t="s">
        <v>271</v>
      </c>
      <c r="D38" s="103" t="s">
        <v>253</v>
      </c>
      <c r="E38" s="103" t="s">
        <v>272</v>
      </c>
      <c r="F38" s="103" t="n">
        <v>773447211</v>
      </c>
      <c r="G38" s="103" t="s">
        <v>173</v>
      </c>
      <c r="H38" s="103" t="s">
        <v>174</v>
      </c>
      <c r="I38" s="103" t="n">
        <v>15</v>
      </c>
      <c r="J38" s="103" t="s">
        <v>175</v>
      </c>
      <c r="K38" s="103" t="n">
        <v>0</v>
      </c>
      <c r="L38" s="103" t="n">
        <v>0</v>
      </c>
      <c r="M38" s="103" t="n">
        <v>0</v>
      </c>
      <c r="N38" s="103" t="n">
        <v>25</v>
      </c>
      <c r="O38" s="103" t="n">
        <v>4565.02</v>
      </c>
      <c r="P38" s="103" t="n">
        <v>0</v>
      </c>
      <c r="Q38" s="103" t="n">
        <v>0</v>
      </c>
      <c r="R38" s="103" t="n">
        <v>4565.02</v>
      </c>
      <c r="S38" s="103" t="s">
        <v>176</v>
      </c>
      <c r="T38" s="103" t="n">
        <v>25</v>
      </c>
      <c r="U38" s="103" t="s">
        <v>177</v>
      </c>
      <c r="V38" s="103" t="n">
        <v>500</v>
      </c>
      <c r="W38" s="103" t="n">
        <f aca="false">DATA_PIPELINE!$K38</f>
        <v>0</v>
      </c>
      <c r="X38" s="103" t="n">
        <f aca="false">DATA_PIPELINE!$V38-DATA_PIPELINE!$W38</f>
        <v>500</v>
      </c>
      <c r="Y38" s="103" t="str">
        <f aca="false">IF(DATA_PIPELINE!$X38=0,"Paid",IF(DATA_PIPELINE!$W38=0,"Unpaid","Partly Paid"))</f>
        <v>Unpaid</v>
      </c>
    </row>
    <row r="39" customFormat="false" ht="15" hidden="false" customHeight="true" outlineLevel="0" collapsed="false">
      <c r="A39" s="103" t="n">
        <v>34</v>
      </c>
      <c r="B39" s="103" t="s">
        <v>273</v>
      </c>
      <c r="C39" s="103" t="s">
        <v>274</v>
      </c>
      <c r="D39" s="103" t="s">
        <v>253</v>
      </c>
      <c r="E39" s="103" t="s">
        <v>275</v>
      </c>
      <c r="F39" s="103" t="n">
        <v>772816696</v>
      </c>
      <c r="G39" s="103" t="s">
        <v>173</v>
      </c>
      <c r="H39" s="103" t="s">
        <v>174</v>
      </c>
      <c r="I39" s="103" t="n">
        <v>28</v>
      </c>
      <c r="J39" s="103" t="s">
        <v>175</v>
      </c>
      <c r="K39" s="103" t="n">
        <v>0</v>
      </c>
      <c r="L39" s="103" t="n">
        <v>0</v>
      </c>
      <c r="M39" s="103" t="n">
        <v>10</v>
      </c>
      <c r="N39" s="103" t="n">
        <v>50</v>
      </c>
      <c r="O39" s="103" t="n">
        <v>8300.95</v>
      </c>
      <c r="P39" s="103" t="n">
        <v>4.05</v>
      </c>
      <c r="Q39" s="103" t="n">
        <v>1477.24</v>
      </c>
      <c r="R39" s="103" t="n">
        <v>6823.71</v>
      </c>
      <c r="S39" s="103" t="n">
        <v>17.8</v>
      </c>
      <c r="T39" s="103" t="n">
        <v>60</v>
      </c>
      <c r="U39" s="103" t="s">
        <v>177</v>
      </c>
      <c r="V39" s="103" t="n">
        <v>500</v>
      </c>
      <c r="W39" s="103" t="n">
        <f aca="false">DATA_PIPELINE!$K39</f>
        <v>0</v>
      </c>
      <c r="X39" s="103" t="n">
        <f aca="false">DATA_PIPELINE!$V39-DATA_PIPELINE!$W39</f>
        <v>500</v>
      </c>
      <c r="Y39" s="103" t="str">
        <f aca="false">IF(DATA_PIPELINE!$X39=0,"Paid",IF(DATA_PIPELINE!$W39=0,"Unpaid","Partly Paid"))</f>
        <v>Unpaid</v>
      </c>
    </row>
    <row r="40" customFormat="false" ht="15" hidden="false" customHeight="true" outlineLevel="0" collapsed="false">
      <c r="A40" s="103" t="n">
        <v>35</v>
      </c>
      <c r="B40" s="103" t="s">
        <v>276</v>
      </c>
      <c r="C40" s="103" t="s">
        <v>271</v>
      </c>
      <c r="D40" s="103" t="s">
        <v>253</v>
      </c>
      <c r="E40" s="103" t="s">
        <v>277</v>
      </c>
      <c r="F40" s="103" t="n">
        <v>773084706</v>
      </c>
      <c r="G40" s="103" t="s">
        <v>173</v>
      </c>
      <c r="H40" s="103" t="s">
        <v>174</v>
      </c>
      <c r="I40" s="103" t="n">
        <v>15</v>
      </c>
      <c r="J40" s="103" t="s">
        <v>175</v>
      </c>
      <c r="K40" s="103" t="n">
        <v>0</v>
      </c>
      <c r="L40" s="103" t="n">
        <v>0</v>
      </c>
      <c r="M40" s="103" t="n">
        <v>0</v>
      </c>
      <c r="N40" s="103" t="n">
        <v>40</v>
      </c>
      <c r="O40" s="103" t="n">
        <v>8629.59</v>
      </c>
      <c r="P40" s="103" t="n">
        <v>0</v>
      </c>
      <c r="Q40" s="103" t="n">
        <v>0</v>
      </c>
      <c r="R40" s="103" t="n">
        <v>8629.59</v>
      </c>
      <c r="S40" s="103" t="s">
        <v>176</v>
      </c>
      <c r="T40" s="103" t="n">
        <v>40</v>
      </c>
      <c r="U40" s="103" t="s">
        <v>177</v>
      </c>
      <c r="V40" s="103" t="n">
        <v>500</v>
      </c>
      <c r="W40" s="103" t="n">
        <f aca="false">DATA_PIPELINE!$K40</f>
        <v>0</v>
      </c>
      <c r="X40" s="103" t="n">
        <f aca="false">DATA_PIPELINE!$V40-DATA_PIPELINE!$W40</f>
        <v>500</v>
      </c>
      <c r="Y40" s="103" t="str">
        <f aca="false">IF(DATA_PIPELINE!$X40=0,"Paid",IF(DATA_PIPELINE!$W40=0,"Unpaid","Partly Paid"))</f>
        <v>Unpaid</v>
      </c>
    </row>
    <row r="41" customFormat="false" ht="15" hidden="false" customHeight="true" outlineLevel="0" collapsed="false">
      <c r="A41" s="103" t="n">
        <v>36</v>
      </c>
      <c r="B41" s="103" t="s">
        <v>278</v>
      </c>
      <c r="C41" s="103" t="s">
        <v>279</v>
      </c>
      <c r="D41" s="103" t="s">
        <v>253</v>
      </c>
      <c r="E41" s="103" t="s">
        <v>280</v>
      </c>
      <c r="F41" s="103" t="n">
        <v>775986483</v>
      </c>
      <c r="G41" s="103" t="s">
        <v>173</v>
      </c>
      <c r="H41" s="103" t="s">
        <v>174</v>
      </c>
      <c r="I41" s="103"/>
      <c r="J41" s="103" t="s">
        <v>175</v>
      </c>
      <c r="K41" s="103" t="n">
        <v>0</v>
      </c>
      <c r="L41" s="103" t="n">
        <v>0</v>
      </c>
      <c r="M41" s="103" t="n">
        <v>0</v>
      </c>
      <c r="N41" s="103" t="n">
        <v>20</v>
      </c>
      <c r="O41" s="103" t="n">
        <v>2447.07</v>
      </c>
      <c r="P41" s="103" t="n">
        <v>0</v>
      </c>
      <c r="Q41" s="103" t="n">
        <v>0</v>
      </c>
      <c r="R41" s="103" t="n">
        <v>2447.07</v>
      </c>
      <c r="S41" s="103" t="s">
        <v>176</v>
      </c>
      <c r="T41" s="103" t="n">
        <v>20</v>
      </c>
      <c r="U41" s="103" t="s">
        <v>177</v>
      </c>
      <c r="V41" s="103" t="n">
        <v>500</v>
      </c>
      <c r="W41" s="103" t="n">
        <f aca="false">DATA_PIPELINE!$K41</f>
        <v>0</v>
      </c>
      <c r="X41" s="103" t="n">
        <f aca="false">DATA_PIPELINE!$V41-DATA_PIPELINE!$W41</f>
        <v>500</v>
      </c>
      <c r="Y41" s="103" t="str">
        <f aca="false">IF(DATA_PIPELINE!$X41=0,"Paid",IF(DATA_PIPELINE!$W41=0,"Unpaid","Partly Paid"))</f>
        <v>Unpaid</v>
      </c>
    </row>
    <row r="42" customFormat="false" ht="15" hidden="false" customHeight="true" outlineLevel="0" collapsed="false">
      <c r="A42" s="103" t="n">
        <v>37</v>
      </c>
      <c r="B42" s="103" t="s">
        <v>281</v>
      </c>
      <c r="C42" s="103" t="s">
        <v>282</v>
      </c>
      <c r="D42" s="107" t="s">
        <v>283</v>
      </c>
      <c r="E42" s="103" t="s">
        <v>284</v>
      </c>
      <c r="F42" s="103" t="n">
        <v>772399882</v>
      </c>
      <c r="G42" s="103" t="s">
        <v>285</v>
      </c>
      <c r="H42" s="103" t="s">
        <v>174</v>
      </c>
      <c r="I42" s="103"/>
      <c r="J42" s="103" t="s">
        <v>175</v>
      </c>
      <c r="K42" s="103" t="n">
        <v>0</v>
      </c>
      <c r="L42" s="103" t="n">
        <v>0</v>
      </c>
      <c r="M42" s="103" t="n">
        <v>0</v>
      </c>
      <c r="N42" s="103" t="n">
        <v>600</v>
      </c>
      <c r="O42" s="103" t="n">
        <v>76796.41</v>
      </c>
      <c r="P42" s="103" t="n">
        <v>0</v>
      </c>
      <c r="Q42" s="103" t="n">
        <v>0</v>
      </c>
      <c r="R42" s="103" t="n">
        <v>76796.41</v>
      </c>
      <c r="S42" s="103" t="s">
        <v>176</v>
      </c>
      <c r="T42" s="103" t="n">
        <v>600</v>
      </c>
      <c r="U42" s="103" t="s">
        <v>247</v>
      </c>
      <c r="V42" s="103" t="n">
        <v>1000</v>
      </c>
      <c r="W42" s="103" t="n">
        <f aca="false">DATA_PIPELINE!$K42</f>
        <v>0</v>
      </c>
      <c r="X42" s="103" t="n">
        <f aca="false">DATA_PIPELINE!$V42-DATA_PIPELINE!$W42</f>
        <v>1000</v>
      </c>
      <c r="Y42" s="103" t="str">
        <f aca="false">IF(DATA_PIPELINE!$X42=0,"Paid",IF(DATA_PIPELINE!$W42=0,"Unpaid","Partly Paid"))</f>
        <v>Unpaid</v>
      </c>
    </row>
    <row r="43" customFormat="false" ht="15" hidden="false" customHeight="true" outlineLevel="0" collapsed="false">
      <c r="A43" s="103" t="n">
        <v>38</v>
      </c>
      <c r="B43" s="103" t="s">
        <v>286</v>
      </c>
      <c r="C43" s="103" t="s">
        <v>287</v>
      </c>
      <c r="D43" s="107" t="s">
        <v>283</v>
      </c>
      <c r="E43" s="103" t="s">
        <v>288</v>
      </c>
      <c r="F43" s="103" t="n">
        <v>773944969</v>
      </c>
      <c r="G43" s="103" t="s">
        <v>285</v>
      </c>
      <c r="H43" s="103" t="s">
        <v>174</v>
      </c>
      <c r="I43" s="103"/>
      <c r="J43" s="103" t="s">
        <v>175</v>
      </c>
      <c r="K43" s="103" t="n">
        <v>0</v>
      </c>
      <c r="L43" s="103" t="n">
        <v>0</v>
      </c>
      <c r="M43" s="103" t="n">
        <v>0</v>
      </c>
      <c r="N43" s="103" t="n">
        <v>60</v>
      </c>
      <c r="O43" s="103" t="n">
        <v>15098.87</v>
      </c>
      <c r="P43" s="103" t="n">
        <v>0</v>
      </c>
      <c r="Q43" s="103" t="n">
        <v>0</v>
      </c>
      <c r="R43" s="103" t="n">
        <v>15098.87</v>
      </c>
      <c r="S43" s="103" t="s">
        <v>176</v>
      </c>
      <c r="T43" s="103" t="n">
        <v>60</v>
      </c>
      <c r="U43" s="103" t="s">
        <v>177</v>
      </c>
      <c r="V43" s="103" t="n">
        <v>500</v>
      </c>
      <c r="W43" s="103" t="n">
        <f aca="false">DATA_PIPELINE!$K43</f>
        <v>0</v>
      </c>
      <c r="X43" s="103" t="n">
        <f aca="false">DATA_PIPELINE!$V43-DATA_PIPELINE!$W43</f>
        <v>500</v>
      </c>
      <c r="Y43" s="103" t="str">
        <f aca="false">IF(DATA_PIPELINE!$X43=0,"Paid",IF(DATA_PIPELINE!$W43=0,"Unpaid","Partly Paid"))</f>
        <v>Unpaid</v>
      </c>
    </row>
    <row r="44" customFormat="false" ht="15" hidden="false" customHeight="true" outlineLevel="0" collapsed="false">
      <c r="A44" s="103" t="n">
        <v>39</v>
      </c>
      <c r="B44" s="103" t="s">
        <v>289</v>
      </c>
      <c r="C44" s="103" t="s">
        <v>290</v>
      </c>
      <c r="D44" s="107" t="s">
        <v>283</v>
      </c>
      <c r="E44" s="103" t="s">
        <v>291</v>
      </c>
      <c r="F44" s="103" t="n">
        <v>773965849</v>
      </c>
      <c r="G44" s="103" t="s">
        <v>285</v>
      </c>
      <c r="H44" s="103" t="s">
        <v>174</v>
      </c>
      <c r="I44" s="103"/>
      <c r="J44" s="103" t="s">
        <v>175</v>
      </c>
      <c r="K44" s="103" t="n">
        <v>0</v>
      </c>
      <c r="L44" s="103" t="n">
        <v>0</v>
      </c>
      <c r="M44" s="103" t="n">
        <v>0</v>
      </c>
      <c r="N44" s="103" t="n">
        <v>200</v>
      </c>
      <c r="O44" s="103" t="n">
        <v>31207.46</v>
      </c>
      <c r="P44" s="103" t="n">
        <v>0</v>
      </c>
      <c r="Q44" s="103" t="n">
        <v>0</v>
      </c>
      <c r="R44" s="103" t="n">
        <v>31207.46</v>
      </c>
      <c r="S44" s="103" t="s">
        <v>176</v>
      </c>
      <c r="T44" s="103" t="n">
        <v>200</v>
      </c>
      <c r="U44" s="103" t="s">
        <v>247</v>
      </c>
      <c r="V44" s="103" t="n">
        <v>1000</v>
      </c>
      <c r="W44" s="103" t="n">
        <f aca="false">DATA_PIPELINE!$K44</f>
        <v>0</v>
      </c>
      <c r="X44" s="103" t="n">
        <f aca="false">DATA_PIPELINE!$V44-DATA_PIPELINE!$W44</f>
        <v>1000</v>
      </c>
      <c r="Y44" s="103" t="str">
        <f aca="false">IF(DATA_PIPELINE!$X44=0,"Paid",IF(DATA_PIPELINE!$W44=0,"Unpaid","Partly Paid"))</f>
        <v>Unpaid</v>
      </c>
    </row>
    <row r="45" customFormat="false" ht="15" hidden="false" customHeight="true" outlineLevel="0" collapsed="false">
      <c r="A45" s="103" t="n">
        <v>40</v>
      </c>
      <c r="B45" s="103" t="s">
        <v>292</v>
      </c>
      <c r="C45" s="103" t="s">
        <v>293</v>
      </c>
      <c r="D45" s="107" t="s">
        <v>283</v>
      </c>
      <c r="E45" s="103" t="s">
        <v>294</v>
      </c>
      <c r="F45" s="103"/>
      <c r="G45" s="103" t="s">
        <v>285</v>
      </c>
      <c r="H45" s="103" t="s">
        <v>174</v>
      </c>
      <c r="I45" s="103"/>
      <c r="J45" s="103" t="s">
        <v>175</v>
      </c>
      <c r="K45" s="103" t="n">
        <v>0</v>
      </c>
      <c r="L45" s="103" t="n">
        <v>0</v>
      </c>
      <c r="M45" s="103" t="n">
        <v>0</v>
      </c>
      <c r="N45" s="103" t="n">
        <v>40</v>
      </c>
      <c r="O45" s="103" t="n">
        <v>4811.71</v>
      </c>
      <c r="P45" s="103" t="n">
        <v>0</v>
      </c>
      <c r="Q45" s="103" t="n">
        <v>0</v>
      </c>
      <c r="R45" s="103" t="n">
        <v>4811.71</v>
      </c>
      <c r="S45" s="103" t="s">
        <v>176</v>
      </c>
      <c r="T45" s="103" t="n">
        <v>40</v>
      </c>
      <c r="U45" s="103" t="s">
        <v>177</v>
      </c>
      <c r="V45" s="103" t="n">
        <v>500</v>
      </c>
      <c r="W45" s="103" t="n">
        <f aca="false">DATA_PIPELINE!$K45</f>
        <v>0</v>
      </c>
      <c r="X45" s="103" t="n">
        <f aca="false">DATA_PIPELINE!$V45-DATA_PIPELINE!$W45</f>
        <v>500</v>
      </c>
      <c r="Y45" s="103" t="str">
        <f aca="false">IF(DATA_PIPELINE!$X45=0,"Paid",IF(DATA_PIPELINE!$W45=0,"Unpaid","Partly Paid"))</f>
        <v>Unpaid</v>
      </c>
    </row>
    <row r="46" customFormat="false" ht="15" hidden="false" customHeight="true" outlineLevel="0" collapsed="false">
      <c r="A46" s="103" t="n">
        <v>41</v>
      </c>
      <c r="B46" s="103" t="s">
        <v>295</v>
      </c>
      <c r="C46" s="103" t="s">
        <v>296</v>
      </c>
      <c r="D46" s="107" t="s">
        <v>283</v>
      </c>
      <c r="E46" s="103" t="s">
        <v>297</v>
      </c>
      <c r="F46" s="103"/>
      <c r="G46" s="103" t="s">
        <v>285</v>
      </c>
      <c r="H46" s="103" t="s">
        <v>174</v>
      </c>
      <c r="I46" s="103"/>
      <c r="J46" s="103" t="s">
        <v>175</v>
      </c>
      <c r="K46" s="103" t="n">
        <v>0</v>
      </c>
      <c r="L46" s="103" t="n">
        <v>0</v>
      </c>
      <c r="M46" s="103" t="n">
        <v>0</v>
      </c>
      <c r="N46" s="103" t="n">
        <v>20</v>
      </c>
      <c r="O46" s="103" t="n">
        <v>4797.08</v>
      </c>
      <c r="P46" s="103" t="n">
        <v>0</v>
      </c>
      <c r="Q46" s="103" t="n">
        <v>0</v>
      </c>
      <c r="R46" s="103" t="n">
        <v>4797.08</v>
      </c>
      <c r="S46" s="103" t="s">
        <v>176</v>
      </c>
      <c r="T46" s="103" t="n">
        <v>20</v>
      </c>
      <c r="U46" s="103" t="s">
        <v>177</v>
      </c>
      <c r="V46" s="103" t="n">
        <v>500</v>
      </c>
      <c r="W46" s="103" t="n">
        <f aca="false">DATA_PIPELINE!$K46</f>
        <v>0</v>
      </c>
      <c r="X46" s="103" t="n">
        <f aca="false">DATA_PIPELINE!$V46-DATA_PIPELINE!$W46</f>
        <v>500</v>
      </c>
      <c r="Y46" s="103" t="str">
        <f aca="false">IF(DATA_PIPELINE!$X46=0,"Paid",IF(DATA_PIPELINE!$W46=0,"Unpaid","Partly Paid"))</f>
        <v>Unpaid</v>
      </c>
    </row>
    <row r="47" customFormat="false" ht="15" hidden="false" customHeight="true" outlineLevel="0" collapsed="false">
      <c r="A47" s="103" t="n">
        <v>42</v>
      </c>
      <c r="B47" s="103" t="s">
        <v>298</v>
      </c>
      <c r="C47" s="103" t="s">
        <v>299</v>
      </c>
      <c r="D47" s="107" t="s">
        <v>283</v>
      </c>
      <c r="E47" s="103" t="s">
        <v>300</v>
      </c>
      <c r="F47" s="103"/>
      <c r="G47" s="103" t="s">
        <v>285</v>
      </c>
      <c r="H47" s="103" t="s">
        <v>174</v>
      </c>
      <c r="I47" s="103" t="n">
        <v>5</v>
      </c>
      <c r="J47" s="103" t="s">
        <v>175</v>
      </c>
      <c r="K47" s="103" t="n">
        <v>0</v>
      </c>
      <c r="L47" s="103" t="n">
        <v>0</v>
      </c>
      <c r="M47" s="103" t="n">
        <v>0</v>
      </c>
      <c r="N47" s="103" t="n">
        <v>40</v>
      </c>
      <c r="O47" s="103" t="n">
        <v>12435.56</v>
      </c>
      <c r="P47" s="103" t="n">
        <v>0</v>
      </c>
      <c r="Q47" s="103" t="n">
        <v>0</v>
      </c>
      <c r="R47" s="103" t="n">
        <v>12435.56</v>
      </c>
      <c r="S47" s="103" t="s">
        <v>176</v>
      </c>
      <c r="T47" s="103" t="n">
        <v>40</v>
      </c>
      <c r="U47" s="103" t="s">
        <v>177</v>
      </c>
      <c r="V47" s="103" t="n">
        <v>500</v>
      </c>
      <c r="W47" s="103" t="n">
        <f aca="false">DATA_PIPELINE!$K47</f>
        <v>0</v>
      </c>
      <c r="X47" s="103" t="n">
        <f aca="false">DATA_PIPELINE!$V47-DATA_PIPELINE!$W47</f>
        <v>500</v>
      </c>
      <c r="Y47" s="103" t="str">
        <f aca="false">IF(DATA_PIPELINE!$X47=0,"Paid",IF(DATA_PIPELINE!$W47=0,"Unpaid","Partly Paid"))</f>
        <v>Unpaid</v>
      </c>
    </row>
    <row r="48" customFormat="false" ht="15" hidden="false" customHeight="true" outlineLevel="0" collapsed="false">
      <c r="A48" s="103" t="n">
        <v>43</v>
      </c>
      <c r="B48" s="103" t="s">
        <v>301</v>
      </c>
      <c r="C48" s="103" t="s">
        <v>302</v>
      </c>
      <c r="D48" s="107" t="s">
        <v>283</v>
      </c>
      <c r="E48" s="103" t="s">
        <v>303</v>
      </c>
      <c r="F48" s="103" t="n">
        <v>777051013</v>
      </c>
      <c r="G48" s="103" t="s">
        <v>285</v>
      </c>
      <c r="H48" s="103" t="s">
        <v>174</v>
      </c>
      <c r="I48" s="103"/>
      <c r="J48" s="103" t="s">
        <v>175</v>
      </c>
      <c r="K48" s="103" t="n">
        <v>0</v>
      </c>
      <c r="L48" s="103" t="n">
        <v>0</v>
      </c>
      <c r="M48" s="103" t="n">
        <v>0</v>
      </c>
      <c r="N48" s="103" t="n">
        <v>35</v>
      </c>
      <c r="O48" s="103" t="n">
        <v>7355.58</v>
      </c>
      <c r="P48" s="103" t="n">
        <v>0</v>
      </c>
      <c r="Q48" s="103" t="n">
        <v>0</v>
      </c>
      <c r="R48" s="103" t="n">
        <v>7355.58</v>
      </c>
      <c r="S48" s="103" t="s">
        <v>176</v>
      </c>
      <c r="T48" s="103" t="n">
        <v>35</v>
      </c>
      <c r="U48" s="103" t="s">
        <v>177</v>
      </c>
      <c r="V48" s="103" t="n">
        <v>500</v>
      </c>
      <c r="W48" s="103" t="n">
        <f aca="false">DATA_PIPELINE!$K48</f>
        <v>0</v>
      </c>
      <c r="X48" s="103" t="n">
        <f aca="false">DATA_PIPELINE!$V48-DATA_PIPELINE!$W48</f>
        <v>500</v>
      </c>
      <c r="Y48" s="103" t="str">
        <f aca="false">IF(DATA_PIPELINE!$X48=0,"Paid",IF(DATA_PIPELINE!$W48=0,"Unpaid","Partly Paid"))</f>
        <v>Unpaid</v>
      </c>
    </row>
    <row r="49" customFormat="false" ht="15" hidden="false" customHeight="true" outlineLevel="0" collapsed="false">
      <c r="A49" s="103" t="n">
        <v>44</v>
      </c>
      <c r="B49" s="103" t="s">
        <v>304</v>
      </c>
      <c r="C49" s="103" t="s">
        <v>305</v>
      </c>
      <c r="D49" s="107" t="s">
        <v>283</v>
      </c>
      <c r="E49" s="103" t="s">
        <v>306</v>
      </c>
      <c r="F49" s="103" t="n">
        <v>773275852</v>
      </c>
      <c r="G49" s="103" t="s">
        <v>285</v>
      </c>
      <c r="H49" s="103" t="s">
        <v>174</v>
      </c>
      <c r="I49" s="103"/>
      <c r="J49" s="103" t="s">
        <v>175</v>
      </c>
      <c r="K49" s="103" t="n">
        <v>0</v>
      </c>
      <c r="L49" s="103" t="n">
        <v>0</v>
      </c>
      <c r="M49" s="103" t="n">
        <v>0</v>
      </c>
      <c r="N49" s="103" t="n">
        <v>40</v>
      </c>
      <c r="O49" s="103" t="n">
        <v>10904.39</v>
      </c>
      <c r="P49" s="103" t="n">
        <v>0</v>
      </c>
      <c r="Q49" s="103" t="n">
        <v>0</v>
      </c>
      <c r="R49" s="103" t="n">
        <v>10904.39</v>
      </c>
      <c r="S49" s="103" t="s">
        <v>176</v>
      </c>
      <c r="T49" s="103" t="n">
        <v>40</v>
      </c>
      <c r="U49" s="103" t="s">
        <v>177</v>
      </c>
      <c r="V49" s="103" t="n">
        <v>500</v>
      </c>
      <c r="W49" s="103" t="n">
        <f aca="false">DATA_PIPELINE!$K49</f>
        <v>0</v>
      </c>
      <c r="X49" s="103" t="n">
        <f aca="false">DATA_PIPELINE!$V49-DATA_PIPELINE!$W49</f>
        <v>500</v>
      </c>
      <c r="Y49" s="103" t="str">
        <f aca="false">IF(DATA_PIPELINE!$X49=0,"Paid",IF(DATA_PIPELINE!$W49=0,"Unpaid","Partly Paid"))</f>
        <v>Unpaid</v>
      </c>
    </row>
    <row r="50" customFormat="false" ht="15" hidden="false" customHeight="true" outlineLevel="0" collapsed="false">
      <c r="A50" s="103" t="n">
        <v>45</v>
      </c>
      <c r="B50" s="103" t="s">
        <v>307</v>
      </c>
      <c r="C50" s="103" t="s">
        <v>305</v>
      </c>
      <c r="D50" s="107" t="s">
        <v>283</v>
      </c>
      <c r="E50" s="103" t="s">
        <v>308</v>
      </c>
      <c r="F50" s="103" t="n">
        <v>778141198</v>
      </c>
      <c r="G50" s="103" t="s">
        <v>285</v>
      </c>
      <c r="H50" s="103" t="s">
        <v>174</v>
      </c>
      <c r="I50" s="103"/>
      <c r="J50" s="103" t="s">
        <v>175</v>
      </c>
      <c r="K50" s="103" t="n">
        <v>0</v>
      </c>
      <c r="L50" s="103" t="n">
        <v>0</v>
      </c>
      <c r="M50" s="103" t="n">
        <v>0</v>
      </c>
      <c r="N50" s="103" t="n">
        <v>50</v>
      </c>
      <c r="O50" s="103" t="n">
        <v>14074.8</v>
      </c>
      <c r="P50" s="103" t="n">
        <v>0</v>
      </c>
      <c r="Q50" s="103" t="n">
        <v>0</v>
      </c>
      <c r="R50" s="103" t="n">
        <v>14074.8</v>
      </c>
      <c r="S50" s="103" t="s">
        <v>176</v>
      </c>
      <c r="T50" s="103" t="n">
        <v>50</v>
      </c>
      <c r="U50" s="103" t="s">
        <v>177</v>
      </c>
      <c r="V50" s="103" t="n">
        <v>500</v>
      </c>
      <c r="W50" s="103" t="n">
        <f aca="false">DATA_PIPELINE!$K50</f>
        <v>0</v>
      </c>
      <c r="X50" s="103" t="n">
        <f aca="false">DATA_PIPELINE!$V50-DATA_PIPELINE!$W50</f>
        <v>500</v>
      </c>
      <c r="Y50" s="103" t="str">
        <f aca="false">IF(DATA_PIPELINE!$X50=0,"Paid",IF(DATA_PIPELINE!$W50=0,"Unpaid","Partly Paid"))</f>
        <v>Unpaid</v>
      </c>
    </row>
    <row r="51" customFormat="false" ht="15" hidden="false" customHeight="true" outlineLevel="0" collapsed="false">
      <c r="A51" s="103" t="n">
        <v>46</v>
      </c>
      <c r="B51" s="103" t="s">
        <v>309</v>
      </c>
      <c r="C51" s="103" t="s">
        <v>305</v>
      </c>
      <c r="D51" s="107" t="s">
        <v>283</v>
      </c>
      <c r="E51" s="103" t="s">
        <v>310</v>
      </c>
      <c r="F51" s="103" t="n">
        <v>782719229</v>
      </c>
      <c r="G51" s="103" t="s">
        <v>285</v>
      </c>
      <c r="H51" s="103" t="s">
        <v>174</v>
      </c>
      <c r="I51" s="103"/>
      <c r="J51" s="103" t="s">
        <v>175</v>
      </c>
      <c r="K51" s="103" t="n">
        <v>0</v>
      </c>
      <c r="L51" s="103" t="n">
        <v>0</v>
      </c>
      <c r="M51" s="103" t="n">
        <v>0</v>
      </c>
      <c r="N51" s="103" t="n">
        <v>50</v>
      </c>
      <c r="O51" s="103" t="n">
        <v>16983.94</v>
      </c>
      <c r="P51" s="103" t="n">
        <v>0</v>
      </c>
      <c r="Q51" s="103" t="n">
        <v>0</v>
      </c>
      <c r="R51" s="103" t="n">
        <v>16983.94</v>
      </c>
      <c r="S51" s="103" t="s">
        <v>176</v>
      </c>
      <c r="T51" s="103" t="n">
        <v>50</v>
      </c>
      <c r="U51" s="103" t="s">
        <v>177</v>
      </c>
      <c r="V51" s="103" t="n">
        <v>500</v>
      </c>
      <c r="W51" s="103" t="n">
        <f aca="false">DATA_PIPELINE!$K51</f>
        <v>0</v>
      </c>
      <c r="X51" s="103" t="n">
        <f aca="false">DATA_PIPELINE!$V51-DATA_PIPELINE!$W51</f>
        <v>500</v>
      </c>
      <c r="Y51" s="103" t="str">
        <f aca="false">IF(DATA_PIPELINE!$X51=0,"Paid",IF(DATA_PIPELINE!$W51=0,"Unpaid","Partly Paid"))</f>
        <v>Unpaid</v>
      </c>
    </row>
    <row r="52" customFormat="false" ht="15" hidden="false" customHeight="true" outlineLevel="0" collapsed="false">
      <c r="A52" s="103" t="n">
        <v>47</v>
      </c>
      <c r="B52" s="103" t="s">
        <v>311</v>
      </c>
      <c r="C52" s="103" t="s">
        <v>312</v>
      </c>
      <c r="D52" s="107" t="s">
        <v>283</v>
      </c>
      <c r="E52" s="103" t="s">
        <v>313</v>
      </c>
      <c r="F52" s="103" t="n">
        <v>716956544</v>
      </c>
      <c r="G52" s="103" t="s">
        <v>285</v>
      </c>
      <c r="H52" s="103" t="s">
        <v>174</v>
      </c>
      <c r="I52" s="103"/>
      <c r="J52" s="103" t="s">
        <v>175</v>
      </c>
      <c r="K52" s="103" t="n">
        <v>0</v>
      </c>
      <c r="L52" s="103" t="n">
        <v>0</v>
      </c>
      <c r="M52" s="103" t="n">
        <v>0</v>
      </c>
      <c r="N52" s="103" t="n">
        <v>60</v>
      </c>
      <c r="O52" s="103" t="n">
        <v>14815.12</v>
      </c>
      <c r="P52" s="103" t="n">
        <v>0</v>
      </c>
      <c r="Q52" s="103" t="n">
        <v>0</v>
      </c>
      <c r="R52" s="103" t="n">
        <v>14815.12</v>
      </c>
      <c r="S52" s="103" t="s">
        <v>176</v>
      </c>
      <c r="T52" s="103" t="n">
        <v>60</v>
      </c>
      <c r="U52" s="103" t="s">
        <v>177</v>
      </c>
      <c r="V52" s="103" t="n">
        <v>500</v>
      </c>
      <c r="W52" s="103" t="n">
        <f aca="false">DATA_PIPELINE!$K52</f>
        <v>0</v>
      </c>
      <c r="X52" s="103" t="n">
        <f aca="false">DATA_PIPELINE!$V52-DATA_PIPELINE!$W52</f>
        <v>500</v>
      </c>
      <c r="Y52" s="103" t="str">
        <f aca="false">IF(DATA_PIPELINE!$X52=0,"Paid",IF(DATA_PIPELINE!$W52=0,"Unpaid","Partly Paid"))</f>
        <v>Unpaid</v>
      </c>
    </row>
    <row r="53" customFormat="false" ht="15" hidden="false" customHeight="true" outlineLevel="0" collapsed="false">
      <c r="A53" s="103" t="n">
        <v>48</v>
      </c>
      <c r="B53" s="103" t="s">
        <v>314</v>
      </c>
      <c r="C53" s="103" t="s">
        <v>315</v>
      </c>
      <c r="D53" s="107" t="s">
        <v>283</v>
      </c>
      <c r="E53" s="103" t="s">
        <v>316</v>
      </c>
      <c r="F53" s="103" t="n">
        <v>772399882</v>
      </c>
      <c r="G53" s="103" t="s">
        <v>285</v>
      </c>
      <c r="H53" s="103" t="s">
        <v>174</v>
      </c>
      <c r="I53" s="103" t="n">
        <v>50</v>
      </c>
      <c r="J53" s="103" t="s">
        <v>175</v>
      </c>
      <c r="K53" s="103" t="n">
        <v>1000</v>
      </c>
      <c r="L53" s="103" t="n">
        <v>0</v>
      </c>
      <c r="M53" s="103" t="n">
        <v>0</v>
      </c>
      <c r="N53" s="103" t="n">
        <v>700</v>
      </c>
      <c r="O53" s="103" t="n">
        <v>103060</v>
      </c>
      <c r="P53" s="103" t="n">
        <v>0</v>
      </c>
      <c r="Q53" s="103" t="n">
        <v>0</v>
      </c>
      <c r="R53" s="103" t="n">
        <v>103060</v>
      </c>
      <c r="S53" s="103" t="s">
        <v>176</v>
      </c>
      <c r="T53" s="103" t="n">
        <v>700</v>
      </c>
      <c r="U53" s="103" t="s">
        <v>247</v>
      </c>
      <c r="V53" s="103" t="n">
        <v>1000</v>
      </c>
      <c r="W53" s="103" t="n">
        <f aca="false">DATA_PIPELINE!$K53</f>
        <v>1000</v>
      </c>
      <c r="X53" s="103" t="n">
        <f aca="false">DATA_PIPELINE!$V53-DATA_PIPELINE!$W53</f>
        <v>0</v>
      </c>
      <c r="Y53" s="103" t="str">
        <f aca="false">IF(DATA_PIPELINE!$X53=0,"Paid",IF(DATA_PIPELINE!$W53=0,"Unpaid","Partly Paid"))</f>
        <v>Paid</v>
      </c>
    </row>
    <row r="54" customFormat="false" ht="15" hidden="false" customHeight="true" outlineLevel="0" collapsed="false">
      <c r="A54" s="103" t="n">
        <v>49</v>
      </c>
      <c r="B54" s="103" t="s">
        <v>317</v>
      </c>
      <c r="C54" s="103" t="s">
        <v>318</v>
      </c>
      <c r="D54" s="107" t="s">
        <v>319</v>
      </c>
      <c r="E54" s="103" t="s">
        <v>320</v>
      </c>
      <c r="F54" s="103" t="n">
        <v>772488873</v>
      </c>
      <c r="G54" s="103" t="s">
        <v>285</v>
      </c>
      <c r="H54" s="103" t="s">
        <v>174</v>
      </c>
      <c r="I54" s="103"/>
      <c r="J54" s="103" t="s">
        <v>175</v>
      </c>
      <c r="K54" s="103" t="n">
        <v>0</v>
      </c>
      <c r="L54" s="103" t="n">
        <v>0</v>
      </c>
      <c r="M54" s="103" t="n">
        <v>0</v>
      </c>
      <c r="N54" s="103" t="n">
        <v>30</v>
      </c>
      <c r="O54" s="103" t="n">
        <v>8096.2</v>
      </c>
      <c r="P54" s="103" t="n">
        <v>0</v>
      </c>
      <c r="Q54" s="103" t="n">
        <v>0</v>
      </c>
      <c r="R54" s="103" t="n">
        <v>8096.2</v>
      </c>
      <c r="S54" s="103" t="s">
        <v>176</v>
      </c>
      <c r="T54" s="103" t="n">
        <v>30</v>
      </c>
      <c r="U54" s="103" t="s">
        <v>177</v>
      </c>
      <c r="V54" s="103" t="n">
        <v>500</v>
      </c>
      <c r="W54" s="103" t="n">
        <f aca="false">DATA_PIPELINE!$K54</f>
        <v>0</v>
      </c>
      <c r="X54" s="103" t="n">
        <f aca="false">DATA_PIPELINE!$V54-DATA_PIPELINE!$W54</f>
        <v>500</v>
      </c>
      <c r="Y54" s="103" t="str">
        <f aca="false">IF(DATA_PIPELINE!$X54=0,"Paid",IF(DATA_PIPELINE!$W54=0,"Unpaid","Partly Paid"))</f>
        <v>Unpaid</v>
      </c>
    </row>
    <row r="55" customFormat="false" ht="15" hidden="false" customHeight="true" outlineLevel="0" collapsed="false">
      <c r="A55" s="103" t="n">
        <v>50</v>
      </c>
      <c r="B55" s="103" t="s">
        <v>321</v>
      </c>
      <c r="C55" s="103" t="s">
        <v>322</v>
      </c>
      <c r="D55" s="107" t="s">
        <v>319</v>
      </c>
      <c r="E55" s="103" t="s">
        <v>323</v>
      </c>
      <c r="F55" s="103" t="n">
        <v>771775698</v>
      </c>
      <c r="G55" s="103" t="s">
        <v>285</v>
      </c>
      <c r="H55" s="103" t="s">
        <v>174</v>
      </c>
      <c r="I55" s="103"/>
      <c r="J55" s="103" t="s">
        <v>175</v>
      </c>
      <c r="K55" s="103" t="n">
        <v>0</v>
      </c>
      <c r="L55" s="103" t="n">
        <v>0</v>
      </c>
      <c r="M55" s="103" t="n">
        <v>0</v>
      </c>
      <c r="N55" s="103" t="n">
        <v>20</v>
      </c>
      <c r="O55" s="103" t="n">
        <v>7383.67</v>
      </c>
      <c r="P55" s="103" t="n">
        <v>0</v>
      </c>
      <c r="Q55" s="103" t="n">
        <v>0</v>
      </c>
      <c r="R55" s="103" t="n">
        <v>7383.67</v>
      </c>
      <c r="S55" s="103" t="s">
        <v>176</v>
      </c>
      <c r="T55" s="103" t="n">
        <v>20</v>
      </c>
      <c r="U55" s="103" t="s">
        <v>177</v>
      </c>
      <c r="V55" s="103" t="n">
        <v>500</v>
      </c>
      <c r="W55" s="103" t="n">
        <f aca="false">DATA_PIPELINE!$K55</f>
        <v>0</v>
      </c>
      <c r="X55" s="103" t="n">
        <f aca="false">DATA_PIPELINE!$V55-DATA_PIPELINE!$W55</f>
        <v>500</v>
      </c>
      <c r="Y55" s="103" t="str">
        <f aca="false">IF(DATA_PIPELINE!$X55=0,"Paid",IF(DATA_PIPELINE!$W55=0,"Unpaid","Partly Paid"))</f>
        <v>Unpaid</v>
      </c>
    </row>
    <row r="56" customFormat="false" ht="15" hidden="false" customHeight="true" outlineLevel="0" collapsed="false">
      <c r="A56" s="103" t="n">
        <v>51</v>
      </c>
      <c r="B56" s="103" t="s">
        <v>324</v>
      </c>
      <c r="C56" s="103" t="s">
        <v>325</v>
      </c>
      <c r="D56" s="107" t="s">
        <v>319</v>
      </c>
      <c r="E56" s="103" t="s">
        <v>326</v>
      </c>
      <c r="F56" s="103" t="n">
        <v>773651499</v>
      </c>
      <c r="G56" s="103" t="s">
        <v>285</v>
      </c>
      <c r="H56" s="103" t="s">
        <v>174</v>
      </c>
      <c r="I56" s="103"/>
      <c r="J56" s="103" t="s">
        <v>175</v>
      </c>
      <c r="K56" s="103" t="n">
        <v>0</v>
      </c>
      <c r="L56" s="103" t="n">
        <v>0</v>
      </c>
      <c r="M56" s="103" t="n">
        <v>0</v>
      </c>
      <c r="N56" s="103" t="n">
        <v>50</v>
      </c>
      <c r="O56" s="103" t="n">
        <v>4850.23</v>
      </c>
      <c r="P56" s="103" t="n">
        <v>0</v>
      </c>
      <c r="Q56" s="103" t="n">
        <v>0</v>
      </c>
      <c r="R56" s="103" t="n">
        <v>4850.23</v>
      </c>
      <c r="S56" s="103" t="s">
        <v>176</v>
      </c>
      <c r="T56" s="103" t="n">
        <v>50</v>
      </c>
      <c r="U56" s="103" t="s">
        <v>177</v>
      </c>
      <c r="V56" s="103" t="n">
        <v>500</v>
      </c>
      <c r="W56" s="103" t="n">
        <f aca="false">DATA_PIPELINE!$K56</f>
        <v>0</v>
      </c>
      <c r="X56" s="103" t="n">
        <f aca="false">DATA_PIPELINE!$V56-DATA_PIPELINE!$W56</f>
        <v>500</v>
      </c>
      <c r="Y56" s="103" t="str">
        <f aca="false">IF(DATA_PIPELINE!$X56=0,"Paid",IF(DATA_PIPELINE!$W56=0,"Unpaid","Partly Paid"))</f>
        <v>Unpaid</v>
      </c>
    </row>
    <row r="57" customFormat="false" ht="15" hidden="false" customHeight="true" outlineLevel="0" collapsed="false">
      <c r="A57" s="103" t="n">
        <v>52</v>
      </c>
      <c r="B57" s="103" t="s">
        <v>327</v>
      </c>
      <c r="C57" s="103" t="s">
        <v>328</v>
      </c>
      <c r="D57" s="107" t="s">
        <v>319</v>
      </c>
      <c r="E57" s="103" t="s">
        <v>329</v>
      </c>
      <c r="F57" s="103" t="n">
        <v>779238902</v>
      </c>
      <c r="G57" s="103" t="s">
        <v>285</v>
      </c>
      <c r="H57" s="103" t="s">
        <v>174</v>
      </c>
      <c r="I57" s="103"/>
      <c r="J57" s="103" t="s">
        <v>175</v>
      </c>
      <c r="K57" s="103" t="n">
        <v>0</v>
      </c>
      <c r="L57" s="103" t="n">
        <v>0</v>
      </c>
      <c r="M57" s="103" t="n">
        <v>0</v>
      </c>
      <c r="N57" s="103" t="n">
        <v>10</v>
      </c>
      <c r="O57" s="103" t="n">
        <v>2806.8</v>
      </c>
      <c r="P57" s="103" t="n">
        <v>0</v>
      </c>
      <c r="Q57" s="103" t="n">
        <v>0</v>
      </c>
      <c r="R57" s="103" t="n">
        <v>2806.8</v>
      </c>
      <c r="S57" s="103" t="s">
        <v>176</v>
      </c>
      <c r="T57" s="103" t="n">
        <v>10</v>
      </c>
      <c r="U57" s="103" t="s">
        <v>177</v>
      </c>
      <c r="V57" s="103" t="n">
        <v>500</v>
      </c>
      <c r="W57" s="103" t="n">
        <f aca="false">DATA_PIPELINE!$K57</f>
        <v>0</v>
      </c>
      <c r="X57" s="103" t="n">
        <f aca="false">DATA_PIPELINE!$V57-DATA_PIPELINE!$W57</f>
        <v>500</v>
      </c>
      <c r="Y57" s="103" t="str">
        <f aca="false">IF(DATA_PIPELINE!$X57=0,"Paid",IF(DATA_PIPELINE!$W57=0,"Unpaid","Partly Paid"))</f>
        <v>Unpaid</v>
      </c>
    </row>
    <row r="58" customFormat="false" ht="15" hidden="false" customHeight="true" outlineLevel="0" collapsed="false">
      <c r="A58" s="103" t="n">
        <v>53</v>
      </c>
      <c r="B58" s="103" t="s">
        <v>330</v>
      </c>
      <c r="C58" s="103" t="s">
        <v>331</v>
      </c>
      <c r="D58" s="107" t="s">
        <v>319</v>
      </c>
      <c r="E58" s="103" t="s">
        <v>332</v>
      </c>
      <c r="F58" s="103" t="n">
        <v>773534002</v>
      </c>
      <c r="G58" s="103" t="s">
        <v>285</v>
      </c>
      <c r="H58" s="103" t="s">
        <v>174</v>
      </c>
      <c r="I58" s="103"/>
      <c r="J58" s="103" t="s">
        <v>175</v>
      </c>
      <c r="K58" s="103" t="n">
        <v>0</v>
      </c>
      <c r="L58" s="103" t="n">
        <v>0</v>
      </c>
      <c r="M58" s="103" t="n">
        <v>0</v>
      </c>
      <c r="N58" s="103" t="n">
        <v>20</v>
      </c>
      <c r="O58" s="103" t="n">
        <v>3462</v>
      </c>
      <c r="P58" s="103" t="n">
        <v>0</v>
      </c>
      <c r="Q58" s="103" t="n">
        <v>0</v>
      </c>
      <c r="R58" s="103" t="n">
        <v>3462</v>
      </c>
      <c r="S58" s="103" t="s">
        <v>176</v>
      </c>
      <c r="T58" s="103" t="n">
        <v>20</v>
      </c>
      <c r="U58" s="103" t="s">
        <v>177</v>
      </c>
      <c r="V58" s="103" t="n">
        <v>500</v>
      </c>
      <c r="W58" s="103" t="n">
        <f aca="false">DATA_PIPELINE!$K58</f>
        <v>0</v>
      </c>
      <c r="X58" s="103" t="n">
        <f aca="false">DATA_PIPELINE!$V58-DATA_PIPELINE!$W58</f>
        <v>500</v>
      </c>
      <c r="Y58" s="103" t="str">
        <f aca="false">IF(DATA_PIPELINE!$X58=0,"Paid",IF(DATA_PIPELINE!$W58=0,"Unpaid","Partly Paid"))</f>
        <v>Unpaid</v>
      </c>
    </row>
    <row r="59" customFormat="false" ht="15" hidden="false" customHeight="true" outlineLevel="0" collapsed="false">
      <c r="A59" s="103" t="n">
        <v>54</v>
      </c>
      <c r="B59" s="103" t="s">
        <v>333</v>
      </c>
      <c r="C59" s="103" t="s">
        <v>334</v>
      </c>
      <c r="D59" s="107" t="s">
        <v>319</v>
      </c>
      <c r="E59" s="103" t="s">
        <v>335</v>
      </c>
      <c r="F59" s="103" t="n">
        <v>717955922</v>
      </c>
      <c r="G59" s="103" t="s">
        <v>285</v>
      </c>
      <c r="H59" s="103" t="s">
        <v>174</v>
      </c>
      <c r="I59" s="103"/>
      <c r="J59" s="103" t="s">
        <v>175</v>
      </c>
      <c r="K59" s="103" t="n">
        <v>0</v>
      </c>
      <c r="L59" s="103" t="n">
        <v>0</v>
      </c>
      <c r="M59" s="103" t="n">
        <v>0</v>
      </c>
      <c r="N59" s="103" t="n">
        <v>20</v>
      </c>
      <c r="O59" s="103" t="n">
        <v>7611.71</v>
      </c>
      <c r="P59" s="103" t="n">
        <v>0</v>
      </c>
      <c r="Q59" s="103" t="n">
        <v>0</v>
      </c>
      <c r="R59" s="103" t="n">
        <v>7611.71</v>
      </c>
      <c r="S59" s="103" t="s">
        <v>176</v>
      </c>
      <c r="T59" s="103" t="n">
        <v>20</v>
      </c>
      <c r="U59" s="103" t="s">
        <v>177</v>
      </c>
      <c r="V59" s="103" t="n">
        <v>500</v>
      </c>
      <c r="W59" s="103" t="n">
        <f aca="false">DATA_PIPELINE!$K59</f>
        <v>0</v>
      </c>
      <c r="X59" s="103" t="n">
        <f aca="false">DATA_PIPELINE!$V59-DATA_PIPELINE!$W59</f>
        <v>500</v>
      </c>
      <c r="Y59" s="103" t="str">
        <f aca="false">IF(DATA_PIPELINE!$X59=0,"Paid",IF(DATA_PIPELINE!$W59=0,"Unpaid","Partly Paid"))</f>
        <v>Unpaid</v>
      </c>
    </row>
    <row r="60" customFormat="false" ht="15" hidden="false" customHeight="true" outlineLevel="0" collapsed="false">
      <c r="A60" s="103" t="n">
        <v>55</v>
      </c>
      <c r="B60" s="103" t="s">
        <v>336</v>
      </c>
      <c r="C60" s="103" t="s">
        <v>337</v>
      </c>
      <c r="D60" s="107" t="s">
        <v>319</v>
      </c>
      <c r="E60" s="103" t="s">
        <v>338</v>
      </c>
      <c r="F60" s="103" t="n">
        <v>775526270</v>
      </c>
      <c r="G60" s="103" t="s">
        <v>285</v>
      </c>
      <c r="H60" s="103" t="s">
        <v>174</v>
      </c>
      <c r="I60" s="103"/>
      <c r="J60" s="103" t="s">
        <v>175</v>
      </c>
      <c r="K60" s="103" t="n">
        <v>0</v>
      </c>
      <c r="L60" s="103" t="n">
        <v>0</v>
      </c>
      <c r="M60" s="103" t="n">
        <v>0</v>
      </c>
      <c r="N60" s="103" t="n">
        <v>20</v>
      </c>
      <c r="O60" s="103" t="n">
        <v>5199.4</v>
      </c>
      <c r="P60" s="103" t="n">
        <v>0</v>
      </c>
      <c r="Q60" s="103" t="n">
        <v>0</v>
      </c>
      <c r="R60" s="103" t="n">
        <v>5199.4</v>
      </c>
      <c r="S60" s="103" t="s">
        <v>176</v>
      </c>
      <c r="T60" s="103" t="n">
        <v>20</v>
      </c>
      <c r="U60" s="103" t="s">
        <v>177</v>
      </c>
      <c r="V60" s="103" t="n">
        <v>500</v>
      </c>
      <c r="W60" s="103" t="n">
        <f aca="false">DATA_PIPELINE!$K60</f>
        <v>0</v>
      </c>
      <c r="X60" s="103" t="n">
        <f aca="false">DATA_PIPELINE!$V60-DATA_PIPELINE!$W60</f>
        <v>500</v>
      </c>
      <c r="Y60" s="103" t="str">
        <f aca="false">IF(DATA_PIPELINE!$X60=0,"Paid",IF(DATA_PIPELINE!$W60=0,"Unpaid","Partly Paid"))</f>
        <v>Unpaid</v>
      </c>
    </row>
    <row r="61" customFormat="false" ht="15" hidden="false" customHeight="true" outlineLevel="0" collapsed="false">
      <c r="A61" s="103" t="n">
        <v>56</v>
      </c>
      <c r="B61" s="103" t="s">
        <v>339</v>
      </c>
      <c r="C61" s="103" t="s">
        <v>340</v>
      </c>
      <c r="D61" s="107" t="s">
        <v>319</v>
      </c>
      <c r="E61" s="103" t="s">
        <v>341</v>
      </c>
      <c r="F61" s="103" t="n">
        <v>775830916</v>
      </c>
      <c r="G61" s="103" t="s">
        <v>285</v>
      </c>
      <c r="H61" s="103" t="s">
        <v>174</v>
      </c>
      <c r="I61" s="103" t="n">
        <v>18</v>
      </c>
      <c r="J61" s="103" t="s">
        <v>175</v>
      </c>
      <c r="K61" s="103" t="n">
        <v>0</v>
      </c>
      <c r="L61" s="103" t="n">
        <v>0</v>
      </c>
      <c r="M61" s="103" t="n">
        <v>0</v>
      </c>
      <c r="N61" s="103" t="n">
        <v>200</v>
      </c>
      <c r="O61" s="103" t="n">
        <v>30216.77</v>
      </c>
      <c r="P61" s="103" t="n">
        <v>0</v>
      </c>
      <c r="Q61" s="103" t="n">
        <v>0</v>
      </c>
      <c r="R61" s="103" t="n">
        <v>30216.77</v>
      </c>
      <c r="S61" s="103" t="s">
        <v>176</v>
      </c>
      <c r="T61" s="103" t="n">
        <v>200</v>
      </c>
      <c r="U61" s="103" t="s">
        <v>247</v>
      </c>
      <c r="V61" s="103" t="n">
        <v>1000</v>
      </c>
      <c r="W61" s="103" t="n">
        <f aca="false">DATA_PIPELINE!$K61</f>
        <v>0</v>
      </c>
      <c r="X61" s="103" t="n">
        <f aca="false">DATA_PIPELINE!$V61-DATA_PIPELINE!$W61</f>
        <v>1000</v>
      </c>
      <c r="Y61" s="103" t="str">
        <f aca="false">IF(DATA_PIPELINE!$X61=0,"Paid",IF(DATA_PIPELINE!$W61=0,"Unpaid","Partly Paid"))</f>
        <v>Unpaid</v>
      </c>
    </row>
    <row r="62" customFormat="false" ht="15" hidden="false" customHeight="true" outlineLevel="0" collapsed="false">
      <c r="A62" s="103" t="n">
        <v>57</v>
      </c>
      <c r="B62" s="103" t="s">
        <v>342</v>
      </c>
      <c r="C62" s="103" t="s">
        <v>343</v>
      </c>
      <c r="D62" s="107" t="s">
        <v>319</v>
      </c>
      <c r="E62" s="103" t="s">
        <v>344</v>
      </c>
      <c r="F62" s="103" t="n">
        <v>786904075</v>
      </c>
      <c r="G62" s="103" t="s">
        <v>285</v>
      </c>
      <c r="H62" s="103" t="s">
        <v>174</v>
      </c>
      <c r="I62" s="103"/>
      <c r="J62" s="103" t="s">
        <v>175</v>
      </c>
      <c r="K62" s="103" t="n">
        <v>0</v>
      </c>
      <c r="L62" s="103" t="n">
        <v>0</v>
      </c>
      <c r="M62" s="103" t="n">
        <v>0</v>
      </c>
      <c r="N62" s="103" t="n">
        <v>200</v>
      </c>
      <c r="O62" s="103" t="n">
        <v>31500.52</v>
      </c>
      <c r="P62" s="103" t="n">
        <v>19.7</v>
      </c>
      <c r="Q62" s="103" t="n">
        <v>7185.58</v>
      </c>
      <c r="R62" s="103" t="n">
        <v>24314.94</v>
      </c>
      <c r="S62" s="103" t="n">
        <v>22.81</v>
      </c>
      <c r="T62" s="103" t="n">
        <v>200</v>
      </c>
      <c r="U62" s="103" t="s">
        <v>247</v>
      </c>
      <c r="V62" s="103" t="n">
        <v>1000</v>
      </c>
      <c r="W62" s="103" t="n">
        <f aca="false">DATA_PIPELINE!$K62</f>
        <v>0</v>
      </c>
      <c r="X62" s="103" t="n">
        <f aca="false">DATA_PIPELINE!$V62-DATA_PIPELINE!$W62</f>
        <v>1000</v>
      </c>
      <c r="Y62" s="103" t="str">
        <f aca="false">IF(DATA_PIPELINE!$X62=0,"Paid",IF(DATA_PIPELINE!$W62=0,"Unpaid","Partly Paid"))</f>
        <v>Unpaid</v>
      </c>
    </row>
    <row r="63" customFormat="false" ht="15" hidden="false" customHeight="true" outlineLevel="0" collapsed="false">
      <c r="A63" s="103" t="n">
        <v>58</v>
      </c>
      <c r="B63" s="103" t="s">
        <v>345</v>
      </c>
      <c r="C63" s="103" t="s">
        <v>346</v>
      </c>
      <c r="D63" s="107" t="s">
        <v>319</v>
      </c>
      <c r="E63" s="103" t="s">
        <v>347</v>
      </c>
      <c r="F63" s="103"/>
      <c r="G63" s="103" t="s">
        <v>285</v>
      </c>
      <c r="H63" s="103" t="s">
        <v>174</v>
      </c>
      <c r="I63" s="103"/>
      <c r="J63" s="103" t="s">
        <v>175</v>
      </c>
      <c r="K63" s="103" t="n">
        <v>0</v>
      </c>
      <c r="L63" s="103" t="n">
        <v>0</v>
      </c>
      <c r="M63" s="103" t="n">
        <v>0</v>
      </c>
      <c r="N63" s="103" t="n">
        <v>150</v>
      </c>
      <c r="O63" s="103" t="n">
        <v>10122.84</v>
      </c>
      <c r="P63" s="103" t="n">
        <v>0</v>
      </c>
      <c r="Q63" s="103" t="n">
        <v>0</v>
      </c>
      <c r="R63" s="103" t="n">
        <v>10122.84</v>
      </c>
      <c r="S63" s="103" t="s">
        <v>176</v>
      </c>
      <c r="T63" s="103" t="n">
        <v>150</v>
      </c>
      <c r="U63" s="103" t="s">
        <v>177</v>
      </c>
      <c r="V63" s="103" t="n">
        <v>500</v>
      </c>
      <c r="W63" s="103" t="n">
        <f aca="false">DATA_PIPELINE!$K63</f>
        <v>0</v>
      </c>
      <c r="X63" s="103" t="n">
        <f aca="false">DATA_PIPELINE!$V63-DATA_PIPELINE!$W63</f>
        <v>500</v>
      </c>
      <c r="Y63" s="103" t="str">
        <f aca="false">IF(DATA_PIPELINE!$X63=0,"Paid",IF(DATA_PIPELINE!$W63=0,"Unpaid","Partly Paid"))</f>
        <v>Unpaid</v>
      </c>
    </row>
    <row r="64" customFormat="false" ht="15" hidden="false" customHeight="true" outlineLevel="0" collapsed="false">
      <c r="A64" s="103" t="n">
        <v>59</v>
      </c>
      <c r="B64" s="103" t="s">
        <v>348</v>
      </c>
      <c r="C64" s="103" t="s">
        <v>346</v>
      </c>
      <c r="D64" s="107" t="s">
        <v>319</v>
      </c>
      <c r="E64" s="103" t="s">
        <v>349</v>
      </c>
      <c r="F64" s="103" t="n">
        <v>774346142</v>
      </c>
      <c r="G64" s="103" t="s">
        <v>285</v>
      </c>
      <c r="H64" s="103" t="s">
        <v>174</v>
      </c>
      <c r="I64" s="103"/>
      <c r="J64" s="103" t="s">
        <v>350</v>
      </c>
      <c r="K64" s="103" t="n">
        <v>0</v>
      </c>
      <c r="L64" s="103" t="n">
        <v>0</v>
      </c>
      <c r="M64" s="103" t="n">
        <v>0</v>
      </c>
      <c r="N64" s="103" t="n">
        <v>200</v>
      </c>
      <c r="O64" s="103" t="n">
        <v>0</v>
      </c>
      <c r="P64" s="103" t="n">
        <v>0</v>
      </c>
      <c r="Q64" s="103" t="n">
        <v>0</v>
      </c>
      <c r="R64" s="103" t="n">
        <v>0</v>
      </c>
      <c r="S64" s="103"/>
      <c r="T64" s="103" t="n">
        <v>200</v>
      </c>
      <c r="U64" s="103" t="s">
        <v>247</v>
      </c>
      <c r="V64" s="103" t="n">
        <v>1000</v>
      </c>
      <c r="W64" s="103" t="n">
        <f aca="false">DATA_PIPELINE!$K64</f>
        <v>0</v>
      </c>
      <c r="X64" s="103" t="n">
        <f aca="false">DATA_PIPELINE!$V64-DATA_PIPELINE!$W64</f>
        <v>1000</v>
      </c>
      <c r="Y64" s="103" t="str">
        <f aca="false">IF(DATA_PIPELINE!$X64=0,"Paid",IF(DATA_PIPELINE!$W64=0,"Unpaid","Partly Paid"))</f>
        <v>Unpaid</v>
      </c>
    </row>
    <row r="65" customFormat="false" ht="15" hidden="false" customHeight="true" outlineLevel="0" collapsed="false">
      <c r="A65" s="103" t="n">
        <v>60</v>
      </c>
      <c r="B65" s="103" t="s">
        <v>351</v>
      </c>
      <c r="C65" s="103" t="s">
        <v>346</v>
      </c>
      <c r="D65" s="107" t="s">
        <v>319</v>
      </c>
      <c r="E65" s="103" t="s">
        <v>352</v>
      </c>
      <c r="F65" s="103"/>
      <c r="G65" s="103" t="s">
        <v>285</v>
      </c>
      <c r="H65" s="103" t="s">
        <v>174</v>
      </c>
      <c r="I65" s="103"/>
      <c r="J65" s="103" t="s">
        <v>350</v>
      </c>
      <c r="K65" s="103" t="n">
        <v>0</v>
      </c>
      <c r="L65" s="103" t="n">
        <v>0</v>
      </c>
      <c r="M65" s="103" t="n">
        <v>0</v>
      </c>
      <c r="N65" s="103" t="n">
        <v>20</v>
      </c>
      <c r="O65" s="103" t="n">
        <v>0</v>
      </c>
      <c r="P65" s="103" t="n">
        <v>0</v>
      </c>
      <c r="Q65" s="103" t="n">
        <v>0</v>
      </c>
      <c r="R65" s="103" t="n">
        <v>0</v>
      </c>
      <c r="S65" s="103"/>
      <c r="T65" s="103" t="n">
        <v>20</v>
      </c>
      <c r="U65" s="103" t="s">
        <v>177</v>
      </c>
      <c r="V65" s="103" t="n">
        <v>500</v>
      </c>
      <c r="W65" s="103" t="n">
        <f aca="false">DATA_PIPELINE!$K65</f>
        <v>0</v>
      </c>
      <c r="X65" s="103" t="n">
        <f aca="false">DATA_PIPELINE!$V65-DATA_PIPELINE!$W65</f>
        <v>500</v>
      </c>
      <c r="Y65" s="103" t="str">
        <f aca="false">IF(DATA_PIPELINE!$X65=0,"Paid",IF(DATA_PIPELINE!$W65=0,"Unpaid","Partly Paid"))</f>
        <v>Unpaid</v>
      </c>
    </row>
    <row r="66" customFormat="false" ht="15" hidden="false" customHeight="true" outlineLevel="0" collapsed="false">
      <c r="A66" s="103" t="n">
        <v>61</v>
      </c>
      <c r="B66" s="103" t="s">
        <v>353</v>
      </c>
      <c r="C66" s="103" t="s">
        <v>346</v>
      </c>
      <c r="D66" s="107" t="s">
        <v>319</v>
      </c>
      <c r="E66" s="103" t="s">
        <v>354</v>
      </c>
      <c r="F66" s="103"/>
      <c r="G66" s="103" t="s">
        <v>285</v>
      </c>
      <c r="H66" s="103" t="s">
        <v>174</v>
      </c>
      <c r="I66" s="103"/>
      <c r="J66" s="103" t="s">
        <v>350</v>
      </c>
      <c r="K66" s="103" t="n">
        <v>0</v>
      </c>
      <c r="L66" s="103" t="n">
        <v>0</v>
      </c>
      <c r="M66" s="103" t="n">
        <v>0</v>
      </c>
      <c r="N66" s="103" t="n">
        <v>20</v>
      </c>
      <c r="O66" s="103" t="n">
        <v>0</v>
      </c>
      <c r="P66" s="103" t="n">
        <v>0</v>
      </c>
      <c r="Q66" s="103" t="n">
        <v>0</v>
      </c>
      <c r="R66" s="103" t="n">
        <v>0</v>
      </c>
      <c r="S66" s="103"/>
      <c r="T66" s="103" t="n">
        <v>20</v>
      </c>
      <c r="U66" s="103" t="s">
        <v>177</v>
      </c>
      <c r="V66" s="103" t="n">
        <v>500</v>
      </c>
      <c r="W66" s="103" t="n">
        <f aca="false">DATA_PIPELINE!$K66</f>
        <v>0</v>
      </c>
      <c r="X66" s="103" t="n">
        <f aca="false">DATA_PIPELINE!$V66-DATA_PIPELINE!$W66</f>
        <v>500</v>
      </c>
      <c r="Y66" s="103" t="str">
        <f aca="false">IF(DATA_PIPELINE!$X66=0,"Paid",IF(DATA_PIPELINE!$W66=0,"Unpaid","Partly Paid"))</f>
        <v>Unpaid</v>
      </c>
    </row>
    <row r="67" customFormat="false" ht="15" hidden="false" customHeight="true" outlineLevel="0" collapsed="false">
      <c r="A67" s="103" t="n">
        <v>62</v>
      </c>
      <c r="B67" s="103" t="s">
        <v>355</v>
      </c>
      <c r="C67" s="103" t="s">
        <v>170</v>
      </c>
      <c r="D67" s="107" t="s">
        <v>319</v>
      </c>
      <c r="E67" s="103" t="s">
        <v>356</v>
      </c>
      <c r="F67" s="103"/>
      <c r="G67" s="103" t="s">
        <v>285</v>
      </c>
      <c r="H67" s="103" t="s">
        <v>174</v>
      </c>
      <c r="I67" s="103"/>
      <c r="J67" s="103" t="s">
        <v>175</v>
      </c>
      <c r="K67" s="103" t="n">
        <v>0</v>
      </c>
      <c r="L67" s="103" t="n">
        <v>0</v>
      </c>
      <c r="M67" s="103" t="n">
        <v>0</v>
      </c>
      <c r="N67" s="103" t="n">
        <v>50</v>
      </c>
      <c r="O67" s="103" t="n">
        <v>3840.08</v>
      </c>
      <c r="P67" s="103" t="n">
        <v>0</v>
      </c>
      <c r="Q67" s="103" t="n">
        <v>0</v>
      </c>
      <c r="R67" s="103" t="n">
        <v>3840.08</v>
      </c>
      <c r="S67" s="103" t="s">
        <v>176</v>
      </c>
      <c r="T67" s="103" t="n">
        <v>50</v>
      </c>
      <c r="U67" s="103" t="s">
        <v>177</v>
      </c>
      <c r="V67" s="103" t="n">
        <v>500</v>
      </c>
      <c r="W67" s="103" t="n">
        <f aca="false">DATA_PIPELINE!$K67</f>
        <v>0</v>
      </c>
      <c r="X67" s="103" t="n">
        <f aca="false">DATA_PIPELINE!$V67-DATA_PIPELINE!$W67</f>
        <v>500</v>
      </c>
      <c r="Y67" s="103" t="str">
        <f aca="false">IF(DATA_PIPELINE!$X67=0,"Paid",IF(DATA_PIPELINE!$W67=0,"Unpaid","Partly Paid"))</f>
        <v>Unpaid</v>
      </c>
    </row>
    <row r="68" customFormat="false" ht="15" hidden="false" customHeight="true" outlineLevel="0" collapsed="false">
      <c r="A68" s="103" t="n">
        <v>63</v>
      </c>
      <c r="B68" s="103" t="s">
        <v>357</v>
      </c>
      <c r="C68" s="103" t="s">
        <v>170</v>
      </c>
      <c r="D68" s="104" t="s">
        <v>358</v>
      </c>
      <c r="E68" s="103" t="s">
        <v>359</v>
      </c>
      <c r="F68" s="103"/>
      <c r="G68" s="103" t="s">
        <v>285</v>
      </c>
      <c r="H68" s="103" t="s">
        <v>174</v>
      </c>
      <c r="I68" s="103"/>
      <c r="J68" s="103" t="s">
        <v>175</v>
      </c>
      <c r="K68" s="103" t="n">
        <v>0</v>
      </c>
      <c r="L68" s="103" t="n">
        <v>0</v>
      </c>
      <c r="M68" s="103" t="n">
        <v>0</v>
      </c>
      <c r="N68" s="103" t="n">
        <v>20</v>
      </c>
      <c r="O68" s="103" t="n">
        <v>273</v>
      </c>
      <c r="P68" s="103" t="n">
        <v>0</v>
      </c>
      <c r="Q68" s="103" t="n">
        <v>0</v>
      </c>
      <c r="R68" s="103" t="n">
        <v>273</v>
      </c>
      <c r="S68" s="103" t="s">
        <v>176</v>
      </c>
      <c r="T68" s="103" t="n">
        <v>20</v>
      </c>
      <c r="U68" s="103" t="s">
        <v>177</v>
      </c>
      <c r="V68" s="103" t="n">
        <v>500</v>
      </c>
      <c r="W68" s="103" t="n">
        <f aca="false">DATA_PIPELINE!$K68</f>
        <v>0</v>
      </c>
      <c r="X68" s="103" t="n">
        <f aca="false">DATA_PIPELINE!$V68-DATA_PIPELINE!$W68</f>
        <v>500</v>
      </c>
      <c r="Y68" s="103" t="str">
        <f aca="false">IF(DATA_PIPELINE!$X68=0,"Paid",IF(DATA_PIPELINE!$W68=0,"Unpaid","Partly Paid"))</f>
        <v>Unpaid</v>
      </c>
    </row>
    <row r="69" customFormat="false" ht="15" hidden="false" customHeight="true" outlineLevel="0" collapsed="false">
      <c r="A69" s="103" t="n">
        <v>64</v>
      </c>
      <c r="B69" s="103" t="s">
        <v>360</v>
      </c>
      <c r="C69" s="103" t="s">
        <v>170</v>
      </c>
      <c r="D69" s="107" t="s">
        <v>319</v>
      </c>
      <c r="E69" s="103" t="s">
        <v>361</v>
      </c>
      <c r="F69" s="103"/>
      <c r="G69" s="103" t="s">
        <v>285</v>
      </c>
      <c r="H69" s="103" t="s">
        <v>174</v>
      </c>
      <c r="I69" s="103"/>
      <c r="J69" s="103" t="s">
        <v>175</v>
      </c>
      <c r="K69" s="103" t="n">
        <v>0</v>
      </c>
      <c r="L69" s="103" t="n">
        <v>0</v>
      </c>
      <c r="M69" s="103" t="n">
        <v>0</v>
      </c>
      <c r="N69" s="103" t="n">
        <v>20</v>
      </c>
      <c r="O69" s="103" t="n">
        <v>2745.4</v>
      </c>
      <c r="P69" s="103" t="n">
        <v>0</v>
      </c>
      <c r="Q69" s="103" t="n">
        <v>0</v>
      </c>
      <c r="R69" s="103" t="n">
        <v>2745.4</v>
      </c>
      <c r="S69" s="103" t="s">
        <v>176</v>
      </c>
      <c r="T69" s="103" t="n">
        <v>20</v>
      </c>
      <c r="U69" s="103" t="s">
        <v>177</v>
      </c>
      <c r="V69" s="103" t="n">
        <v>500</v>
      </c>
      <c r="W69" s="103" t="n">
        <f aca="false">DATA_PIPELINE!$K69</f>
        <v>0</v>
      </c>
      <c r="X69" s="103" t="n">
        <f aca="false">DATA_PIPELINE!$V69-DATA_PIPELINE!$W69</f>
        <v>500</v>
      </c>
      <c r="Y69" s="103" t="str">
        <f aca="false">IF(DATA_PIPELINE!$X69=0,"Paid",IF(DATA_PIPELINE!$W69=0,"Unpaid","Partly Paid"))</f>
        <v>Unpaid</v>
      </c>
    </row>
    <row r="70" customFormat="false" ht="15" hidden="false" customHeight="true" outlineLevel="0" collapsed="false">
      <c r="A70" s="103" t="n">
        <v>65</v>
      </c>
      <c r="B70" s="103" t="s">
        <v>362</v>
      </c>
      <c r="C70" s="103" t="s">
        <v>363</v>
      </c>
      <c r="D70" s="107" t="s">
        <v>364</v>
      </c>
      <c r="E70" s="103" t="s">
        <v>365</v>
      </c>
      <c r="F70" s="103" t="n">
        <v>772667052</v>
      </c>
      <c r="G70" s="103" t="s">
        <v>366</v>
      </c>
      <c r="H70" s="103" t="s">
        <v>367</v>
      </c>
      <c r="I70" s="103"/>
      <c r="J70" s="103" t="s">
        <v>175</v>
      </c>
      <c r="K70" s="103" t="n">
        <v>0</v>
      </c>
      <c r="L70" s="103" t="n">
        <v>0</v>
      </c>
      <c r="M70" s="103" t="n">
        <v>0</v>
      </c>
      <c r="N70" s="103" t="n">
        <v>70</v>
      </c>
      <c r="O70" s="103" t="n">
        <v>7265.24</v>
      </c>
      <c r="P70" s="103" t="n">
        <v>0</v>
      </c>
      <c r="Q70" s="103" t="n">
        <v>0</v>
      </c>
      <c r="R70" s="103" t="n">
        <v>7265.24</v>
      </c>
      <c r="S70" s="103" t="s">
        <v>176</v>
      </c>
      <c r="T70" s="103" t="n">
        <v>70</v>
      </c>
      <c r="U70" s="103" t="s">
        <v>177</v>
      </c>
      <c r="V70" s="103" t="n">
        <v>500</v>
      </c>
      <c r="W70" s="103" t="n">
        <f aca="false">DATA_PIPELINE!$K70</f>
        <v>0</v>
      </c>
      <c r="X70" s="103" t="n">
        <f aca="false">DATA_PIPELINE!$V70-DATA_PIPELINE!$W70</f>
        <v>500</v>
      </c>
      <c r="Y70" s="103" t="str">
        <f aca="false">IF(DATA_PIPELINE!$X70=0,"Paid",IF(DATA_PIPELINE!$W70=0,"Unpaid","Partly Paid"))</f>
        <v>Unpaid</v>
      </c>
    </row>
    <row r="71" customFormat="false" ht="15" hidden="false" customHeight="true" outlineLevel="0" collapsed="false">
      <c r="A71" s="103" t="n">
        <v>66</v>
      </c>
      <c r="B71" s="103" t="s">
        <v>368</v>
      </c>
      <c r="C71" s="103" t="s">
        <v>369</v>
      </c>
      <c r="D71" s="107" t="s">
        <v>364</v>
      </c>
      <c r="E71" s="103" t="s">
        <v>370</v>
      </c>
      <c r="F71" s="103" t="n">
        <v>779466560</v>
      </c>
      <c r="G71" s="103" t="s">
        <v>366</v>
      </c>
      <c r="H71" s="103" t="s">
        <v>367</v>
      </c>
      <c r="I71" s="103"/>
      <c r="J71" s="103" t="s">
        <v>175</v>
      </c>
      <c r="K71" s="103" t="n">
        <v>0</v>
      </c>
      <c r="L71" s="103" t="n">
        <v>0</v>
      </c>
      <c r="M71" s="103" t="n">
        <v>0</v>
      </c>
      <c r="N71" s="103" t="n">
        <v>100</v>
      </c>
      <c r="O71" s="103" t="n">
        <v>8947.96</v>
      </c>
      <c r="P71" s="103" t="n">
        <v>0</v>
      </c>
      <c r="Q71" s="103" t="n">
        <v>0</v>
      </c>
      <c r="R71" s="103" t="n">
        <v>8947.96</v>
      </c>
      <c r="S71" s="103" t="s">
        <v>176</v>
      </c>
      <c r="T71" s="103" t="n">
        <v>100</v>
      </c>
      <c r="U71" s="103" t="s">
        <v>177</v>
      </c>
      <c r="V71" s="103" t="n">
        <v>500</v>
      </c>
      <c r="W71" s="103" t="n">
        <f aca="false">DATA_PIPELINE!$K71</f>
        <v>0</v>
      </c>
      <c r="X71" s="103" t="n">
        <f aca="false">DATA_PIPELINE!$V71-DATA_PIPELINE!$W71</f>
        <v>500</v>
      </c>
      <c r="Y71" s="103" t="str">
        <f aca="false">IF(DATA_PIPELINE!$X71=0,"Paid",IF(DATA_PIPELINE!$W71=0,"Unpaid","Partly Paid"))</f>
        <v>Unpaid</v>
      </c>
    </row>
    <row r="72" customFormat="false" ht="15" hidden="false" customHeight="true" outlineLevel="0" collapsed="false">
      <c r="A72" s="103" t="n">
        <v>67</v>
      </c>
      <c r="B72" s="103" t="s">
        <v>371</v>
      </c>
      <c r="C72" s="103" t="s">
        <v>372</v>
      </c>
      <c r="D72" s="107" t="s">
        <v>364</v>
      </c>
      <c r="E72" s="103" t="s">
        <v>373</v>
      </c>
      <c r="F72" s="103" t="n">
        <v>772357624</v>
      </c>
      <c r="G72" s="103" t="s">
        <v>374</v>
      </c>
      <c r="H72" s="103" t="s">
        <v>367</v>
      </c>
      <c r="I72" s="103"/>
      <c r="J72" s="103" t="s">
        <v>175</v>
      </c>
      <c r="K72" s="103" t="n">
        <v>0</v>
      </c>
      <c r="L72" s="103" t="n">
        <v>0</v>
      </c>
      <c r="M72" s="103" t="n">
        <v>0</v>
      </c>
      <c r="N72" s="103" t="n">
        <v>30</v>
      </c>
      <c r="O72" s="103" t="n">
        <v>2522.03</v>
      </c>
      <c r="P72" s="103" t="n">
        <v>0</v>
      </c>
      <c r="Q72" s="103" t="n">
        <v>0</v>
      </c>
      <c r="R72" s="103" t="n">
        <v>2522.03</v>
      </c>
      <c r="S72" s="103" t="s">
        <v>176</v>
      </c>
      <c r="T72" s="103" t="n">
        <v>30</v>
      </c>
      <c r="U72" s="103" t="s">
        <v>177</v>
      </c>
      <c r="V72" s="103" t="n">
        <v>500</v>
      </c>
      <c r="W72" s="103" t="n">
        <f aca="false">DATA_PIPELINE!$K72</f>
        <v>0</v>
      </c>
      <c r="X72" s="103" t="n">
        <f aca="false">DATA_PIPELINE!$V72-DATA_PIPELINE!$W72</f>
        <v>500</v>
      </c>
      <c r="Y72" s="103" t="str">
        <f aca="false">IF(DATA_PIPELINE!$X72=0,"Paid",IF(DATA_PIPELINE!$W72=0,"Unpaid","Partly Paid"))</f>
        <v>Unpaid</v>
      </c>
    </row>
    <row r="73" customFormat="false" ht="15" hidden="false" customHeight="true" outlineLevel="0" collapsed="false">
      <c r="A73" s="103" t="n">
        <v>68</v>
      </c>
      <c r="B73" s="103" t="s">
        <v>375</v>
      </c>
      <c r="C73" s="103" t="s">
        <v>376</v>
      </c>
      <c r="D73" s="107" t="s">
        <v>364</v>
      </c>
      <c r="E73" s="103" t="s">
        <v>377</v>
      </c>
      <c r="F73" s="103" t="n">
        <v>773380304</v>
      </c>
      <c r="G73" s="103" t="s">
        <v>374</v>
      </c>
      <c r="H73" s="103" t="s">
        <v>367</v>
      </c>
      <c r="I73" s="103"/>
      <c r="J73" s="103" t="s">
        <v>175</v>
      </c>
      <c r="K73" s="103" t="n">
        <v>0</v>
      </c>
      <c r="L73" s="103" t="n">
        <v>0</v>
      </c>
      <c r="M73" s="103" t="n">
        <v>0</v>
      </c>
      <c r="N73" s="103" t="n">
        <v>40</v>
      </c>
      <c r="O73" s="103" t="n">
        <v>5038.6</v>
      </c>
      <c r="P73" s="103" t="n">
        <v>0</v>
      </c>
      <c r="Q73" s="103" t="n">
        <v>0</v>
      </c>
      <c r="R73" s="103" t="n">
        <v>5038.6</v>
      </c>
      <c r="S73" s="103" t="s">
        <v>176</v>
      </c>
      <c r="T73" s="103" t="n">
        <v>40</v>
      </c>
      <c r="U73" s="103" t="s">
        <v>177</v>
      </c>
      <c r="V73" s="103" t="n">
        <v>500</v>
      </c>
      <c r="W73" s="103" t="n">
        <f aca="false">DATA_PIPELINE!$K73</f>
        <v>0</v>
      </c>
      <c r="X73" s="103" t="n">
        <f aca="false">DATA_PIPELINE!$V73-DATA_PIPELINE!$W73</f>
        <v>500</v>
      </c>
      <c r="Y73" s="103" t="str">
        <f aca="false">IF(DATA_PIPELINE!$X73=0,"Paid",IF(DATA_PIPELINE!$W73=0,"Unpaid","Partly Paid"))</f>
        <v>Unpaid</v>
      </c>
    </row>
    <row r="74" customFormat="false" ht="15" hidden="false" customHeight="true" outlineLevel="0" collapsed="false">
      <c r="A74" s="103" t="n">
        <v>69</v>
      </c>
      <c r="B74" s="103" t="s">
        <v>378</v>
      </c>
      <c r="C74" s="103" t="s">
        <v>379</v>
      </c>
      <c r="D74" s="107" t="s">
        <v>364</v>
      </c>
      <c r="E74" s="103" t="s">
        <v>380</v>
      </c>
      <c r="F74" s="103" t="n">
        <v>774838715</v>
      </c>
      <c r="G74" s="103" t="s">
        <v>374</v>
      </c>
      <c r="H74" s="103" t="s">
        <v>367</v>
      </c>
      <c r="I74" s="103"/>
      <c r="J74" s="103" t="s">
        <v>175</v>
      </c>
      <c r="K74" s="103" t="n">
        <v>0</v>
      </c>
      <c r="L74" s="103" t="n">
        <v>0</v>
      </c>
      <c r="M74" s="103" t="n">
        <v>0</v>
      </c>
      <c r="N74" s="103" t="n">
        <v>50</v>
      </c>
      <c r="O74" s="103" t="n">
        <v>11485.88</v>
      </c>
      <c r="P74" s="103" t="n">
        <v>0</v>
      </c>
      <c r="Q74" s="103" t="n">
        <v>0</v>
      </c>
      <c r="R74" s="103" t="n">
        <v>11485.88</v>
      </c>
      <c r="S74" s="103" t="s">
        <v>176</v>
      </c>
      <c r="T74" s="103" t="n">
        <v>50</v>
      </c>
      <c r="U74" s="103" t="s">
        <v>177</v>
      </c>
      <c r="V74" s="103" t="n">
        <v>500</v>
      </c>
      <c r="W74" s="103" t="n">
        <f aca="false">DATA_PIPELINE!$K74</f>
        <v>0</v>
      </c>
      <c r="X74" s="103" t="n">
        <f aca="false">DATA_PIPELINE!$V74-DATA_PIPELINE!$W74</f>
        <v>500</v>
      </c>
      <c r="Y74" s="103" t="str">
        <f aca="false">IF(DATA_PIPELINE!$X74=0,"Paid",IF(DATA_PIPELINE!$W74=0,"Unpaid","Partly Paid"))</f>
        <v>Unpaid</v>
      </c>
    </row>
    <row r="75" customFormat="false" ht="15" hidden="false" customHeight="true" outlineLevel="0" collapsed="false">
      <c r="A75" s="103" t="n">
        <v>70</v>
      </c>
      <c r="B75" s="103" t="s">
        <v>381</v>
      </c>
      <c r="C75" s="103" t="s">
        <v>382</v>
      </c>
      <c r="D75" s="107" t="s">
        <v>364</v>
      </c>
      <c r="E75" s="103" t="s">
        <v>383</v>
      </c>
      <c r="F75" s="103" t="n">
        <v>788360239</v>
      </c>
      <c r="G75" s="103" t="s">
        <v>384</v>
      </c>
      <c r="H75" s="103" t="s">
        <v>367</v>
      </c>
      <c r="I75" s="103"/>
      <c r="J75" s="103" t="s">
        <v>175</v>
      </c>
      <c r="K75" s="103" t="n">
        <v>1000</v>
      </c>
      <c r="L75" s="103" t="n">
        <v>0</v>
      </c>
      <c r="M75" s="103" t="n">
        <v>0</v>
      </c>
      <c r="N75" s="103" t="n">
        <v>600</v>
      </c>
      <c r="O75" s="103" t="n">
        <v>173036.14</v>
      </c>
      <c r="P75" s="103" t="n">
        <v>0</v>
      </c>
      <c r="Q75" s="103" t="n">
        <v>0</v>
      </c>
      <c r="R75" s="103" t="n">
        <v>173036.14</v>
      </c>
      <c r="S75" s="103" t="s">
        <v>176</v>
      </c>
      <c r="T75" s="103" t="n">
        <v>600</v>
      </c>
      <c r="U75" s="103" t="s">
        <v>247</v>
      </c>
      <c r="V75" s="103" t="n">
        <v>1000</v>
      </c>
      <c r="W75" s="103" t="n">
        <f aca="false">DATA_PIPELINE!$K75</f>
        <v>1000</v>
      </c>
      <c r="X75" s="103" t="n">
        <f aca="false">DATA_PIPELINE!$V75-DATA_PIPELINE!$W75</f>
        <v>0</v>
      </c>
      <c r="Y75" s="103" t="str">
        <f aca="false">IF(DATA_PIPELINE!$X75=0,"Paid",IF(DATA_PIPELINE!$W75=0,"Unpaid","Partly Paid"))</f>
        <v>Paid</v>
      </c>
    </row>
    <row r="76" customFormat="false" ht="15" hidden="false" customHeight="true" outlineLevel="0" collapsed="false">
      <c r="A76" s="103" t="n">
        <v>71</v>
      </c>
      <c r="B76" s="103" t="s">
        <v>385</v>
      </c>
      <c r="C76" s="103" t="s">
        <v>386</v>
      </c>
      <c r="D76" s="107" t="s">
        <v>364</v>
      </c>
      <c r="E76" s="103" t="s">
        <v>387</v>
      </c>
      <c r="F76" s="103" t="n">
        <v>773270080</v>
      </c>
      <c r="G76" s="103" t="s">
        <v>384</v>
      </c>
      <c r="H76" s="103" t="s">
        <v>367</v>
      </c>
      <c r="I76" s="103"/>
      <c r="J76" s="103" t="s">
        <v>175</v>
      </c>
      <c r="K76" s="103" t="n">
        <v>500</v>
      </c>
      <c r="L76" s="103" t="n">
        <v>0</v>
      </c>
      <c r="M76" s="103" t="n">
        <v>0</v>
      </c>
      <c r="N76" s="103" t="n">
        <v>100</v>
      </c>
      <c r="O76" s="103" t="n">
        <v>11922.2</v>
      </c>
      <c r="P76" s="103" t="n">
        <v>19.64</v>
      </c>
      <c r="Q76" s="103" t="n">
        <v>7163.69</v>
      </c>
      <c r="R76" s="103" t="n">
        <v>4758.51</v>
      </c>
      <c r="S76" s="103" t="n">
        <v>60.09</v>
      </c>
      <c r="T76" s="103" t="n">
        <v>100</v>
      </c>
      <c r="U76" s="103" t="s">
        <v>177</v>
      </c>
      <c r="V76" s="103" t="n">
        <v>500</v>
      </c>
      <c r="W76" s="103" t="n">
        <f aca="false">DATA_PIPELINE!$K76</f>
        <v>500</v>
      </c>
      <c r="X76" s="103" t="n">
        <f aca="false">DATA_PIPELINE!$V76-DATA_PIPELINE!$W76</f>
        <v>0</v>
      </c>
      <c r="Y76" s="103" t="str">
        <f aca="false">IF(DATA_PIPELINE!$X76=0,"Paid",IF(DATA_PIPELINE!$W76=0,"Unpaid","Partly Paid"))</f>
        <v>Paid</v>
      </c>
    </row>
    <row r="77" customFormat="false" ht="15" hidden="false" customHeight="true" outlineLevel="0" collapsed="false">
      <c r="A77" s="103" t="n">
        <v>72</v>
      </c>
      <c r="B77" s="103" t="s">
        <v>388</v>
      </c>
      <c r="C77" s="103" t="s">
        <v>389</v>
      </c>
      <c r="D77" s="107" t="s">
        <v>364</v>
      </c>
      <c r="E77" s="103" t="s">
        <v>390</v>
      </c>
      <c r="F77" s="103" t="n">
        <v>775222627</v>
      </c>
      <c r="G77" s="103" t="s">
        <v>391</v>
      </c>
      <c r="H77" s="103" t="s">
        <v>367</v>
      </c>
      <c r="I77" s="103"/>
      <c r="J77" s="103" t="s">
        <v>175</v>
      </c>
      <c r="K77" s="103" t="n">
        <v>0</v>
      </c>
      <c r="L77" s="103" t="n">
        <v>0</v>
      </c>
      <c r="M77" s="103" t="n">
        <v>0</v>
      </c>
      <c r="N77" s="103" t="n">
        <v>50</v>
      </c>
      <c r="O77" s="103" t="n">
        <v>11654.07</v>
      </c>
      <c r="P77" s="103" t="n">
        <v>0</v>
      </c>
      <c r="Q77" s="103" t="n">
        <v>0</v>
      </c>
      <c r="R77" s="103" t="n">
        <v>11654.07</v>
      </c>
      <c r="S77" s="103" t="s">
        <v>176</v>
      </c>
      <c r="T77" s="103" t="n">
        <v>50</v>
      </c>
      <c r="U77" s="103" t="s">
        <v>177</v>
      </c>
      <c r="V77" s="103" t="n">
        <v>500</v>
      </c>
      <c r="W77" s="103" t="n">
        <f aca="false">DATA_PIPELINE!$K77</f>
        <v>0</v>
      </c>
      <c r="X77" s="103" t="n">
        <f aca="false">DATA_PIPELINE!$V77-DATA_PIPELINE!$W77</f>
        <v>500</v>
      </c>
      <c r="Y77" s="103" t="str">
        <f aca="false">IF(DATA_PIPELINE!$X77=0,"Paid",IF(DATA_PIPELINE!$W77=0,"Unpaid","Partly Paid"))</f>
        <v>Unpaid</v>
      </c>
    </row>
    <row r="78" customFormat="false" ht="15" hidden="false" customHeight="true" outlineLevel="0" collapsed="false">
      <c r="A78" s="103" t="n">
        <v>73</v>
      </c>
      <c r="B78" s="103" t="s">
        <v>392</v>
      </c>
      <c r="C78" s="103" t="s">
        <v>170</v>
      </c>
      <c r="D78" s="107" t="s">
        <v>364</v>
      </c>
      <c r="E78" s="103" t="s">
        <v>393</v>
      </c>
      <c r="F78" s="103"/>
      <c r="G78" s="103" t="s">
        <v>394</v>
      </c>
      <c r="H78" s="103" t="s">
        <v>367</v>
      </c>
      <c r="I78" s="103"/>
      <c r="J78" s="103" t="s">
        <v>175</v>
      </c>
      <c r="K78" s="103" t="n">
        <v>0</v>
      </c>
      <c r="L78" s="103" t="n">
        <v>0</v>
      </c>
      <c r="M78" s="103" t="n">
        <v>0</v>
      </c>
      <c r="N78" s="103" t="n">
        <v>20</v>
      </c>
      <c r="O78" s="103" t="n">
        <v>3799.67</v>
      </c>
      <c r="P78" s="103" t="n">
        <v>0</v>
      </c>
      <c r="Q78" s="103" t="n">
        <v>0</v>
      </c>
      <c r="R78" s="103" t="n">
        <v>3799.67</v>
      </c>
      <c r="S78" s="103" t="s">
        <v>176</v>
      </c>
      <c r="T78" s="103" t="n">
        <v>20</v>
      </c>
      <c r="U78" s="103" t="s">
        <v>177</v>
      </c>
      <c r="V78" s="103" t="n">
        <v>500</v>
      </c>
      <c r="W78" s="103" t="n">
        <f aca="false">DATA_PIPELINE!$K78</f>
        <v>0</v>
      </c>
      <c r="X78" s="103" t="n">
        <f aca="false">DATA_PIPELINE!$V78-DATA_PIPELINE!$W78</f>
        <v>500</v>
      </c>
      <c r="Y78" s="103" t="str">
        <f aca="false">IF(DATA_PIPELINE!$X78=0,"Paid",IF(DATA_PIPELINE!$W78=0,"Unpaid","Partly Paid"))</f>
        <v>Unpaid</v>
      </c>
    </row>
    <row r="79" customFormat="false" ht="15" hidden="false" customHeight="true" outlineLevel="0" collapsed="false">
      <c r="A79" s="103" t="n">
        <v>74</v>
      </c>
      <c r="B79" s="103" t="s">
        <v>395</v>
      </c>
      <c r="C79" s="103" t="s">
        <v>396</v>
      </c>
      <c r="D79" s="107" t="s">
        <v>364</v>
      </c>
      <c r="E79" s="103" t="s">
        <v>397</v>
      </c>
      <c r="F79" s="103" t="n">
        <v>772762241</v>
      </c>
      <c r="G79" s="103" t="s">
        <v>398</v>
      </c>
      <c r="H79" s="103" t="s">
        <v>367</v>
      </c>
      <c r="I79" s="103"/>
      <c r="J79" s="103" t="s">
        <v>175</v>
      </c>
      <c r="K79" s="103" t="n">
        <v>0</v>
      </c>
      <c r="L79" s="103" t="n">
        <v>0</v>
      </c>
      <c r="M79" s="103" t="n">
        <v>0</v>
      </c>
      <c r="N79" s="103" t="n">
        <v>100</v>
      </c>
      <c r="O79" s="103" t="n">
        <v>4466.28</v>
      </c>
      <c r="P79" s="103" t="n">
        <v>0</v>
      </c>
      <c r="Q79" s="103" t="n">
        <v>0</v>
      </c>
      <c r="R79" s="103" t="n">
        <v>4466.28</v>
      </c>
      <c r="S79" s="103" t="s">
        <v>176</v>
      </c>
      <c r="T79" s="103" t="n">
        <v>100</v>
      </c>
      <c r="U79" s="103" t="s">
        <v>177</v>
      </c>
      <c r="V79" s="103" t="n">
        <v>500</v>
      </c>
      <c r="W79" s="103" t="n">
        <f aca="false">DATA_PIPELINE!$K79</f>
        <v>0</v>
      </c>
      <c r="X79" s="103" t="n">
        <f aca="false">DATA_PIPELINE!$V79-DATA_PIPELINE!$W79</f>
        <v>500</v>
      </c>
      <c r="Y79" s="103" t="str">
        <f aca="false">IF(DATA_PIPELINE!$X79=0,"Paid",IF(DATA_PIPELINE!$W79=0,"Unpaid","Partly Paid"))</f>
        <v>Unpaid</v>
      </c>
    </row>
    <row r="80" customFormat="false" ht="15" hidden="false" customHeight="true" outlineLevel="0" collapsed="false">
      <c r="A80" s="103" t="n">
        <v>75</v>
      </c>
      <c r="B80" s="103" t="s">
        <v>399</v>
      </c>
      <c r="C80" s="103" t="s">
        <v>170</v>
      </c>
      <c r="D80" s="107" t="s">
        <v>364</v>
      </c>
      <c r="E80" s="103" t="s">
        <v>400</v>
      </c>
      <c r="F80" s="103"/>
      <c r="G80" s="103" t="s">
        <v>401</v>
      </c>
      <c r="H80" s="103" t="s">
        <v>367</v>
      </c>
      <c r="I80" s="103"/>
      <c r="J80" s="103" t="s">
        <v>175</v>
      </c>
      <c r="K80" s="103" t="n">
        <v>0</v>
      </c>
      <c r="L80" s="103" t="n">
        <v>0</v>
      </c>
      <c r="M80" s="103" t="n">
        <v>0</v>
      </c>
      <c r="N80" s="103" t="n">
        <v>40</v>
      </c>
      <c r="O80" s="103" t="n">
        <v>4167.02</v>
      </c>
      <c r="P80" s="103" t="n">
        <v>0</v>
      </c>
      <c r="Q80" s="103" t="n">
        <v>0</v>
      </c>
      <c r="R80" s="103" t="n">
        <v>4167.02</v>
      </c>
      <c r="S80" s="103" t="s">
        <v>176</v>
      </c>
      <c r="T80" s="103" t="n">
        <v>40</v>
      </c>
      <c r="U80" s="103" t="s">
        <v>177</v>
      </c>
      <c r="V80" s="103" t="n">
        <v>500</v>
      </c>
      <c r="W80" s="103" t="n">
        <f aca="false">DATA_PIPELINE!$K80</f>
        <v>0</v>
      </c>
      <c r="X80" s="103" t="n">
        <f aca="false">DATA_PIPELINE!$V80-DATA_PIPELINE!$W80</f>
        <v>500</v>
      </c>
      <c r="Y80" s="103" t="str">
        <f aca="false">IF(DATA_PIPELINE!$X80=0,"Paid",IF(DATA_PIPELINE!$W80=0,"Unpaid","Partly Paid"))</f>
        <v>Unpaid</v>
      </c>
    </row>
    <row r="81" customFormat="false" ht="15" hidden="false" customHeight="true" outlineLevel="0" collapsed="false">
      <c r="A81" s="103" t="n">
        <v>76</v>
      </c>
      <c r="B81" s="103" t="s">
        <v>402</v>
      </c>
      <c r="C81" s="103" t="s">
        <v>403</v>
      </c>
      <c r="D81" s="107" t="s">
        <v>364</v>
      </c>
      <c r="E81" s="103" t="s">
        <v>404</v>
      </c>
      <c r="F81" s="103" t="n">
        <v>782009397</v>
      </c>
      <c r="G81" s="103" t="s">
        <v>374</v>
      </c>
      <c r="H81" s="103" t="s">
        <v>367</v>
      </c>
      <c r="I81" s="103"/>
      <c r="J81" s="103" t="s">
        <v>175</v>
      </c>
      <c r="K81" s="103" t="n">
        <v>0</v>
      </c>
      <c r="L81" s="103" t="n">
        <v>0</v>
      </c>
      <c r="M81" s="103" t="n">
        <v>0</v>
      </c>
      <c r="N81" s="103" t="n">
        <v>40</v>
      </c>
      <c r="O81" s="103" t="n">
        <v>3727.25</v>
      </c>
      <c r="P81" s="103" t="n">
        <v>0</v>
      </c>
      <c r="Q81" s="103" t="n">
        <v>0</v>
      </c>
      <c r="R81" s="103" t="n">
        <v>3727.25</v>
      </c>
      <c r="S81" s="103" t="s">
        <v>176</v>
      </c>
      <c r="T81" s="103" t="n">
        <v>40</v>
      </c>
      <c r="U81" s="103" t="s">
        <v>177</v>
      </c>
      <c r="V81" s="103" t="n">
        <v>500</v>
      </c>
      <c r="W81" s="103" t="n">
        <f aca="false">DATA_PIPELINE!$K81</f>
        <v>0</v>
      </c>
      <c r="X81" s="103" t="n">
        <f aca="false">DATA_PIPELINE!$V81-DATA_PIPELINE!$W81</f>
        <v>500</v>
      </c>
      <c r="Y81" s="103" t="str">
        <f aca="false">IF(DATA_PIPELINE!$X81=0,"Paid",IF(DATA_PIPELINE!$W81=0,"Unpaid","Partly Paid"))</f>
        <v>Unpaid</v>
      </c>
    </row>
    <row r="82" customFormat="false" ht="15" hidden="false" customHeight="true" outlineLevel="0" collapsed="false">
      <c r="A82" s="103" t="n">
        <v>77</v>
      </c>
      <c r="B82" s="103" t="s">
        <v>405</v>
      </c>
      <c r="C82" s="103" t="s">
        <v>406</v>
      </c>
      <c r="D82" s="107" t="s">
        <v>364</v>
      </c>
      <c r="E82" s="103" t="s">
        <v>407</v>
      </c>
      <c r="F82" s="103" t="n">
        <v>772370590</v>
      </c>
      <c r="G82" s="103" t="s">
        <v>408</v>
      </c>
      <c r="H82" s="103" t="s">
        <v>367</v>
      </c>
      <c r="I82" s="103"/>
      <c r="J82" s="103" t="s">
        <v>175</v>
      </c>
      <c r="K82" s="103" t="n">
        <v>0</v>
      </c>
      <c r="L82" s="103" t="n">
        <v>0</v>
      </c>
      <c r="M82" s="103" t="n">
        <v>0</v>
      </c>
      <c r="N82" s="103" t="n">
        <v>40</v>
      </c>
      <c r="O82" s="103" t="n">
        <v>2285.67</v>
      </c>
      <c r="P82" s="103" t="n">
        <v>0</v>
      </c>
      <c r="Q82" s="103" t="n">
        <v>0</v>
      </c>
      <c r="R82" s="103" t="n">
        <v>2285.67</v>
      </c>
      <c r="S82" s="103" t="s">
        <v>176</v>
      </c>
      <c r="T82" s="103" t="n">
        <v>40</v>
      </c>
      <c r="U82" s="103" t="s">
        <v>177</v>
      </c>
      <c r="V82" s="103" t="n">
        <v>500</v>
      </c>
      <c r="W82" s="103" t="n">
        <f aca="false">DATA_PIPELINE!$K82</f>
        <v>0</v>
      </c>
      <c r="X82" s="103" t="n">
        <f aca="false">DATA_PIPELINE!$V82-DATA_PIPELINE!$W82</f>
        <v>500</v>
      </c>
      <c r="Y82" s="103" t="str">
        <f aca="false">IF(DATA_PIPELINE!$X82=0,"Paid",IF(DATA_PIPELINE!$W82=0,"Unpaid","Partly Paid"))</f>
        <v>Unpaid</v>
      </c>
    </row>
    <row r="83" customFormat="false" ht="15" hidden="false" customHeight="true" outlineLevel="0" collapsed="false">
      <c r="A83" s="103" t="n">
        <v>78</v>
      </c>
      <c r="B83" s="103" t="s">
        <v>409</v>
      </c>
      <c r="C83" s="103" t="s">
        <v>410</v>
      </c>
      <c r="D83" s="107" t="s">
        <v>364</v>
      </c>
      <c r="E83" s="103" t="s">
        <v>411</v>
      </c>
      <c r="F83" s="103" t="n">
        <v>774735015</v>
      </c>
      <c r="G83" s="103" t="s">
        <v>398</v>
      </c>
      <c r="H83" s="103" t="s">
        <v>367</v>
      </c>
      <c r="I83" s="103"/>
      <c r="J83" s="103" t="s">
        <v>175</v>
      </c>
      <c r="K83" s="103" t="n">
        <v>0</v>
      </c>
      <c r="L83" s="103" t="n">
        <v>0</v>
      </c>
      <c r="M83" s="103" t="n">
        <v>0</v>
      </c>
      <c r="N83" s="103" t="n">
        <v>40</v>
      </c>
      <c r="O83" s="103" t="n">
        <v>2703.64</v>
      </c>
      <c r="P83" s="103" t="n">
        <v>0</v>
      </c>
      <c r="Q83" s="103" t="n">
        <v>0</v>
      </c>
      <c r="R83" s="103" t="n">
        <v>2703.64</v>
      </c>
      <c r="S83" s="103" t="s">
        <v>176</v>
      </c>
      <c r="T83" s="103" t="n">
        <v>40</v>
      </c>
      <c r="U83" s="103" t="s">
        <v>177</v>
      </c>
      <c r="V83" s="103" t="n">
        <v>500</v>
      </c>
      <c r="W83" s="103" t="n">
        <f aca="false">DATA_PIPELINE!$K83</f>
        <v>0</v>
      </c>
      <c r="X83" s="103" t="n">
        <f aca="false">DATA_PIPELINE!$V83-DATA_PIPELINE!$W83</f>
        <v>500</v>
      </c>
      <c r="Y83" s="103" t="str">
        <f aca="false">IF(DATA_PIPELINE!$X83=0,"Paid",IF(DATA_PIPELINE!$W83=0,"Unpaid","Partly Paid"))</f>
        <v>Unpaid</v>
      </c>
    </row>
    <row r="84" customFormat="false" ht="15" hidden="false" customHeight="true" outlineLevel="0" collapsed="false">
      <c r="A84" s="103" t="n">
        <v>79</v>
      </c>
      <c r="B84" s="103" t="s">
        <v>412</v>
      </c>
      <c r="C84" s="103" t="s">
        <v>170</v>
      </c>
      <c r="D84" s="107" t="s">
        <v>364</v>
      </c>
      <c r="E84" s="103" t="s">
        <v>413</v>
      </c>
      <c r="F84" s="103"/>
      <c r="G84" s="103" t="s">
        <v>398</v>
      </c>
      <c r="H84" s="103" t="s">
        <v>367</v>
      </c>
      <c r="I84" s="103"/>
      <c r="J84" s="103" t="s">
        <v>175</v>
      </c>
      <c r="K84" s="103" t="n">
        <v>0</v>
      </c>
      <c r="L84" s="103" t="n">
        <v>0</v>
      </c>
      <c r="M84" s="103" t="n">
        <v>0</v>
      </c>
      <c r="N84" s="103" t="n">
        <v>40</v>
      </c>
      <c r="O84" s="103" t="n">
        <v>5798.01</v>
      </c>
      <c r="P84" s="103" t="n">
        <v>0</v>
      </c>
      <c r="Q84" s="103" t="n">
        <v>0</v>
      </c>
      <c r="R84" s="103" t="n">
        <v>5798.01</v>
      </c>
      <c r="S84" s="103" t="s">
        <v>176</v>
      </c>
      <c r="T84" s="103" t="n">
        <v>40</v>
      </c>
      <c r="U84" s="103" t="s">
        <v>177</v>
      </c>
      <c r="V84" s="103" t="n">
        <v>500</v>
      </c>
      <c r="W84" s="103" t="n">
        <f aca="false">DATA_PIPELINE!$K84</f>
        <v>0</v>
      </c>
      <c r="X84" s="103" t="n">
        <f aca="false">DATA_PIPELINE!$V84-DATA_PIPELINE!$W84</f>
        <v>500</v>
      </c>
      <c r="Y84" s="103" t="str">
        <f aca="false">IF(DATA_PIPELINE!$X84=0,"Paid",IF(DATA_PIPELINE!$W84=0,"Unpaid","Partly Paid"))</f>
        <v>Unpaid</v>
      </c>
    </row>
    <row r="85" customFormat="false" ht="15" hidden="false" customHeight="true" outlineLevel="0" collapsed="false">
      <c r="A85" s="103" t="n">
        <v>80</v>
      </c>
      <c r="B85" s="103" t="s">
        <v>414</v>
      </c>
      <c r="C85" s="103" t="s">
        <v>415</v>
      </c>
      <c r="D85" s="107" t="s">
        <v>358</v>
      </c>
      <c r="E85" s="103" t="s">
        <v>416</v>
      </c>
      <c r="F85" s="103" t="n">
        <v>719119461</v>
      </c>
      <c r="G85" s="103" t="s">
        <v>417</v>
      </c>
      <c r="H85" s="103" t="s">
        <v>174</v>
      </c>
      <c r="I85" s="103"/>
      <c r="J85" s="103" t="s">
        <v>175</v>
      </c>
      <c r="K85" s="103" t="n">
        <v>0</v>
      </c>
      <c r="L85" s="103" t="n">
        <v>0</v>
      </c>
      <c r="M85" s="103" t="n">
        <v>0</v>
      </c>
      <c r="N85" s="103" t="n">
        <v>20</v>
      </c>
      <c r="O85" s="103" t="n">
        <v>7128.8</v>
      </c>
      <c r="P85" s="103" t="n">
        <v>0</v>
      </c>
      <c r="Q85" s="103" t="n">
        <v>0</v>
      </c>
      <c r="R85" s="103" t="n">
        <v>7128.8</v>
      </c>
      <c r="S85" s="103" t="s">
        <v>176</v>
      </c>
      <c r="T85" s="103" t="n">
        <v>80</v>
      </c>
      <c r="U85" s="103" t="s">
        <v>177</v>
      </c>
      <c r="V85" s="103" t="n">
        <v>500</v>
      </c>
      <c r="W85" s="103" t="n">
        <f aca="false">DATA_PIPELINE!$K85</f>
        <v>0</v>
      </c>
      <c r="X85" s="103" t="n">
        <f aca="false">DATA_PIPELINE!$V85-DATA_PIPELINE!$W85</f>
        <v>500</v>
      </c>
      <c r="Y85" s="103" t="str">
        <f aca="false">IF(DATA_PIPELINE!$X85=0,"Paid",IF(DATA_PIPELINE!$W85=0,"Unpaid","Partly Paid"))</f>
        <v>Unpaid</v>
      </c>
    </row>
    <row r="86" customFormat="false" ht="15" hidden="false" customHeight="true" outlineLevel="0" collapsed="false">
      <c r="A86" s="103" t="n">
        <v>81</v>
      </c>
      <c r="B86" s="103" t="s">
        <v>418</v>
      </c>
      <c r="C86" s="103" t="s">
        <v>419</v>
      </c>
      <c r="D86" s="107" t="s">
        <v>420</v>
      </c>
      <c r="E86" s="103" t="s">
        <v>421</v>
      </c>
      <c r="F86" s="103" t="n">
        <v>771008716</v>
      </c>
      <c r="G86" s="103" t="s">
        <v>417</v>
      </c>
      <c r="H86" s="103" t="s">
        <v>174</v>
      </c>
      <c r="I86" s="103"/>
      <c r="J86" s="103" t="s">
        <v>175</v>
      </c>
      <c r="K86" s="103" t="n">
        <v>0</v>
      </c>
      <c r="L86" s="103" t="n">
        <v>0</v>
      </c>
      <c r="M86" s="103" t="n">
        <v>0</v>
      </c>
      <c r="N86" s="103" t="n">
        <v>10</v>
      </c>
      <c r="O86" s="103" t="n">
        <v>2381.6</v>
      </c>
      <c r="P86" s="103" t="n">
        <v>0</v>
      </c>
      <c r="Q86" s="103" t="n">
        <v>0</v>
      </c>
      <c r="R86" s="103" t="n">
        <v>2381.6</v>
      </c>
      <c r="S86" s="103" t="s">
        <v>176</v>
      </c>
      <c r="T86" s="103" t="n">
        <v>10</v>
      </c>
      <c r="U86" s="103" t="s">
        <v>177</v>
      </c>
      <c r="V86" s="103" t="n">
        <v>500</v>
      </c>
      <c r="W86" s="103" t="n">
        <f aca="false">DATA_PIPELINE!$K86</f>
        <v>0</v>
      </c>
      <c r="X86" s="103" t="n">
        <f aca="false">DATA_PIPELINE!$V86-DATA_PIPELINE!$W86</f>
        <v>500</v>
      </c>
      <c r="Y86" s="103" t="str">
        <f aca="false">IF(DATA_PIPELINE!$X86=0,"Paid",IF(DATA_PIPELINE!$W86=0,"Unpaid","Partly Paid"))</f>
        <v>Unpaid</v>
      </c>
    </row>
    <row r="87" customFormat="false" ht="15" hidden="false" customHeight="true" outlineLevel="0" collapsed="false">
      <c r="A87" s="103" t="n">
        <v>82</v>
      </c>
      <c r="B87" s="103" t="s">
        <v>422</v>
      </c>
      <c r="C87" s="103" t="s">
        <v>170</v>
      </c>
      <c r="D87" s="103" t="s">
        <v>420</v>
      </c>
      <c r="E87" s="103" t="s">
        <v>423</v>
      </c>
      <c r="F87" s="103"/>
      <c r="G87" s="103" t="s">
        <v>417</v>
      </c>
      <c r="H87" s="103" t="s">
        <v>174</v>
      </c>
      <c r="I87" s="103"/>
      <c r="J87" s="103" t="s">
        <v>175</v>
      </c>
      <c r="K87" s="103" t="n">
        <v>0</v>
      </c>
      <c r="L87" s="103" t="n">
        <v>0</v>
      </c>
      <c r="M87" s="103" t="n">
        <v>0</v>
      </c>
      <c r="N87" s="103" t="n">
        <v>20</v>
      </c>
      <c r="O87" s="103" t="n">
        <v>5540.49</v>
      </c>
      <c r="P87" s="103" t="n">
        <v>0</v>
      </c>
      <c r="Q87" s="103" t="n">
        <v>0</v>
      </c>
      <c r="R87" s="103" t="n">
        <v>5540.49</v>
      </c>
      <c r="S87" s="103" t="s">
        <v>176</v>
      </c>
      <c r="T87" s="103" t="n">
        <v>20</v>
      </c>
      <c r="U87" s="103" t="s">
        <v>177</v>
      </c>
      <c r="V87" s="103" t="n">
        <v>500</v>
      </c>
      <c r="W87" s="103" t="n">
        <f aca="false">DATA_PIPELINE!$K87</f>
        <v>0</v>
      </c>
      <c r="X87" s="103" t="n">
        <f aca="false">DATA_PIPELINE!$V87-DATA_PIPELINE!$W87</f>
        <v>500</v>
      </c>
      <c r="Y87" s="103" t="str">
        <f aca="false">IF(DATA_PIPELINE!$X87=0,"Paid",IF(DATA_PIPELINE!$W87=0,"Unpaid","Partly Paid"))</f>
        <v>Unpaid</v>
      </c>
    </row>
    <row r="88" customFormat="false" ht="15" hidden="false" customHeight="true" outlineLevel="0" collapsed="false">
      <c r="A88" s="103" t="n">
        <v>83</v>
      </c>
      <c r="B88" s="103" t="s">
        <v>424</v>
      </c>
      <c r="C88" s="103" t="s">
        <v>170</v>
      </c>
      <c r="D88" s="103" t="s">
        <v>420</v>
      </c>
      <c r="E88" s="103" t="s">
        <v>425</v>
      </c>
      <c r="F88" s="103"/>
      <c r="G88" s="103" t="s">
        <v>417</v>
      </c>
      <c r="H88" s="103" t="s">
        <v>174</v>
      </c>
      <c r="I88" s="103"/>
      <c r="J88" s="103" t="s">
        <v>175</v>
      </c>
      <c r="K88" s="103" t="n">
        <v>0</v>
      </c>
      <c r="L88" s="103" t="n">
        <v>0</v>
      </c>
      <c r="M88" s="103" t="n">
        <v>0</v>
      </c>
      <c r="N88" s="103" t="n">
        <v>0</v>
      </c>
      <c r="O88" s="103" t="n">
        <v>4778.11</v>
      </c>
      <c r="P88" s="103" t="n">
        <v>0</v>
      </c>
      <c r="Q88" s="103" t="n">
        <v>0</v>
      </c>
      <c r="R88" s="103" t="n">
        <v>4778.11</v>
      </c>
      <c r="S88" s="103" t="s">
        <v>176</v>
      </c>
      <c r="T88" s="103" t="n">
        <v>0</v>
      </c>
      <c r="U88" s="103" t="s">
        <v>177</v>
      </c>
      <c r="V88" s="103" t="n">
        <v>500</v>
      </c>
      <c r="W88" s="103" t="n">
        <f aca="false">DATA_PIPELINE!$K88</f>
        <v>0</v>
      </c>
      <c r="X88" s="103" t="n">
        <f aca="false">DATA_PIPELINE!$V88-DATA_PIPELINE!$W88</f>
        <v>500</v>
      </c>
      <c r="Y88" s="103" t="str">
        <f aca="false">IF(DATA_PIPELINE!$X88=0,"Paid",IF(DATA_PIPELINE!$W88=0,"Unpaid","Partly Paid"))</f>
        <v>Unpaid</v>
      </c>
    </row>
    <row r="89" customFormat="false" ht="15" hidden="false" customHeight="true" outlineLevel="0" collapsed="false">
      <c r="A89" s="103" t="n">
        <v>84</v>
      </c>
      <c r="B89" s="103" t="s">
        <v>426</v>
      </c>
      <c r="C89" s="103" t="s">
        <v>170</v>
      </c>
      <c r="D89" s="103" t="s">
        <v>420</v>
      </c>
      <c r="E89" s="103" t="s">
        <v>427</v>
      </c>
      <c r="F89" s="103"/>
      <c r="G89" s="103" t="s">
        <v>417</v>
      </c>
      <c r="H89" s="103" t="s">
        <v>174</v>
      </c>
      <c r="I89" s="103"/>
      <c r="J89" s="103" t="s">
        <v>175</v>
      </c>
      <c r="K89" s="103" t="n">
        <v>0</v>
      </c>
      <c r="L89" s="103" t="n">
        <v>0</v>
      </c>
      <c r="M89" s="103" t="n">
        <v>0</v>
      </c>
      <c r="N89" s="103" t="n">
        <v>0</v>
      </c>
      <c r="O89" s="103" t="n">
        <v>5766.34</v>
      </c>
      <c r="P89" s="103" t="n">
        <v>0</v>
      </c>
      <c r="Q89" s="103" t="n">
        <v>0</v>
      </c>
      <c r="R89" s="103" t="n">
        <v>5766.34</v>
      </c>
      <c r="S89" s="103" t="s">
        <v>176</v>
      </c>
      <c r="T89" s="103" t="n">
        <v>0</v>
      </c>
      <c r="U89" s="103" t="s">
        <v>177</v>
      </c>
      <c r="V89" s="103" t="n">
        <v>500</v>
      </c>
      <c r="W89" s="103" t="n">
        <f aca="false">DATA_PIPELINE!$K89</f>
        <v>0</v>
      </c>
      <c r="X89" s="103" t="n">
        <f aca="false">DATA_PIPELINE!$V89-DATA_PIPELINE!$W89</f>
        <v>500</v>
      </c>
      <c r="Y89" s="103" t="str">
        <f aca="false">IF(DATA_PIPELINE!$X89=0,"Paid",IF(DATA_PIPELINE!$W89=0,"Unpaid","Partly Paid"))</f>
        <v>Unpaid</v>
      </c>
    </row>
    <row r="90" customFormat="false" ht="15" hidden="false" customHeight="true" outlineLevel="0" collapsed="false">
      <c r="A90" s="103" t="n">
        <v>85</v>
      </c>
      <c r="B90" s="103" t="s">
        <v>428</v>
      </c>
      <c r="C90" s="103" t="s">
        <v>429</v>
      </c>
      <c r="D90" s="103" t="s">
        <v>420</v>
      </c>
      <c r="E90" s="103" t="s">
        <v>430</v>
      </c>
      <c r="F90" s="103" t="n">
        <v>775696973</v>
      </c>
      <c r="G90" s="103" t="s">
        <v>417</v>
      </c>
      <c r="H90" s="103" t="s">
        <v>174</v>
      </c>
      <c r="I90" s="103"/>
      <c r="J90" s="103" t="s">
        <v>175</v>
      </c>
      <c r="K90" s="103" t="n">
        <v>200</v>
      </c>
      <c r="L90" s="103" t="n">
        <v>300</v>
      </c>
      <c r="M90" s="103" t="n">
        <v>0</v>
      </c>
      <c r="N90" s="103" t="n">
        <v>100</v>
      </c>
      <c r="O90" s="103" t="n">
        <v>12155.47</v>
      </c>
      <c r="P90" s="103" t="n">
        <v>0</v>
      </c>
      <c r="Q90" s="103" t="n">
        <v>0</v>
      </c>
      <c r="R90" s="103" t="n">
        <v>12155.47</v>
      </c>
      <c r="S90" s="103" t="s">
        <v>176</v>
      </c>
      <c r="T90" s="103" t="n">
        <v>100</v>
      </c>
      <c r="U90" s="103" t="s">
        <v>177</v>
      </c>
      <c r="V90" s="103" t="n">
        <v>500</v>
      </c>
      <c r="W90" s="103" t="n">
        <f aca="false">DATA_PIPELINE!$K90</f>
        <v>200</v>
      </c>
      <c r="X90" s="103" t="n">
        <f aca="false">DATA_PIPELINE!$V90-DATA_PIPELINE!$W90</f>
        <v>300</v>
      </c>
      <c r="Y90" s="103" t="str">
        <f aca="false">IF(DATA_PIPELINE!$X90=0,"Paid",IF(DATA_PIPELINE!$W90=0,"Unpaid","Partly Paid"))</f>
        <v>Partly Paid</v>
      </c>
    </row>
    <row r="91" customFormat="false" ht="15" hidden="false" customHeight="true" outlineLevel="0" collapsed="false">
      <c r="A91" s="103" t="n">
        <v>86</v>
      </c>
      <c r="B91" s="103" t="s">
        <v>431</v>
      </c>
      <c r="C91" s="103" t="s">
        <v>432</v>
      </c>
      <c r="D91" s="103" t="s">
        <v>420</v>
      </c>
      <c r="E91" s="103" t="s">
        <v>433</v>
      </c>
      <c r="F91" s="103" t="n">
        <v>772425952</v>
      </c>
      <c r="G91" s="103" t="s">
        <v>417</v>
      </c>
      <c r="H91" s="103" t="s">
        <v>174</v>
      </c>
      <c r="I91" s="103"/>
      <c r="J91" s="103" t="s">
        <v>175</v>
      </c>
      <c r="K91" s="103" t="n">
        <v>1000</v>
      </c>
      <c r="L91" s="103" t="n">
        <v>0</v>
      </c>
      <c r="M91" s="103" t="n">
        <v>800</v>
      </c>
      <c r="N91" s="103" t="n">
        <v>500</v>
      </c>
      <c r="O91" s="103" t="n">
        <v>119757.66</v>
      </c>
      <c r="P91" s="103" t="n">
        <v>0</v>
      </c>
      <c r="Q91" s="103" t="n">
        <v>0</v>
      </c>
      <c r="R91" s="103" t="n">
        <v>119757.66</v>
      </c>
      <c r="S91" s="103" t="s">
        <v>176</v>
      </c>
      <c r="T91" s="103" t="n">
        <v>1300</v>
      </c>
      <c r="U91" s="103" t="s">
        <v>247</v>
      </c>
      <c r="V91" s="103" t="n">
        <v>1000</v>
      </c>
      <c r="W91" s="103" t="n">
        <f aca="false">DATA_PIPELINE!$K91</f>
        <v>1000</v>
      </c>
      <c r="X91" s="103" t="n">
        <f aca="false">DATA_PIPELINE!$V91-DATA_PIPELINE!$W91</f>
        <v>0</v>
      </c>
      <c r="Y91" s="103" t="str">
        <f aca="false">IF(DATA_PIPELINE!$X91=0,"Paid",IF(DATA_PIPELINE!$W91=0,"Unpaid","Partly Paid"))</f>
        <v>Paid</v>
      </c>
    </row>
    <row r="92" customFormat="false" ht="15" hidden="false" customHeight="true" outlineLevel="0" collapsed="false">
      <c r="A92" s="103" t="n">
        <v>87</v>
      </c>
      <c r="B92" s="103" t="s">
        <v>434</v>
      </c>
      <c r="C92" s="103" t="s">
        <v>435</v>
      </c>
      <c r="D92" s="103" t="s">
        <v>420</v>
      </c>
      <c r="E92" s="103" t="s">
        <v>436</v>
      </c>
      <c r="F92" s="103" t="n">
        <v>772333363</v>
      </c>
      <c r="G92" s="103" t="s">
        <v>417</v>
      </c>
      <c r="H92" s="103" t="s">
        <v>174</v>
      </c>
      <c r="I92" s="103"/>
      <c r="J92" s="103" t="s">
        <v>175</v>
      </c>
      <c r="K92" s="103" t="n">
        <v>200</v>
      </c>
      <c r="L92" s="103" t="n">
        <v>300</v>
      </c>
      <c r="M92" s="103" t="n">
        <v>160</v>
      </c>
      <c r="N92" s="103" t="n">
        <v>200</v>
      </c>
      <c r="O92" s="103" t="n">
        <v>68952.23</v>
      </c>
      <c r="P92" s="103" t="n">
        <v>0</v>
      </c>
      <c r="Q92" s="103" t="n">
        <v>0</v>
      </c>
      <c r="R92" s="103" t="n">
        <v>68952.23</v>
      </c>
      <c r="S92" s="103" t="s">
        <v>176</v>
      </c>
      <c r="T92" s="103" t="n">
        <v>360</v>
      </c>
      <c r="U92" s="103" t="s">
        <v>177</v>
      </c>
      <c r="V92" s="103" t="n">
        <v>500</v>
      </c>
      <c r="W92" s="103" t="n">
        <f aca="false">DATA_PIPELINE!$K92</f>
        <v>200</v>
      </c>
      <c r="X92" s="103" t="n">
        <f aca="false">DATA_PIPELINE!$V92-DATA_PIPELINE!$W92</f>
        <v>300</v>
      </c>
      <c r="Y92" s="103" t="str">
        <f aca="false">IF(DATA_PIPELINE!$X92=0,"Paid",IF(DATA_PIPELINE!$W92=0,"Unpaid","Partly Paid"))</f>
        <v>Partly Paid</v>
      </c>
    </row>
    <row r="93" customFormat="false" ht="15" hidden="false" customHeight="true" outlineLevel="0" collapsed="false">
      <c r="A93" s="103" t="n">
        <v>88</v>
      </c>
      <c r="B93" s="103" t="s">
        <v>437</v>
      </c>
      <c r="C93" s="103" t="s">
        <v>438</v>
      </c>
      <c r="D93" s="103" t="s">
        <v>420</v>
      </c>
      <c r="E93" s="103" t="s">
        <v>439</v>
      </c>
      <c r="F93" s="103" t="n">
        <v>774798096</v>
      </c>
      <c r="G93" s="103" t="s">
        <v>417</v>
      </c>
      <c r="H93" s="103" t="s">
        <v>174</v>
      </c>
      <c r="I93" s="103"/>
      <c r="J93" s="103" t="s">
        <v>175</v>
      </c>
      <c r="K93" s="103" t="n">
        <v>0</v>
      </c>
      <c r="L93" s="103" t="n">
        <v>0</v>
      </c>
      <c r="M93" s="103" t="n">
        <v>90</v>
      </c>
      <c r="N93" s="103" t="n">
        <v>200</v>
      </c>
      <c r="O93" s="103" t="n">
        <v>56426.42</v>
      </c>
      <c r="P93" s="103" t="n">
        <v>0</v>
      </c>
      <c r="Q93" s="103" t="n">
        <v>0</v>
      </c>
      <c r="R93" s="103" t="n">
        <v>56426.42</v>
      </c>
      <c r="S93" s="103" t="s">
        <v>176</v>
      </c>
      <c r="T93" s="103" t="n">
        <v>290</v>
      </c>
      <c r="U93" s="103" t="s">
        <v>247</v>
      </c>
      <c r="V93" s="103" t="n">
        <v>1000</v>
      </c>
      <c r="W93" s="103" t="n">
        <f aca="false">DATA_PIPELINE!$K93</f>
        <v>0</v>
      </c>
      <c r="X93" s="103" t="n">
        <f aca="false">DATA_PIPELINE!$V93-DATA_PIPELINE!$W93</f>
        <v>1000</v>
      </c>
      <c r="Y93" s="103" t="str">
        <f aca="false">IF(DATA_PIPELINE!$X93=0,"Paid",IF(DATA_PIPELINE!$W93=0,"Unpaid","Partly Paid"))</f>
        <v>Unpaid</v>
      </c>
    </row>
    <row r="94" customFormat="false" ht="15" hidden="false" customHeight="true" outlineLevel="0" collapsed="false">
      <c r="A94" s="103" t="n">
        <v>89</v>
      </c>
      <c r="B94" s="103" t="s">
        <v>440</v>
      </c>
      <c r="C94" s="103" t="s">
        <v>441</v>
      </c>
      <c r="D94" s="103" t="s">
        <v>420</v>
      </c>
      <c r="E94" s="103" t="s">
        <v>442</v>
      </c>
      <c r="F94" s="103" t="n">
        <v>783438892</v>
      </c>
      <c r="G94" s="103" t="s">
        <v>417</v>
      </c>
      <c r="H94" s="103" t="s">
        <v>174</v>
      </c>
      <c r="I94" s="103"/>
      <c r="J94" s="103" t="s">
        <v>175</v>
      </c>
      <c r="K94" s="103" t="n">
        <v>0</v>
      </c>
      <c r="L94" s="103" t="n">
        <v>0</v>
      </c>
      <c r="M94" s="103" t="n">
        <v>0</v>
      </c>
      <c r="N94" s="103" t="n">
        <v>15</v>
      </c>
      <c r="O94" s="103" t="n">
        <v>2086.41</v>
      </c>
      <c r="P94" s="103" t="n">
        <v>0</v>
      </c>
      <c r="Q94" s="103" t="n">
        <v>0</v>
      </c>
      <c r="R94" s="103" t="n">
        <v>2086.41</v>
      </c>
      <c r="S94" s="103" t="s">
        <v>176</v>
      </c>
      <c r="T94" s="103" t="n">
        <v>15</v>
      </c>
      <c r="U94" s="103" t="s">
        <v>177</v>
      </c>
      <c r="V94" s="103" t="n">
        <v>500</v>
      </c>
      <c r="W94" s="103" t="n">
        <f aca="false">DATA_PIPELINE!$K94</f>
        <v>0</v>
      </c>
      <c r="X94" s="103" t="n">
        <f aca="false">DATA_PIPELINE!$V94-DATA_PIPELINE!$W94</f>
        <v>500</v>
      </c>
      <c r="Y94" s="103" t="str">
        <f aca="false">IF(DATA_PIPELINE!$X94=0,"Paid",IF(DATA_PIPELINE!$W94=0,"Unpaid","Partly Paid"))</f>
        <v>Unpaid</v>
      </c>
    </row>
    <row r="95" customFormat="false" ht="15" hidden="false" customHeight="true" outlineLevel="0" collapsed="false">
      <c r="A95" s="103" t="n">
        <v>90</v>
      </c>
      <c r="B95" s="103" t="s">
        <v>443</v>
      </c>
      <c r="C95" s="103" t="s">
        <v>444</v>
      </c>
      <c r="D95" s="103" t="s">
        <v>420</v>
      </c>
      <c r="E95" s="103" t="s">
        <v>445</v>
      </c>
      <c r="F95" s="103" t="n">
        <v>773919140</v>
      </c>
      <c r="G95" s="103" t="s">
        <v>417</v>
      </c>
      <c r="H95" s="103" t="s">
        <v>174</v>
      </c>
      <c r="I95" s="103"/>
      <c r="J95" s="103" t="s">
        <v>175</v>
      </c>
      <c r="K95" s="103" t="n">
        <v>0</v>
      </c>
      <c r="L95" s="103" t="n">
        <v>0</v>
      </c>
      <c r="M95" s="103" t="n">
        <v>0</v>
      </c>
      <c r="N95" s="103" t="n">
        <v>0</v>
      </c>
      <c r="O95" s="103" t="n">
        <v>9275.19</v>
      </c>
      <c r="P95" s="103" t="n">
        <v>0</v>
      </c>
      <c r="Q95" s="103" t="n">
        <v>0</v>
      </c>
      <c r="R95" s="103" t="n">
        <v>9275.19</v>
      </c>
      <c r="S95" s="103" t="s">
        <v>176</v>
      </c>
      <c r="T95" s="103" t="n">
        <v>0</v>
      </c>
      <c r="U95" s="103" t="s">
        <v>177</v>
      </c>
      <c r="V95" s="103" t="n">
        <v>500</v>
      </c>
      <c r="W95" s="103" t="n">
        <f aca="false">DATA_PIPELINE!$K95</f>
        <v>0</v>
      </c>
      <c r="X95" s="103" t="n">
        <f aca="false">DATA_PIPELINE!$V95-DATA_PIPELINE!$W95</f>
        <v>500</v>
      </c>
      <c r="Y95" s="103" t="str">
        <f aca="false">IF(DATA_PIPELINE!$X95=0,"Paid",IF(DATA_PIPELINE!$W95=0,"Unpaid","Partly Paid"))</f>
        <v>Unpaid</v>
      </c>
    </row>
    <row r="96" customFormat="false" ht="15" hidden="false" customHeight="true" outlineLevel="0" collapsed="false">
      <c r="A96" s="103" t="n">
        <v>91</v>
      </c>
      <c r="B96" s="103" t="s">
        <v>446</v>
      </c>
      <c r="C96" s="103" t="s">
        <v>447</v>
      </c>
      <c r="D96" s="103" t="s">
        <v>420</v>
      </c>
      <c r="E96" s="103" t="s">
        <v>448</v>
      </c>
      <c r="F96" s="103" t="n">
        <v>772556781</v>
      </c>
      <c r="G96" s="103" t="s">
        <v>417</v>
      </c>
      <c r="H96" s="103" t="s">
        <v>174</v>
      </c>
      <c r="I96" s="103"/>
      <c r="J96" s="103" t="s">
        <v>175</v>
      </c>
      <c r="K96" s="103" t="n">
        <v>0</v>
      </c>
      <c r="L96" s="103" t="n">
        <v>0</v>
      </c>
      <c r="M96" s="103" t="n">
        <v>0</v>
      </c>
      <c r="N96" s="103" t="n">
        <v>50</v>
      </c>
      <c r="O96" s="103" t="n">
        <v>10849.44</v>
      </c>
      <c r="P96" s="103" t="n">
        <v>0</v>
      </c>
      <c r="Q96" s="103" t="n">
        <v>0</v>
      </c>
      <c r="R96" s="103" t="n">
        <v>10849.44</v>
      </c>
      <c r="S96" s="103" t="s">
        <v>176</v>
      </c>
      <c r="T96" s="103" t="n">
        <v>50</v>
      </c>
      <c r="U96" s="103" t="s">
        <v>177</v>
      </c>
      <c r="V96" s="103" t="n">
        <v>500</v>
      </c>
      <c r="W96" s="103" t="n">
        <f aca="false">DATA_PIPELINE!$K96</f>
        <v>0</v>
      </c>
      <c r="X96" s="103" t="n">
        <f aca="false">DATA_PIPELINE!$V96-DATA_PIPELINE!$W96</f>
        <v>500</v>
      </c>
      <c r="Y96" s="103" t="str">
        <f aca="false">IF(DATA_PIPELINE!$X96=0,"Paid",IF(DATA_PIPELINE!$W96=0,"Unpaid","Partly Paid"))</f>
        <v>Unpaid</v>
      </c>
    </row>
    <row r="97" customFormat="false" ht="15" hidden="false" customHeight="true" outlineLevel="0" collapsed="false">
      <c r="A97" s="103" t="n">
        <v>92</v>
      </c>
      <c r="B97" s="103" t="s">
        <v>449</v>
      </c>
      <c r="C97" s="103" t="s">
        <v>450</v>
      </c>
      <c r="D97" s="103" t="s">
        <v>420</v>
      </c>
      <c r="E97" s="103" t="s">
        <v>451</v>
      </c>
      <c r="F97" s="103" t="n">
        <v>772461379</v>
      </c>
      <c r="G97" s="103" t="s">
        <v>417</v>
      </c>
      <c r="H97" s="103" t="s">
        <v>174</v>
      </c>
      <c r="I97" s="103"/>
      <c r="J97" s="103" t="s">
        <v>175</v>
      </c>
      <c r="K97" s="103" t="n">
        <v>1000</v>
      </c>
      <c r="L97" s="103" t="n">
        <v>0</v>
      </c>
      <c r="M97" s="103" t="n">
        <v>600</v>
      </c>
      <c r="N97" s="103" t="n">
        <v>600</v>
      </c>
      <c r="O97" s="103" t="n">
        <v>85122.68</v>
      </c>
      <c r="P97" s="103" t="n">
        <v>0</v>
      </c>
      <c r="Q97" s="103" t="n">
        <v>0</v>
      </c>
      <c r="R97" s="103" t="n">
        <v>85122.68</v>
      </c>
      <c r="S97" s="103" t="s">
        <v>176</v>
      </c>
      <c r="T97" s="103" t="n">
        <v>1200</v>
      </c>
      <c r="U97" s="103" t="s">
        <v>247</v>
      </c>
      <c r="V97" s="103" t="n">
        <v>1000</v>
      </c>
      <c r="W97" s="103" t="n">
        <f aca="false">DATA_PIPELINE!$K97</f>
        <v>1000</v>
      </c>
      <c r="X97" s="103" t="n">
        <f aca="false">DATA_PIPELINE!$V97-DATA_PIPELINE!$W97</f>
        <v>0</v>
      </c>
      <c r="Y97" s="103" t="str">
        <f aca="false">IF(DATA_PIPELINE!$X97=0,"Paid",IF(DATA_PIPELINE!$W97=0,"Unpaid","Partly Paid"))</f>
        <v>Paid</v>
      </c>
    </row>
    <row r="98" customFormat="false" ht="15" hidden="false" customHeight="true" outlineLevel="0" collapsed="false">
      <c r="A98" s="103" t="n">
        <v>93</v>
      </c>
      <c r="B98" s="103" t="s">
        <v>452</v>
      </c>
      <c r="C98" s="103" t="s">
        <v>453</v>
      </c>
      <c r="D98" s="103" t="s">
        <v>420</v>
      </c>
      <c r="E98" s="103" t="s">
        <v>454</v>
      </c>
      <c r="F98" s="103" t="n">
        <v>772972291</v>
      </c>
      <c r="G98" s="103" t="s">
        <v>417</v>
      </c>
      <c r="H98" s="103" t="s">
        <v>174</v>
      </c>
      <c r="I98" s="103"/>
      <c r="J98" s="103" t="s">
        <v>175</v>
      </c>
      <c r="K98" s="103" t="n">
        <v>0</v>
      </c>
      <c r="L98" s="103" t="n">
        <v>0</v>
      </c>
      <c r="M98" s="103" t="n">
        <v>0</v>
      </c>
      <c r="N98" s="103" t="n">
        <v>60</v>
      </c>
      <c r="O98" s="103" t="n">
        <v>9603.94</v>
      </c>
      <c r="P98" s="103" t="n">
        <v>0</v>
      </c>
      <c r="Q98" s="103" t="n">
        <v>0</v>
      </c>
      <c r="R98" s="103" t="n">
        <v>9603.94</v>
      </c>
      <c r="S98" s="103" t="s">
        <v>176</v>
      </c>
      <c r="T98" s="103" t="n">
        <v>60</v>
      </c>
      <c r="U98" s="103" t="s">
        <v>177</v>
      </c>
      <c r="V98" s="103" t="n">
        <v>500</v>
      </c>
      <c r="W98" s="103" t="n">
        <f aca="false">DATA_PIPELINE!$K98</f>
        <v>0</v>
      </c>
      <c r="X98" s="103" t="n">
        <f aca="false">DATA_PIPELINE!$V98-DATA_PIPELINE!$W98</f>
        <v>500</v>
      </c>
      <c r="Y98" s="103" t="str">
        <f aca="false">IF(DATA_PIPELINE!$X98=0,"Paid",IF(DATA_PIPELINE!$W98=0,"Unpaid","Partly Paid"))</f>
        <v>Unpaid</v>
      </c>
    </row>
    <row r="99" customFormat="false" ht="15" hidden="false" customHeight="true" outlineLevel="0" collapsed="false">
      <c r="A99" s="103" t="n">
        <v>94</v>
      </c>
      <c r="B99" s="103" t="s">
        <v>455</v>
      </c>
      <c r="C99" s="103" t="s">
        <v>456</v>
      </c>
      <c r="D99" s="103" t="s">
        <v>420</v>
      </c>
      <c r="E99" s="103" t="s">
        <v>457</v>
      </c>
      <c r="F99" s="103" t="n">
        <v>772645431</v>
      </c>
      <c r="G99" s="103" t="s">
        <v>417</v>
      </c>
      <c r="H99" s="103" t="s">
        <v>174</v>
      </c>
      <c r="I99" s="103" t="n">
        <v>9</v>
      </c>
      <c r="J99" s="103" t="s">
        <v>175</v>
      </c>
      <c r="K99" s="103" t="n">
        <v>0</v>
      </c>
      <c r="L99" s="103" t="n">
        <v>0</v>
      </c>
      <c r="M99" s="103" t="n">
        <v>0</v>
      </c>
      <c r="N99" s="103" t="n">
        <v>20</v>
      </c>
      <c r="O99" s="103" t="n">
        <v>2745.4</v>
      </c>
      <c r="P99" s="103" t="n">
        <v>0</v>
      </c>
      <c r="Q99" s="103" t="n">
        <v>0</v>
      </c>
      <c r="R99" s="103" t="n">
        <v>2745.4</v>
      </c>
      <c r="S99" s="103" t="s">
        <v>176</v>
      </c>
      <c r="T99" s="103" t="n">
        <v>20</v>
      </c>
      <c r="U99" s="103" t="s">
        <v>177</v>
      </c>
      <c r="V99" s="103" t="n">
        <v>500</v>
      </c>
      <c r="W99" s="103" t="n">
        <f aca="false">DATA_PIPELINE!$K99</f>
        <v>0</v>
      </c>
      <c r="X99" s="103" t="n">
        <f aca="false">DATA_PIPELINE!$V99-DATA_PIPELINE!$W99</f>
        <v>500</v>
      </c>
      <c r="Y99" s="103" t="str">
        <f aca="false">IF(DATA_PIPELINE!$X99=0,"Paid",IF(DATA_PIPELINE!$W99=0,"Unpaid","Partly Paid"))</f>
        <v>Unpaid</v>
      </c>
    </row>
    <row r="100" customFormat="false" ht="15" hidden="false" customHeight="true" outlineLevel="0" collapsed="false">
      <c r="A100" s="103" t="n">
        <v>95</v>
      </c>
      <c r="B100" s="103" t="s">
        <v>458</v>
      </c>
      <c r="C100" s="103" t="s">
        <v>459</v>
      </c>
      <c r="D100" s="103" t="s">
        <v>420</v>
      </c>
      <c r="E100" s="103" t="s">
        <v>460</v>
      </c>
      <c r="F100" s="103" t="n">
        <v>772923617</v>
      </c>
      <c r="G100" s="103" t="s">
        <v>417</v>
      </c>
      <c r="H100" s="103" t="s">
        <v>174</v>
      </c>
      <c r="I100" s="103"/>
      <c r="J100" s="103" t="s">
        <v>175</v>
      </c>
      <c r="K100" s="103" t="n">
        <v>0</v>
      </c>
      <c r="L100" s="103" t="n">
        <v>0</v>
      </c>
      <c r="M100" s="103" t="n">
        <v>0</v>
      </c>
      <c r="N100" s="103" t="n">
        <v>20</v>
      </c>
      <c r="O100" s="103" t="n">
        <v>5820.47</v>
      </c>
      <c r="P100" s="103" t="n">
        <v>0</v>
      </c>
      <c r="Q100" s="103" t="n">
        <v>0</v>
      </c>
      <c r="R100" s="103" t="n">
        <v>5820.47</v>
      </c>
      <c r="S100" s="103" t="s">
        <v>176</v>
      </c>
      <c r="T100" s="103" t="n">
        <v>20</v>
      </c>
      <c r="U100" s="103" t="s">
        <v>177</v>
      </c>
      <c r="V100" s="103" t="n">
        <v>500</v>
      </c>
      <c r="W100" s="103" t="n">
        <f aca="false">DATA_PIPELINE!$K100</f>
        <v>0</v>
      </c>
      <c r="X100" s="103" t="n">
        <f aca="false">DATA_PIPELINE!$V100-DATA_PIPELINE!$W100</f>
        <v>500</v>
      </c>
      <c r="Y100" s="103" t="str">
        <f aca="false">IF(DATA_PIPELINE!$X100=0,"Paid",IF(DATA_PIPELINE!$W100=0,"Unpaid","Partly Paid"))</f>
        <v>Unpaid</v>
      </c>
    </row>
    <row r="101" customFormat="false" ht="15" hidden="false" customHeight="true" outlineLevel="0" collapsed="false">
      <c r="A101" s="103" t="n">
        <v>96</v>
      </c>
      <c r="B101" s="103" t="s">
        <v>461</v>
      </c>
      <c r="C101" s="103" t="s">
        <v>462</v>
      </c>
      <c r="D101" s="103" t="s">
        <v>420</v>
      </c>
      <c r="E101" s="103" t="s">
        <v>463</v>
      </c>
      <c r="F101" s="103" t="n">
        <v>774422844</v>
      </c>
      <c r="G101" s="103" t="s">
        <v>417</v>
      </c>
      <c r="H101" s="103" t="s">
        <v>174</v>
      </c>
      <c r="I101" s="103"/>
      <c r="J101" s="103" t="s">
        <v>175</v>
      </c>
      <c r="K101" s="103" t="n">
        <v>0</v>
      </c>
      <c r="L101" s="103" t="n">
        <v>0</v>
      </c>
      <c r="M101" s="103" t="n">
        <v>20</v>
      </c>
      <c r="N101" s="103" t="n">
        <v>40</v>
      </c>
      <c r="O101" s="103" t="n">
        <v>7314.44</v>
      </c>
      <c r="P101" s="103" t="n">
        <v>0</v>
      </c>
      <c r="Q101" s="103" t="n">
        <v>0</v>
      </c>
      <c r="R101" s="103" t="n">
        <v>7314.44</v>
      </c>
      <c r="S101" s="103" t="s">
        <v>176</v>
      </c>
      <c r="T101" s="103" t="n">
        <v>60</v>
      </c>
      <c r="U101" s="103" t="s">
        <v>177</v>
      </c>
      <c r="V101" s="103" t="n">
        <v>500</v>
      </c>
      <c r="W101" s="103" t="n">
        <f aca="false">DATA_PIPELINE!$K101</f>
        <v>0</v>
      </c>
      <c r="X101" s="103" t="n">
        <f aca="false">DATA_PIPELINE!$V101-DATA_PIPELINE!$W101</f>
        <v>500</v>
      </c>
      <c r="Y101" s="103" t="str">
        <f aca="false">IF(DATA_PIPELINE!$X101=0,"Paid",IF(DATA_PIPELINE!$W101=0,"Unpaid","Partly Paid"))</f>
        <v>Unpaid</v>
      </c>
    </row>
    <row r="102" customFormat="false" ht="15" hidden="false" customHeight="true" outlineLevel="0" collapsed="false">
      <c r="A102" s="103" t="n">
        <v>97</v>
      </c>
      <c r="B102" s="103" t="s">
        <v>464</v>
      </c>
      <c r="C102" s="103" t="s">
        <v>465</v>
      </c>
      <c r="D102" s="103" t="s">
        <v>420</v>
      </c>
      <c r="E102" s="103" t="s">
        <v>466</v>
      </c>
      <c r="F102" s="103" t="n">
        <v>772570603</v>
      </c>
      <c r="G102" s="103" t="s">
        <v>417</v>
      </c>
      <c r="H102" s="103" t="s">
        <v>174</v>
      </c>
      <c r="I102" s="103"/>
      <c r="J102" s="103" t="s">
        <v>175</v>
      </c>
      <c r="K102" s="103" t="n">
        <v>0</v>
      </c>
      <c r="L102" s="103" t="n">
        <v>0</v>
      </c>
      <c r="M102" s="103" t="n">
        <v>0</v>
      </c>
      <c r="N102" s="103" t="n">
        <v>50</v>
      </c>
      <c r="O102" s="103" t="n">
        <v>7398.04</v>
      </c>
      <c r="P102" s="103" t="n">
        <v>0</v>
      </c>
      <c r="Q102" s="103" t="n">
        <v>0</v>
      </c>
      <c r="R102" s="103" t="n">
        <v>7398.04</v>
      </c>
      <c r="S102" s="103" t="s">
        <v>176</v>
      </c>
      <c r="T102" s="103" t="n">
        <v>50</v>
      </c>
      <c r="U102" s="103" t="s">
        <v>177</v>
      </c>
      <c r="V102" s="103" t="n">
        <v>500</v>
      </c>
      <c r="W102" s="103" t="n">
        <f aca="false">DATA_PIPELINE!$K102</f>
        <v>0</v>
      </c>
      <c r="X102" s="103" t="n">
        <f aca="false">DATA_PIPELINE!$V102-DATA_PIPELINE!$W102</f>
        <v>500</v>
      </c>
      <c r="Y102" s="103" t="str">
        <f aca="false">IF(DATA_PIPELINE!$X102=0,"Paid",IF(DATA_PIPELINE!$W102=0,"Unpaid","Partly Paid"))</f>
        <v>Unpaid</v>
      </c>
    </row>
    <row r="103" customFormat="false" ht="15" hidden="false" customHeight="true" outlineLevel="0" collapsed="false">
      <c r="A103" s="103" t="n">
        <v>98</v>
      </c>
      <c r="B103" s="103" t="s">
        <v>467</v>
      </c>
      <c r="C103" s="103" t="s">
        <v>468</v>
      </c>
      <c r="D103" s="103" t="s">
        <v>420</v>
      </c>
      <c r="E103" s="103" t="s">
        <v>469</v>
      </c>
      <c r="F103" s="103" t="n">
        <v>772396651</v>
      </c>
      <c r="G103" s="103" t="s">
        <v>417</v>
      </c>
      <c r="H103" s="103" t="s">
        <v>174</v>
      </c>
      <c r="I103" s="103"/>
      <c r="J103" s="103" t="s">
        <v>175</v>
      </c>
      <c r="K103" s="103" t="n">
        <v>0</v>
      </c>
      <c r="L103" s="103" t="n">
        <v>0</v>
      </c>
      <c r="M103" s="103" t="n">
        <v>0</v>
      </c>
      <c r="N103" s="103" t="n">
        <v>40</v>
      </c>
      <c r="O103" s="103" t="n">
        <v>10851</v>
      </c>
      <c r="P103" s="103" t="n">
        <v>0</v>
      </c>
      <c r="Q103" s="103" t="n">
        <v>0</v>
      </c>
      <c r="R103" s="103" t="n">
        <v>10851</v>
      </c>
      <c r="S103" s="103" t="s">
        <v>176</v>
      </c>
      <c r="T103" s="103" t="n">
        <v>40</v>
      </c>
      <c r="U103" s="103" t="s">
        <v>177</v>
      </c>
      <c r="V103" s="103" t="n">
        <v>500</v>
      </c>
      <c r="W103" s="103" t="n">
        <f aca="false">DATA_PIPELINE!$K103</f>
        <v>0</v>
      </c>
      <c r="X103" s="103" t="n">
        <f aca="false">DATA_PIPELINE!$V103-DATA_PIPELINE!$W103</f>
        <v>500</v>
      </c>
      <c r="Y103" s="103" t="str">
        <f aca="false">IF(DATA_PIPELINE!$X103=0,"Paid",IF(DATA_PIPELINE!$W103=0,"Unpaid","Partly Paid"))</f>
        <v>Unpaid</v>
      </c>
    </row>
    <row r="104" customFormat="false" ht="15" hidden="false" customHeight="true" outlineLevel="0" collapsed="false">
      <c r="A104" s="103" t="n">
        <v>99</v>
      </c>
      <c r="B104" s="103" t="s">
        <v>470</v>
      </c>
      <c r="C104" s="103" t="s">
        <v>471</v>
      </c>
      <c r="D104" s="103" t="s">
        <v>420</v>
      </c>
      <c r="E104" s="103" t="s">
        <v>472</v>
      </c>
      <c r="F104" s="103" t="n">
        <v>772292003</v>
      </c>
      <c r="G104" s="103" t="s">
        <v>417</v>
      </c>
      <c r="H104" s="103" t="s">
        <v>174</v>
      </c>
      <c r="I104" s="103"/>
      <c r="J104" s="103" t="s">
        <v>175</v>
      </c>
      <c r="K104" s="103" t="n">
        <v>0</v>
      </c>
      <c r="L104" s="103" t="n">
        <v>0</v>
      </c>
      <c r="M104" s="103" t="n">
        <v>0</v>
      </c>
      <c r="N104" s="103" t="n">
        <v>40</v>
      </c>
      <c r="O104" s="103" t="n">
        <v>9810.76</v>
      </c>
      <c r="P104" s="103" t="n">
        <v>0</v>
      </c>
      <c r="Q104" s="103" t="n">
        <v>0</v>
      </c>
      <c r="R104" s="103" t="n">
        <v>9810.76</v>
      </c>
      <c r="S104" s="103" t="s">
        <v>176</v>
      </c>
      <c r="T104" s="103" t="n">
        <v>40</v>
      </c>
      <c r="U104" s="103" t="s">
        <v>177</v>
      </c>
      <c r="V104" s="103" t="n">
        <v>500</v>
      </c>
      <c r="W104" s="103" t="n">
        <f aca="false">DATA_PIPELINE!$K104</f>
        <v>0</v>
      </c>
      <c r="X104" s="103" t="n">
        <f aca="false">DATA_PIPELINE!$V104-DATA_PIPELINE!$W104</f>
        <v>500</v>
      </c>
      <c r="Y104" s="103" t="str">
        <f aca="false">IF(DATA_PIPELINE!$X104=0,"Paid",IF(DATA_PIPELINE!$W104=0,"Unpaid","Partly Paid"))</f>
        <v>Unpaid</v>
      </c>
    </row>
    <row r="105" customFormat="false" ht="15" hidden="false" customHeight="true" outlineLevel="0" collapsed="false">
      <c r="A105" s="103" t="n">
        <v>100</v>
      </c>
      <c r="B105" s="103" t="s">
        <v>473</v>
      </c>
      <c r="C105" s="103" t="s">
        <v>474</v>
      </c>
      <c r="D105" s="103" t="s">
        <v>420</v>
      </c>
      <c r="E105" s="103" t="s">
        <v>475</v>
      </c>
      <c r="F105" s="103" t="n">
        <v>783863231</v>
      </c>
      <c r="G105" s="103" t="s">
        <v>417</v>
      </c>
      <c r="H105" s="103" t="s">
        <v>174</v>
      </c>
      <c r="I105" s="103" t="n">
        <v>31</v>
      </c>
      <c r="J105" s="103" t="s">
        <v>175</v>
      </c>
      <c r="K105" s="103" t="n">
        <v>0</v>
      </c>
      <c r="L105" s="103" t="n">
        <v>0</v>
      </c>
      <c r="M105" s="103" t="n">
        <v>0</v>
      </c>
      <c r="N105" s="103" t="n">
        <v>40</v>
      </c>
      <c r="O105" s="103" t="n">
        <v>5693.79</v>
      </c>
      <c r="P105" s="103" t="n">
        <v>0</v>
      </c>
      <c r="Q105" s="103" t="n">
        <v>0</v>
      </c>
      <c r="R105" s="103" t="n">
        <v>5693.79</v>
      </c>
      <c r="S105" s="103" t="s">
        <v>176</v>
      </c>
      <c r="T105" s="103" t="n">
        <v>40</v>
      </c>
      <c r="U105" s="103" t="s">
        <v>177</v>
      </c>
      <c r="V105" s="103" t="n">
        <v>500</v>
      </c>
      <c r="W105" s="103" t="n">
        <f aca="false">DATA_PIPELINE!$K105</f>
        <v>0</v>
      </c>
      <c r="X105" s="103" t="n">
        <f aca="false">DATA_PIPELINE!$V105-DATA_PIPELINE!$W105</f>
        <v>500</v>
      </c>
      <c r="Y105" s="103" t="str">
        <f aca="false">IF(DATA_PIPELINE!$X105=0,"Paid",IF(DATA_PIPELINE!$W105=0,"Unpaid","Partly Paid"))</f>
        <v>Unpaid</v>
      </c>
    </row>
    <row r="106" customFormat="false" ht="15" hidden="false" customHeight="true" outlineLevel="0" collapsed="false">
      <c r="A106" s="103" t="n">
        <v>101</v>
      </c>
      <c r="B106" s="103" t="s">
        <v>476</v>
      </c>
      <c r="C106" s="103" t="s">
        <v>477</v>
      </c>
      <c r="D106" s="103" t="s">
        <v>420</v>
      </c>
      <c r="E106" s="103" t="s">
        <v>478</v>
      </c>
      <c r="F106" s="103" t="n">
        <v>773015183</v>
      </c>
      <c r="G106" s="103" t="s">
        <v>417</v>
      </c>
      <c r="H106" s="103" t="s">
        <v>174</v>
      </c>
      <c r="I106" s="103" t="n">
        <v>17</v>
      </c>
      <c r="J106" s="103" t="s">
        <v>175</v>
      </c>
      <c r="K106" s="103" t="n">
        <v>0</v>
      </c>
      <c r="L106" s="103" t="n">
        <v>0</v>
      </c>
      <c r="M106" s="103" t="n">
        <v>0</v>
      </c>
      <c r="N106" s="103" t="n">
        <v>110</v>
      </c>
      <c r="O106" s="103" t="n">
        <v>28605.02</v>
      </c>
      <c r="P106" s="103" t="n">
        <v>0</v>
      </c>
      <c r="Q106" s="103" t="n">
        <v>0</v>
      </c>
      <c r="R106" s="103" t="n">
        <v>28605.02</v>
      </c>
      <c r="S106" s="103" t="s">
        <v>176</v>
      </c>
      <c r="T106" s="103" t="n">
        <v>110</v>
      </c>
      <c r="U106" s="103" t="s">
        <v>177</v>
      </c>
      <c r="V106" s="103" t="n">
        <v>500</v>
      </c>
      <c r="W106" s="103" t="n">
        <f aca="false">DATA_PIPELINE!$K106</f>
        <v>0</v>
      </c>
      <c r="X106" s="103" t="n">
        <f aca="false">DATA_PIPELINE!$V106-DATA_PIPELINE!$W106</f>
        <v>500</v>
      </c>
      <c r="Y106" s="103" t="str">
        <f aca="false">IF(DATA_PIPELINE!$X106=0,"Paid",IF(DATA_PIPELINE!$W106=0,"Unpaid","Partly Paid"))</f>
        <v>Unpaid</v>
      </c>
    </row>
    <row r="107" customFormat="false" ht="15" hidden="false" customHeight="true" outlineLevel="0" collapsed="false">
      <c r="A107" s="103" t="n">
        <v>102</v>
      </c>
      <c r="B107" s="103" t="s">
        <v>479</v>
      </c>
      <c r="C107" s="103" t="s">
        <v>480</v>
      </c>
      <c r="D107" s="103" t="s">
        <v>420</v>
      </c>
      <c r="E107" s="103" t="s">
        <v>481</v>
      </c>
      <c r="F107" s="103" t="n">
        <v>716667804</v>
      </c>
      <c r="G107" s="103" t="s">
        <v>417</v>
      </c>
      <c r="H107" s="103" t="s">
        <v>174</v>
      </c>
      <c r="I107" s="103" t="n">
        <v>31</v>
      </c>
      <c r="J107" s="103" t="s">
        <v>175</v>
      </c>
      <c r="K107" s="103" t="n">
        <v>0</v>
      </c>
      <c r="L107" s="103" t="n">
        <v>0</v>
      </c>
      <c r="M107" s="103" t="n">
        <v>0</v>
      </c>
      <c r="N107" s="103" t="n">
        <v>20</v>
      </c>
      <c r="O107" s="103" t="n">
        <v>2270.43</v>
      </c>
      <c r="P107" s="103" t="n">
        <v>0</v>
      </c>
      <c r="Q107" s="103" t="n">
        <v>0</v>
      </c>
      <c r="R107" s="103" t="n">
        <v>2270.43</v>
      </c>
      <c r="S107" s="103" t="s">
        <v>176</v>
      </c>
      <c r="T107" s="103" t="n">
        <v>20</v>
      </c>
      <c r="U107" s="103" t="s">
        <v>177</v>
      </c>
      <c r="V107" s="103" t="n">
        <v>500</v>
      </c>
      <c r="W107" s="103" t="n">
        <f aca="false">DATA_PIPELINE!$K107</f>
        <v>0</v>
      </c>
      <c r="X107" s="103" t="n">
        <f aca="false">DATA_PIPELINE!$V107-DATA_PIPELINE!$W107</f>
        <v>500</v>
      </c>
      <c r="Y107" s="103" t="str">
        <f aca="false">IF(DATA_PIPELINE!$X107=0,"Paid",IF(DATA_PIPELINE!$W107=0,"Unpaid","Partly Paid"))</f>
        <v>Unpaid</v>
      </c>
    </row>
    <row r="108" customFormat="false" ht="15" hidden="false" customHeight="true" outlineLevel="0" collapsed="false">
      <c r="A108" s="103" t="n">
        <v>103</v>
      </c>
      <c r="B108" s="103" t="s">
        <v>482</v>
      </c>
      <c r="C108" s="103" t="s">
        <v>483</v>
      </c>
      <c r="D108" s="103" t="s">
        <v>420</v>
      </c>
      <c r="E108" s="103" t="s">
        <v>484</v>
      </c>
      <c r="F108" s="103" t="n">
        <v>715360652</v>
      </c>
      <c r="G108" s="103" t="s">
        <v>417</v>
      </c>
      <c r="H108" s="103" t="s">
        <v>174</v>
      </c>
      <c r="I108" s="103" t="n">
        <v>17</v>
      </c>
      <c r="J108" s="103" t="s">
        <v>175</v>
      </c>
      <c r="K108" s="103" t="n">
        <v>0</v>
      </c>
      <c r="L108" s="103" t="n">
        <v>0</v>
      </c>
      <c r="M108" s="103" t="n">
        <v>0</v>
      </c>
      <c r="N108" s="103" t="n">
        <v>40</v>
      </c>
      <c r="O108" s="103" t="n">
        <v>12985.04</v>
      </c>
      <c r="P108" s="103" t="n">
        <v>15</v>
      </c>
      <c r="Q108" s="103" t="n">
        <v>5471.25</v>
      </c>
      <c r="R108" s="103" t="n">
        <v>7513.79</v>
      </c>
      <c r="S108" s="103" t="n">
        <v>42.14</v>
      </c>
      <c r="T108" s="103" t="n">
        <v>40</v>
      </c>
      <c r="U108" s="103" t="s">
        <v>177</v>
      </c>
      <c r="V108" s="103" t="n">
        <v>500</v>
      </c>
      <c r="W108" s="103" t="n">
        <f aca="false">DATA_PIPELINE!$K108</f>
        <v>0</v>
      </c>
      <c r="X108" s="103" t="n">
        <f aca="false">DATA_PIPELINE!$V108-DATA_PIPELINE!$W108</f>
        <v>500</v>
      </c>
      <c r="Y108" s="103" t="str">
        <f aca="false">IF(DATA_PIPELINE!$X108=0,"Paid",IF(DATA_PIPELINE!$W108=0,"Unpaid","Partly Paid"))</f>
        <v>Unpaid</v>
      </c>
    </row>
    <row r="109" customFormat="false" ht="15" hidden="false" customHeight="true" outlineLevel="0" collapsed="false">
      <c r="A109" s="103" t="n">
        <v>104</v>
      </c>
      <c r="B109" s="103" t="s">
        <v>485</v>
      </c>
      <c r="C109" s="103" t="s">
        <v>486</v>
      </c>
      <c r="D109" s="103" t="s">
        <v>420</v>
      </c>
      <c r="E109" s="103" t="s">
        <v>487</v>
      </c>
      <c r="F109" s="103" t="n">
        <v>772431004</v>
      </c>
      <c r="G109" s="103" t="s">
        <v>417</v>
      </c>
      <c r="H109" s="103" t="s">
        <v>174</v>
      </c>
      <c r="I109" s="103" t="n">
        <v>17</v>
      </c>
      <c r="J109" s="103" t="s">
        <v>175</v>
      </c>
      <c r="K109" s="103" t="n">
        <v>0</v>
      </c>
      <c r="L109" s="103" t="n">
        <v>0</v>
      </c>
      <c r="M109" s="103" t="n">
        <v>0</v>
      </c>
      <c r="N109" s="103" t="n">
        <v>20</v>
      </c>
      <c r="O109" s="103" t="n">
        <v>3218.73</v>
      </c>
      <c r="P109" s="103" t="n">
        <v>4.94</v>
      </c>
      <c r="Q109" s="103" t="n">
        <v>1801.87</v>
      </c>
      <c r="R109" s="103" t="n">
        <v>1416.86</v>
      </c>
      <c r="S109" s="103" t="n">
        <v>55.98</v>
      </c>
      <c r="T109" s="103" t="n">
        <v>20</v>
      </c>
      <c r="U109" s="103" t="s">
        <v>177</v>
      </c>
      <c r="V109" s="103" t="n">
        <v>500</v>
      </c>
      <c r="W109" s="103" t="n">
        <f aca="false">DATA_PIPELINE!$K109</f>
        <v>0</v>
      </c>
      <c r="X109" s="103" t="n">
        <f aca="false">DATA_PIPELINE!$V109-DATA_PIPELINE!$W109</f>
        <v>500</v>
      </c>
      <c r="Y109" s="103" t="str">
        <f aca="false">IF(DATA_PIPELINE!$X109=0,"Paid",IF(DATA_PIPELINE!$W109=0,"Unpaid","Partly Paid"))</f>
        <v>Unpaid</v>
      </c>
    </row>
    <row r="110" customFormat="false" ht="15" hidden="false" customHeight="true" outlineLevel="0" collapsed="false">
      <c r="A110" s="103" t="n">
        <v>105</v>
      </c>
      <c r="B110" s="103" t="s">
        <v>488</v>
      </c>
      <c r="C110" s="103" t="s">
        <v>489</v>
      </c>
      <c r="D110" s="103" t="s">
        <v>420</v>
      </c>
      <c r="E110" s="103" t="s">
        <v>490</v>
      </c>
      <c r="F110" s="103" t="n">
        <v>784821688</v>
      </c>
      <c r="G110" s="103" t="s">
        <v>417</v>
      </c>
      <c r="H110" s="103" t="s">
        <v>174</v>
      </c>
      <c r="I110" s="103" t="n">
        <v>17</v>
      </c>
      <c r="J110" s="103" t="s">
        <v>175</v>
      </c>
      <c r="K110" s="103" t="n">
        <v>0</v>
      </c>
      <c r="L110" s="103" t="n">
        <v>0</v>
      </c>
      <c r="M110" s="103" t="n">
        <v>0</v>
      </c>
      <c r="N110" s="103" t="n">
        <v>30</v>
      </c>
      <c r="O110" s="103" t="n">
        <v>4679.39</v>
      </c>
      <c r="P110" s="103" t="n">
        <v>0</v>
      </c>
      <c r="Q110" s="103" t="n">
        <v>0</v>
      </c>
      <c r="R110" s="103" t="n">
        <v>4679.39</v>
      </c>
      <c r="S110" s="103" t="s">
        <v>176</v>
      </c>
      <c r="T110" s="103" t="n">
        <v>30</v>
      </c>
      <c r="U110" s="103" t="s">
        <v>177</v>
      </c>
      <c r="V110" s="103" t="n">
        <v>500</v>
      </c>
      <c r="W110" s="103" t="n">
        <f aca="false">DATA_PIPELINE!$K110</f>
        <v>0</v>
      </c>
      <c r="X110" s="103" t="n">
        <f aca="false">DATA_PIPELINE!$V110-DATA_PIPELINE!$W110</f>
        <v>500</v>
      </c>
      <c r="Y110" s="103" t="str">
        <f aca="false">IF(DATA_PIPELINE!$X110=0,"Paid",IF(DATA_PIPELINE!$W110=0,"Unpaid","Partly Paid"))</f>
        <v>Unpaid</v>
      </c>
    </row>
    <row r="111" customFormat="false" ht="15" hidden="false" customHeight="true" outlineLevel="0" collapsed="false">
      <c r="A111" s="103" t="n">
        <v>106</v>
      </c>
      <c r="B111" s="103" t="s">
        <v>491</v>
      </c>
      <c r="C111" s="103" t="s">
        <v>492</v>
      </c>
      <c r="D111" s="103" t="s">
        <v>420</v>
      </c>
      <c r="E111" s="103" t="s">
        <v>493</v>
      </c>
      <c r="F111" s="103" t="n">
        <v>773879345</v>
      </c>
      <c r="G111" s="103" t="s">
        <v>417</v>
      </c>
      <c r="H111" s="103" t="s">
        <v>174</v>
      </c>
      <c r="I111" s="103"/>
      <c r="J111" s="103" t="s">
        <v>175</v>
      </c>
      <c r="K111" s="103" t="n">
        <v>0</v>
      </c>
      <c r="L111" s="103" t="n">
        <v>0</v>
      </c>
      <c r="M111" s="103" t="n">
        <v>0</v>
      </c>
      <c r="N111" s="103" t="n">
        <v>100</v>
      </c>
      <c r="O111" s="103" t="n">
        <v>10127.72</v>
      </c>
      <c r="P111" s="103" t="n">
        <v>0</v>
      </c>
      <c r="Q111" s="103" t="n">
        <v>0</v>
      </c>
      <c r="R111" s="103" t="n">
        <v>10127.72</v>
      </c>
      <c r="S111" s="103" t="s">
        <v>176</v>
      </c>
      <c r="T111" s="103" t="n">
        <v>100</v>
      </c>
      <c r="U111" s="103" t="s">
        <v>177</v>
      </c>
      <c r="V111" s="103" t="n">
        <v>500</v>
      </c>
      <c r="W111" s="103" t="n">
        <f aca="false">DATA_PIPELINE!$K111</f>
        <v>0</v>
      </c>
      <c r="X111" s="103" t="n">
        <f aca="false">DATA_PIPELINE!$V111-DATA_PIPELINE!$W111</f>
        <v>500</v>
      </c>
      <c r="Y111" s="103" t="str">
        <f aca="false">IF(DATA_PIPELINE!$X111=0,"Paid",IF(DATA_PIPELINE!$W111=0,"Unpaid","Partly Paid"))</f>
        <v>Unpaid</v>
      </c>
    </row>
    <row r="112" customFormat="false" ht="15" hidden="false" customHeight="true" outlineLevel="0" collapsed="false">
      <c r="A112" s="103" t="n">
        <v>107</v>
      </c>
      <c r="B112" s="103" t="s">
        <v>494</v>
      </c>
      <c r="C112" s="103" t="s">
        <v>495</v>
      </c>
      <c r="D112" s="103" t="s">
        <v>420</v>
      </c>
      <c r="E112" s="103" t="s">
        <v>496</v>
      </c>
      <c r="F112" s="103" t="n">
        <v>784617000</v>
      </c>
      <c r="G112" s="103" t="s">
        <v>417</v>
      </c>
      <c r="H112" s="103" t="s">
        <v>174</v>
      </c>
      <c r="I112" s="103"/>
      <c r="J112" s="103" t="s">
        <v>175</v>
      </c>
      <c r="K112" s="103" t="n">
        <v>0</v>
      </c>
      <c r="L112" s="103" t="n">
        <v>0</v>
      </c>
      <c r="M112" s="103" t="n">
        <v>10</v>
      </c>
      <c r="N112" s="103" t="n">
        <v>30</v>
      </c>
      <c r="O112" s="103" t="n">
        <v>6409.57</v>
      </c>
      <c r="P112" s="103" t="n">
        <v>0</v>
      </c>
      <c r="Q112" s="103" t="n">
        <v>0</v>
      </c>
      <c r="R112" s="103" t="n">
        <v>6409.57</v>
      </c>
      <c r="S112" s="103" t="s">
        <v>176</v>
      </c>
      <c r="T112" s="103" t="n">
        <v>40</v>
      </c>
      <c r="U112" s="103" t="s">
        <v>177</v>
      </c>
      <c r="V112" s="103" t="n">
        <v>500</v>
      </c>
      <c r="W112" s="103" t="n">
        <f aca="false">DATA_PIPELINE!$K112</f>
        <v>0</v>
      </c>
      <c r="X112" s="103" t="n">
        <f aca="false">DATA_PIPELINE!$V112-DATA_PIPELINE!$W112</f>
        <v>500</v>
      </c>
      <c r="Y112" s="103" t="str">
        <f aca="false">IF(DATA_PIPELINE!$X112=0,"Paid",IF(DATA_PIPELINE!$W112=0,"Unpaid","Partly Paid"))</f>
        <v>Unpaid</v>
      </c>
    </row>
    <row r="113" customFormat="false" ht="15" hidden="false" customHeight="true" outlineLevel="0" collapsed="false">
      <c r="A113" s="103" t="n">
        <v>108</v>
      </c>
      <c r="B113" s="103" t="s">
        <v>497</v>
      </c>
      <c r="C113" s="103" t="s">
        <v>498</v>
      </c>
      <c r="D113" s="103" t="s">
        <v>420</v>
      </c>
      <c r="E113" s="103" t="s">
        <v>499</v>
      </c>
      <c r="F113" s="103" t="n">
        <v>773273634</v>
      </c>
      <c r="G113" s="103" t="s">
        <v>417</v>
      </c>
      <c r="H113" s="103" t="s">
        <v>174</v>
      </c>
      <c r="I113" s="103" t="n">
        <v>13</v>
      </c>
      <c r="J113" s="103" t="s">
        <v>175</v>
      </c>
      <c r="K113" s="103" t="n">
        <v>0</v>
      </c>
      <c r="L113" s="103" t="n">
        <v>0</v>
      </c>
      <c r="M113" s="103" t="n">
        <v>0</v>
      </c>
      <c r="N113" s="103" t="n">
        <v>20</v>
      </c>
      <c r="O113" s="103" t="n">
        <v>3467</v>
      </c>
      <c r="P113" s="103" t="n">
        <v>0</v>
      </c>
      <c r="Q113" s="103" t="n">
        <v>0</v>
      </c>
      <c r="R113" s="103" t="n">
        <v>3467</v>
      </c>
      <c r="S113" s="103" t="s">
        <v>176</v>
      </c>
      <c r="T113" s="103" t="n">
        <v>20</v>
      </c>
      <c r="U113" s="103" t="s">
        <v>177</v>
      </c>
      <c r="V113" s="103" t="n">
        <v>500</v>
      </c>
      <c r="W113" s="103" t="n">
        <f aca="false">DATA_PIPELINE!$K113</f>
        <v>0</v>
      </c>
      <c r="X113" s="103" t="n">
        <f aca="false">DATA_PIPELINE!$V113-DATA_PIPELINE!$W113</f>
        <v>500</v>
      </c>
      <c r="Y113" s="103" t="str">
        <f aca="false">IF(DATA_PIPELINE!$X113=0,"Paid",IF(DATA_PIPELINE!$W113=0,"Unpaid","Partly Paid"))</f>
        <v>Unpaid</v>
      </c>
    </row>
    <row r="114" customFormat="false" ht="15" hidden="false" customHeight="true" outlineLevel="0" collapsed="false">
      <c r="A114" s="103" t="n">
        <v>109</v>
      </c>
      <c r="B114" s="103" t="s">
        <v>500</v>
      </c>
      <c r="C114" s="103" t="s">
        <v>501</v>
      </c>
      <c r="D114" s="103" t="s">
        <v>420</v>
      </c>
      <c r="E114" s="103" t="s">
        <v>502</v>
      </c>
      <c r="F114" s="103" t="n">
        <v>772619011</v>
      </c>
      <c r="G114" s="103" t="s">
        <v>417</v>
      </c>
      <c r="H114" s="103" t="s">
        <v>174</v>
      </c>
      <c r="I114" s="103"/>
      <c r="J114" s="103" t="s">
        <v>175</v>
      </c>
      <c r="K114" s="103" t="n">
        <v>0</v>
      </c>
      <c r="L114" s="103" t="n">
        <v>0</v>
      </c>
      <c r="M114" s="103" t="n">
        <v>0</v>
      </c>
      <c r="N114" s="103" t="n">
        <v>50</v>
      </c>
      <c r="O114" s="103" t="n">
        <v>5364.74</v>
      </c>
      <c r="P114" s="103" t="n">
        <v>0</v>
      </c>
      <c r="Q114" s="103" t="n">
        <v>0</v>
      </c>
      <c r="R114" s="103" t="n">
        <v>5364.74</v>
      </c>
      <c r="S114" s="103" t="s">
        <v>176</v>
      </c>
      <c r="T114" s="103" t="n">
        <v>50</v>
      </c>
      <c r="U114" s="103" t="s">
        <v>177</v>
      </c>
      <c r="V114" s="103" t="n">
        <v>500</v>
      </c>
      <c r="W114" s="103" t="n">
        <f aca="false">DATA_PIPELINE!$K114</f>
        <v>0</v>
      </c>
      <c r="X114" s="103" t="n">
        <f aca="false">DATA_PIPELINE!$V114-DATA_PIPELINE!$W114</f>
        <v>500</v>
      </c>
      <c r="Y114" s="103" t="str">
        <f aca="false">IF(DATA_PIPELINE!$X114=0,"Paid",IF(DATA_PIPELINE!$W114=0,"Unpaid","Partly Paid"))</f>
        <v>Unpaid</v>
      </c>
    </row>
    <row r="115" customFormat="false" ht="15" hidden="false" customHeight="true" outlineLevel="0" collapsed="false">
      <c r="A115" s="103" t="n">
        <v>110</v>
      </c>
      <c r="B115" s="103" t="s">
        <v>503</v>
      </c>
      <c r="C115" s="103" t="s">
        <v>504</v>
      </c>
      <c r="D115" s="103" t="s">
        <v>420</v>
      </c>
      <c r="E115" s="103" t="s">
        <v>505</v>
      </c>
      <c r="F115" s="103" t="n">
        <v>713494666</v>
      </c>
      <c r="G115" s="103" t="s">
        <v>417</v>
      </c>
      <c r="H115" s="103" t="s">
        <v>174</v>
      </c>
      <c r="I115" s="103"/>
      <c r="J115" s="103" t="s">
        <v>175</v>
      </c>
      <c r="K115" s="103" t="n">
        <v>0</v>
      </c>
      <c r="L115" s="103" t="n">
        <v>0</v>
      </c>
      <c r="M115" s="103" t="n">
        <v>0</v>
      </c>
      <c r="N115" s="103" t="n">
        <v>20</v>
      </c>
      <c r="O115" s="103" t="n">
        <v>5092.44</v>
      </c>
      <c r="P115" s="103" t="n">
        <v>0</v>
      </c>
      <c r="Q115" s="103" t="n">
        <v>0</v>
      </c>
      <c r="R115" s="103" t="n">
        <v>5092.44</v>
      </c>
      <c r="S115" s="103" t="s">
        <v>176</v>
      </c>
      <c r="T115" s="103" t="n">
        <v>20</v>
      </c>
      <c r="U115" s="103" t="s">
        <v>177</v>
      </c>
      <c r="V115" s="103" t="n">
        <v>500</v>
      </c>
      <c r="W115" s="103" t="n">
        <f aca="false">DATA_PIPELINE!$K115</f>
        <v>0</v>
      </c>
      <c r="X115" s="103" t="n">
        <f aca="false">DATA_PIPELINE!$V115-DATA_PIPELINE!$W115</f>
        <v>500</v>
      </c>
      <c r="Y115" s="103" t="str">
        <f aca="false">IF(DATA_PIPELINE!$X115=0,"Paid",IF(DATA_PIPELINE!$W115=0,"Unpaid","Partly Paid"))</f>
        <v>Unpaid</v>
      </c>
    </row>
    <row r="116" customFormat="false" ht="15" hidden="false" customHeight="true" outlineLevel="0" collapsed="false">
      <c r="A116" s="103" t="n">
        <v>111</v>
      </c>
      <c r="B116" s="103" t="s">
        <v>506</v>
      </c>
      <c r="C116" s="103" t="s">
        <v>507</v>
      </c>
      <c r="D116" s="103" t="s">
        <v>420</v>
      </c>
      <c r="E116" s="103" t="s">
        <v>508</v>
      </c>
      <c r="F116" s="103" t="n">
        <v>713847270</v>
      </c>
      <c r="G116" s="103" t="s">
        <v>417</v>
      </c>
      <c r="H116" s="103" t="s">
        <v>174</v>
      </c>
      <c r="I116" s="103"/>
      <c r="J116" s="103" t="s">
        <v>175</v>
      </c>
      <c r="K116" s="103" t="n">
        <v>0</v>
      </c>
      <c r="L116" s="103" t="n">
        <v>0</v>
      </c>
      <c r="M116" s="103" t="n">
        <v>0</v>
      </c>
      <c r="N116" s="103" t="n">
        <v>10</v>
      </c>
      <c r="O116" s="103" t="n">
        <v>2463.5</v>
      </c>
      <c r="P116" s="103" t="n">
        <v>0</v>
      </c>
      <c r="Q116" s="103" t="n">
        <v>0</v>
      </c>
      <c r="R116" s="103" t="n">
        <v>2463.5</v>
      </c>
      <c r="S116" s="103" t="s">
        <v>176</v>
      </c>
      <c r="T116" s="103" t="n">
        <v>10</v>
      </c>
      <c r="U116" s="103" t="s">
        <v>177</v>
      </c>
      <c r="V116" s="103" t="n">
        <v>500</v>
      </c>
      <c r="W116" s="103" t="n">
        <f aca="false">DATA_PIPELINE!$K116</f>
        <v>0</v>
      </c>
      <c r="X116" s="103" t="n">
        <f aca="false">DATA_PIPELINE!$V116-DATA_PIPELINE!$W116</f>
        <v>500</v>
      </c>
      <c r="Y116" s="103" t="str">
        <f aca="false">IF(DATA_PIPELINE!$X116=0,"Paid",IF(DATA_PIPELINE!$W116=0,"Unpaid","Partly Paid"))</f>
        <v>Unpaid</v>
      </c>
    </row>
    <row r="117" customFormat="false" ht="15" hidden="false" customHeight="true" outlineLevel="0" collapsed="false">
      <c r="A117" s="103" t="n">
        <v>112</v>
      </c>
      <c r="B117" s="103" t="s">
        <v>509</v>
      </c>
      <c r="C117" s="103" t="s">
        <v>510</v>
      </c>
      <c r="D117" s="103" t="s">
        <v>420</v>
      </c>
      <c r="E117" s="103" t="s">
        <v>511</v>
      </c>
      <c r="F117" s="103" t="n">
        <v>777916868</v>
      </c>
      <c r="G117" s="103" t="s">
        <v>417</v>
      </c>
      <c r="H117" s="103" t="s">
        <v>174</v>
      </c>
      <c r="I117" s="103"/>
      <c r="J117" s="103" t="s">
        <v>175</v>
      </c>
      <c r="K117" s="103" t="n">
        <v>0</v>
      </c>
      <c r="L117" s="103" t="n">
        <v>0</v>
      </c>
      <c r="M117" s="103" t="n">
        <v>0</v>
      </c>
      <c r="N117" s="103" t="n">
        <v>10</v>
      </c>
      <c r="O117" s="103" t="n">
        <v>1375.43</v>
      </c>
      <c r="P117" s="103" t="n">
        <v>0</v>
      </c>
      <c r="Q117" s="103" t="n">
        <v>0</v>
      </c>
      <c r="R117" s="103" t="n">
        <v>1375.43</v>
      </c>
      <c r="S117" s="103" t="s">
        <v>176</v>
      </c>
      <c r="T117" s="103" t="n">
        <v>10</v>
      </c>
      <c r="U117" s="103" t="s">
        <v>177</v>
      </c>
      <c r="V117" s="103" t="n">
        <v>500</v>
      </c>
      <c r="W117" s="103" t="n">
        <f aca="false">DATA_PIPELINE!$K117</f>
        <v>0</v>
      </c>
      <c r="X117" s="103" t="n">
        <f aca="false">DATA_PIPELINE!$V117-DATA_PIPELINE!$W117</f>
        <v>500</v>
      </c>
      <c r="Y117" s="103" t="str">
        <f aca="false">IF(DATA_PIPELINE!$X117=0,"Paid",IF(DATA_PIPELINE!$W117=0,"Unpaid","Partly Paid"))</f>
        <v>Unpaid</v>
      </c>
    </row>
    <row r="118" customFormat="false" ht="15" hidden="false" customHeight="true" outlineLevel="0" collapsed="false">
      <c r="A118" s="103" t="n">
        <v>113</v>
      </c>
      <c r="B118" s="103" t="s">
        <v>512</v>
      </c>
      <c r="C118" s="103" t="s">
        <v>513</v>
      </c>
      <c r="D118" s="103" t="s">
        <v>420</v>
      </c>
      <c r="E118" s="103" t="s">
        <v>514</v>
      </c>
      <c r="F118" s="103" t="n">
        <v>787482110</v>
      </c>
      <c r="G118" s="103" t="s">
        <v>417</v>
      </c>
      <c r="H118" s="103" t="s">
        <v>174</v>
      </c>
      <c r="I118" s="103"/>
      <c r="J118" s="103" t="s">
        <v>175</v>
      </c>
      <c r="K118" s="103" t="n">
        <v>0</v>
      </c>
      <c r="L118" s="103" t="n">
        <v>0</v>
      </c>
      <c r="M118" s="103" t="n">
        <v>0</v>
      </c>
      <c r="N118" s="103" t="n">
        <v>20</v>
      </c>
      <c r="O118" s="103" t="n">
        <v>546</v>
      </c>
      <c r="P118" s="103" t="n">
        <v>0</v>
      </c>
      <c r="Q118" s="103" t="n">
        <v>0</v>
      </c>
      <c r="R118" s="103" t="n">
        <v>546</v>
      </c>
      <c r="S118" s="103" t="s">
        <v>176</v>
      </c>
      <c r="T118" s="103" t="n">
        <v>20</v>
      </c>
      <c r="U118" s="103" t="s">
        <v>177</v>
      </c>
      <c r="V118" s="103" t="n">
        <v>500</v>
      </c>
      <c r="W118" s="103" t="n">
        <f aca="false">DATA_PIPELINE!$K118</f>
        <v>0</v>
      </c>
      <c r="X118" s="103" t="n">
        <f aca="false">DATA_PIPELINE!$V118-DATA_PIPELINE!$W118</f>
        <v>500</v>
      </c>
      <c r="Y118" s="103" t="str">
        <f aca="false">IF(DATA_PIPELINE!$X118=0,"Paid",IF(DATA_PIPELINE!$W118=0,"Unpaid","Partly Paid"))</f>
        <v>Unpaid</v>
      </c>
    </row>
    <row r="119" customFormat="false" ht="15" hidden="false" customHeight="true" outlineLevel="0" collapsed="false">
      <c r="A119" s="103" t="n">
        <v>114</v>
      </c>
      <c r="B119" s="103" t="s">
        <v>515</v>
      </c>
      <c r="C119" s="103" t="s">
        <v>516</v>
      </c>
      <c r="D119" s="103" t="s">
        <v>420</v>
      </c>
      <c r="E119" s="103" t="s">
        <v>517</v>
      </c>
      <c r="F119" s="103" t="n">
        <v>773229444</v>
      </c>
      <c r="G119" s="103" t="s">
        <v>417</v>
      </c>
      <c r="H119" s="103" t="s">
        <v>174</v>
      </c>
      <c r="I119" s="103" t="n">
        <v>31</v>
      </c>
      <c r="J119" s="103" t="s">
        <v>175</v>
      </c>
      <c r="K119" s="103" t="n">
        <v>0</v>
      </c>
      <c r="L119" s="103" t="n">
        <v>0</v>
      </c>
      <c r="M119" s="103" t="n">
        <v>0</v>
      </c>
      <c r="N119" s="103" t="n">
        <v>30</v>
      </c>
      <c r="O119" s="103" t="n">
        <v>6116.34</v>
      </c>
      <c r="P119" s="103" t="n">
        <v>0</v>
      </c>
      <c r="Q119" s="103" t="n">
        <v>0</v>
      </c>
      <c r="R119" s="103" t="n">
        <v>6116.34</v>
      </c>
      <c r="S119" s="103" t="s">
        <v>176</v>
      </c>
      <c r="T119" s="103" t="n">
        <v>30</v>
      </c>
      <c r="U119" s="103" t="s">
        <v>177</v>
      </c>
      <c r="V119" s="103" t="n">
        <v>500</v>
      </c>
      <c r="W119" s="103" t="n">
        <f aca="false">DATA_PIPELINE!$K119</f>
        <v>0</v>
      </c>
      <c r="X119" s="103" t="n">
        <f aca="false">DATA_PIPELINE!$V119-DATA_PIPELINE!$W119</f>
        <v>500</v>
      </c>
      <c r="Y119" s="103" t="str">
        <f aca="false">IF(DATA_PIPELINE!$X119=0,"Paid",IF(DATA_PIPELINE!$W119=0,"Unpaid","Partly Paid"))</f>
        <v>Unpaid</v>
      </c>
    </row>
    <row r="120" customFormat="false" ht="15" hidden="false" customHeight="true" outlineLevel="0" collapsed="false">
      <c r="A120" s="103" t="n">
        <v>115</v>
      </c>
      <c r="B120" s="103" t="s">
        <v>518</v>
      </c>
      <c r="C120" s="103" t="s">
        <v>519</v>
      </c>
      <c r="D120" s="103" t="s">
        <v>420</v>
      </c>
      <c r="E120" s="103" t="s">
        <v>520</v>
      </c>
      <c r="F120" s="103" t="n">
        <v>772557082</v>
      </c>
      <c r="G120" s="103" t="s">
        <v>417</v>
      </c>
      <c r="H120" s="103" t="s">
        <v>174</v>
      </c>
      <c r="I120" s="103"/>
      <c r="J120" s="103" t="s">
        <v>175</v>
      </c>
      <c r="K120" s="103" t="n">
        <v>500</v>
      </c>
      <c r="L120" s="103" t="n">
        <v>0</v>
      </c>
      <c r="M120" s="103" t="n">
        <v>0</v>
      </c>
      <c r="N120" s="103" t="n">
        <v>20</v>
      </c>
      <c r="O120" s="103" t="n">
        <v>7244.44</v>
      </c>
      <c r="P120" s="103" t="n">
        <v>0</v>
      </c>
      <c r="Q120" s="103" t="n">
        <v>0</v>
      </c>
      <c r="R120" s="103" t="n">
        <v>7244.44</v>
      </c>
      <c r="S120" s="103" t="s">
        <v>176</v>
      </c>
      <c r="T120" s="103" t="n">
        <v>20</v>
      </c>
      <c r="U120" s="103" t="s">
        <v>177</v>
      </c>
      <c r="V120" s="103" t="n">
        <v>500</v>
      </c>
      <c r="W120" s="103" t="n">
        <f aca="false">DATA_PIPELINE!$K120</f>
        <v>500</v>
      </c>
      <c r="X120" s="103" t="n">
        <f aca="false">DATA_PIPELINE!$V120-DATA_PIPELINE!$W120</f>
        <v>0</v>
      </c>
      <c r="Y120" s="103" t="str">
        <f aca="false">IF(DATA_PIPELINE!$X120=0,"Paid",IF(DATA_PIPELINE!$W120=0,"Unpaid","Partly Paid"))</f>
        <v>Paid</v>
      </c>
    </row>
    <row r="121" customFormat="false" ht="15" hidden="false" customHeight="true" outlineLevel="0" collapsed="false">
      <c r="A121" s="103" t="n">
        <v>116</v>
      </c>
      <c r="B121" s="103" t="s">
        <v>521</v>
      </c>
      <c r="C121" s="103" t="s">
        <v>522</v>
      </c>
      <c r="D121" s="103" t="s">
        <v>420</v>
      </c>
      <c r="E121" s="103" t="s">
        <v>523</v>
      </c>
      <c r="F121" s="103" t="n">
        <v>774756526</v>
      </c>
      <c r="G121" s="103" t="s">
        <v>417</v>
      </c>
      <c r="H121" s="103" t="s">
        <v>174</v>
      </c>
      <c r="I121" s="103"/>
      <c r="J121" s="103" t="s">
        <v>175</v>
      </c>
      <c r="K121" s="103" t="n">
        <v>0</v>
      </c>
      <c r="L121" s="103" t="n">
        <v>0</v>
      </c>
      <c r="M121" s="103" t="n">
        <v>0</v>
      </c>
      <c r="N121" s="103" t="n">
        <v>20</v>
      </c>
      <c r="O121" s="103" t="n">
        <v>4386.73</v>
      </c>
      <c r="P121" s="103" t="n">
        <v>0</v>
      </c>
      <c r="Q121" s="103" t="n">
        <v>0</v>
      </c>
      <c r="R121" s="103" t="n">
        <v>4386.73</v>
      </c>
      <c r="S121" s="103" t="s">
        <v>176</v>
      </c>
      <c r="T121" s="103" t="n">
        <v>20</v>
      </c>
      <c r="U121" s="103" t="s">
        <v>177</v>
      </c>
      <c r="V121" s="103" t="n">
        <v>500</v>
      </c>
      <c r="W121" s="103" t="n">
        <f aca="false">DATA_PIPELINE!$K121</f>
        <v>0</v>
      </c>
      <c r="X121" s="103" t="n">
        <f aca="false">DATA_PIPELINE!$V121-DATA_PIPELINE!$W121</f>
        <v>500</v>
      </c>
      <c r="Y121" s="103" t="str">
        <f aca="false">IF(DATA_PIPELINE!$X121=0,"Paid",IF(DATA_PIPELINE!$W121=0,"Unpaid","Partly Paid"))</f>
        <v>Unpaid</v>
      </c>
    </row>
    <row r="122" customFormat="false" ht="15" hidden="false" customHeight="true" outlineLevel="0" collapsed="false">
      <c r="A122" s="103" t="n">
        <v>117</v>
      </c>
      <c r="B122" s="103" t="s">
        <v>524</v>
      </c>
      <c r="C122" s="103" t="s">
        <v>525</v>
      </c>
      <c r="D122" s="103" t="s">
        <v>420</v>
      </c>
      <c r="E122" s="103" t="s">
        <v>526</v>
      </c>
      <c r="F122" s="103" t="n">
        <v>777145222</v>
      </c>
      <c r="G122" s="103" t="s">
        <v>417</v>
      </c>
      <c r="H122" s="103" t="s">
        <v>174</v>
      </c>
      <c r="I122" s="103"/>
      <c r="J122" s="103" t="s">
        <v>175</v>
      </c>
      <c r="K122" s="103" t="n">
        <v>0</v>
      </c>
      <c r="L122" s="103" t="n">
        <v>0</v>
      </c>
      <c r="M122" s="103" t="n">
        <v>0</v>
      </c>
      <c r="N122" s="103" t="n">
        <v>100</v>
      </c>
      <c r="O122" s="103" t="n">
        <v>11259.88</v>
      </c>
      <c r="P122" s="103" t="n">
        <v>0</v>
      </c>
      <c r="Q122" s="103" t="n">
        <v>0</v>
      </c>
      <c r="R122" s="103" t="n">
        <v>11259.88</v>
      </c>
      <c r="S122" s="103" t="s">
        <v>176</v>
      </c>
      <c r="T122" s="103" t="n">
        <v>100</v>
      </c>
      <c r="U122" s="103" t="s">
        <v>177</v>
      </c>
      <c r="V122" s="103" t="n">
        <v>500</v>
      </c>
      <c r="W122" s="103" t="n">
        <f aca="false">DATA_PIPELINE!$K122</f>
        <v>0</v>
      </c>
      <c r="X122" s="103" t="n">
        <f aca="false">DATA_PIPELINE!$V122-DATA_PIPELINE!$W122</f>
        <v>500</v>
      </c>
      <c r="Y122" s="103" t="str">
        <f aca="false">IF(DATA_PIPELINE!$X122=0,"Paid",IF(DATA_PIPELINE!$W122=0,"Unpaid","Partly Paid"))</f>
        <v>Unpaid</v>
      </c>
    </row>
    <row r="123" customFormat="false" ht="15" hidden="false" customHeight="true" outlineLevel="0" collapsed="false">
      <c r="A123" s="103" t="n">
        <v>118</v>
      </c>
      <c r="B123" s="103" t="s">
        <v>527</v>
      </c>
      <c r="C123" s="103" t="s">
        <v>480</v>
      </c>
      <c r="D123" s="103" t="s">
        <v>420</v>
      </c>
      <c r="E123" s="103" t="s">
        <v>528</v>
      </c>
      <c r="F123" s="103" t="n">
        <v>772280533</v>
      </c>
      <c r="G123" s="103" t="s">
        <v>417</v>
      </c>
      <c r="H123" s="103" t="s">
        <v>174</v>
      </c>
      <c r="I123" s="103" t="n">
        <v>31</v>
      </c>
      <c r="J123" s="103" t="s">
        <v>175</v>
      </c>
      <c r="K123" s="103" t="n">
        <v>0</v>
      </c>
      <c r="L123" s="103" t="n">
        <v>0</v>
      </c>
      <c r="M123" s="103" t="n">
        <v>0</v>
      </c>
      <c r="N123" s="103" t="n">
        <v>20</v>
      </c>
      <c r="O123" s="103" t="n">
        <v>6927.76</v>
      </c>
      <c r="P123" s="103" t="n">
        <v>0</v>
      </c>
      <c r="Q123" s="103" t="n">
        <v>0</v>
      </c>
      <c r="R123" s="103" t="n">
        <v>6927.76</v>
      </c>
      <c r="S123" s="103" t="s">
        <v>176</v>
      </c>
      <c r="T123" s="103" t="n">
        <v>20</v>
      </c>
      <c r="U123" s="103" t="s">
        <v>177</v>
      </c>
      <c r="V123" s="103" t="n">
        <v>500</v>
      </c>
      <c r="W123" s="103" t="n">
        <f aca="false">DATA_PIPELINE!$K123</f>
        <v>0</v>
      </c>
      <c r="X123" s="103" t="n">
        <f aca="false">DATA_PIPELINE!$V123-DATA_PIPELINE!$W123</f>
        <v>500</v>
      </c>
      <c r="Y123" s="103" t="str">
        <f aca="false">IF(DATA_PIPELINE!$X123=0,"Paid",IF(DATA_PIPELINE!$W123=0,"Unpaid","Partly Paid"))</f>
        <v>Unpaid</v>
      </c>
    </row>
    <row r="124" customFormat="false" ht="15" hidden="false" customHeight="true" outlineLevel="0" collapsed="false">
      <c r="A124" s="103" t="n">
        <v>119</v>
      </c>
      <c r="B124" s="103" t="s">
        <v>529</v>
      </c>
      <c r="C124" s="103" t="s">
        <v>530</v>
      </c>
      <c r="D124" s="103" t="s">
        <v>531</v>
      </c>
      <c r="E124" s="103" t="s">
        <v>532</v>
      </c>
      <c r="F124" s="103" t="n">
        <v>772585774</v>
      </c>
      <c r="G124" s="103" t="s">
        <v>533</v>
      </c>
      <c r="H124" s="103" t="s">
        <v>174</v>
      </c>
      <c r="I124" s="103" t="n">
        <v>2</v>
      </c>
      <c r="J124" s="103" t="s">
        <v>175</v>
      </c>
      <c r="K124" s="103" t="n">
        <v>50</v>
      </c>
      <c r="L124" s="103" t="n">
        <v>450</v>
      </c>
      <c r="M124" s="103" t="n">
        <v>0</v>
      </c>
      <c r="N124" s="103" t="n">
        <v>100</v>
      </c>
      <c r="O124" s="103" t="n">
        <v>8888.19</v>
      </c>
      <c r="P124" s="103" t="n">
        <v>0</v>
      </c>
      <c r="Q124" s="103" t="n">
        <v>0</v>
      </c>
      <c r="R124" s="103" t="n">
        <v>8888.19</v>
      </c>
      <c r="S124" s="103" t="s">
        <v>176</v>
      </c>
      <c r="T124" s="103" t="n">
        <v>100</v>
      </c>
      <c r="U124" s="103" t="s">
        <v>177</v>
      </c>
      <c r="V124" s="103" t="n">
        <v>500</v>
      </c>
      <c r="W124" s="103" t="n">
        <f aca="false">DATA_PIPELINE!$K124</f>
        <v>50</v>
      </c>
      <c r="X124" s="103" t="n">
        <f aca="false">DATA_PIPELINE!$V124-DATA_PIPELINE!$W124</f>
        <v>450</v>
      </c>
      <c r="Y124" s="103" t="str">
        <f aca="false">IF(DATA_PIPELINE!$X124=0,"Paid",IF(DATA_PIPELINE!$W124=0,"Unpaid","Partly Paid"))</f>
        <v>Partly Paid</v>
      </c>
    </row>
    <row r="125" customFormat="false" ht="15" hidden="false" customHeight="true" outlineLevel="0" collapsed="false">
      <c r="A125" s="103" t="n">
        <v>120</v>
      </c>
      <c r="B125" s="103" t="s">
        <v>534</v>
      </c>
      <c r="C125" s="103" t="s">
        <v>535</v>
      </c>
      <c r="D125" s="103" t="s">
        <v>420</v>
      </c>
      <c r="E125" s="103" t="s">
        <v>536</v>
      </c>
      <c r="F125" s="103" t="n">
        <v>773892601</v>
      </c>
      <c r="G125" s="103" t="s">
        <v>417</v>
      </c>
      <c r="H125" s="103" t="s">
        <v>174</v>
      </c>
      <c r="I125" s="103"/>
      <c r="J125" s="103" t="s">
        <v>175</v>
      </c>
      <c r="K125" s="103" t="n">
        <v>100</v>
      </c>
      <c r="L125" s="103" t="n">
        <v>400</v>
      </c>
      <c r="M125" s="103" t="n">
        <v>0</v>
      </c>
      <c r="N125" s="103" t="n">
        <v>50</v>
      </c>
      <c r="O125" s="103" t="n">
        <v>7678.02</v>
      </c>
      <c r="P125" s="103" t="n">
        <v>0</v>
      </c>
      <c r="Q125" s="103" t="n">
        <v>0</v>
      </c>
      <c r="R125" s="103" t="n">
        <v>7678.02</v>
      </c>
      <c r="S125" s="103" t="s">
        <v>176</v>
      </c>
      <c r="T125" s="103" t="n">
        <v>50</v>
      </c>
      <c r="U125" s="103" t="s">
        <v>177</v>
      </c>
      <c r="V125" s="103" t="n">
        <v>500</v>
      </c>
      <c r="W125" s="103" t="n">
        <f aca="false">DATA_PIPELINE!$K125</f>
        <v>100</v>
      </c>
      <c r="X125" s="103" t="n">
        <f aca="false">DATA_PIPELINE!$V125-DATA_PIPELINE!$W125</f>
        <v>400</v>
      </c>
      <c r="Y125" s="103" t="str">
        <f aca="false">IF(DATA_PIPELINE!$X125=0,"Paid",IF(DATA_PIPELINE!$W125=0,"Unpaid","Partly Paid"))</f>
        <v>Partly Paid</v>
      </c>
    </row>
    <row r="126" customFormat="false" ht="15" hidden="false" customHeight="true" outlineLevel="0" collapsed="false">
      <c r="A126" s="103" t="n">
        <v>121</v>
      </c>
      <c r="B126" s="103" t="s">
        <v>537</v>
      </c>
      <c r="C126" s="103" t="s">
        <v>256</v>
      </c>
      <c r="D126" s="103" t="s">
        <v>420</v>
      </c>
      <c r="E126" s="103" t="s">
        <v>538</v>
      </c>
      <c r="F126" s="103" t="n">
        <v>772423719</v>
      </c>
      <c r="G126" s="103" t="s">
        <v>417</v>
      </c>
      <c r="H126" s="103" t="s">
        <v>174</v>
      </c>
      <c r="I126" s="103"/>
      <c r="J126" s="103" t="s">
        <v>175</v>
      </c>
      <c r="K126" s="103" t="n">
        <v>0</v>
      </c>
      <c r="L126" s="103" t="n">
        <v>0</v>
      </c>
      <c r="M126" s="103" t="n">
        <v>0</v>
      </c>
      <c r="N126" s="103" t="n">
        <v>20</v>
      </c>
      <c r="O126" s="103" t="n">
        <v>8416.08</v>
      </c>
      <c r="P126" s="103" t="n">
        <v>1.4</v>
      </c>
      <c r="Q126" s="103" t="n">
        <v>510.65</v>
      </c>
      <c r="R126" s="103" t="n">
        <v>7905.43</v>
      </c>
      <c r="S126" s="103" t="n">
        <v>6.07</v>
      </c>
      <c r="T126" s="103" t="n">
        <v>20</v>
      </c>
      <c r="U126" s="103" t="s">
        <v>177</v>
      </c>
      <c r="V126" s="103" t="n">
        <v>500</v>
      </c>
      <c r="W126" s="103" t="n">
        <f aca="false">DATA_PIPELINE!$K126</f>
        <v>0</v>
      </c>
      <c r="X126" s="103" t="n">
        <f aca="false">DATA_PIPELINE!$V126-DATA_PIPELINE!$W126</f>
        <v>500</v>
      </c>
      <c r="Y126" s="103" t="str">
        <f aca="false">IF(DATA_PIPELINE!$X126=0,"Paid",IF(DATA_PIPELINE!$W126=0,"Unpaid","Partly Paid"))</f>
        <v>Unpaid</v>
      </c>
    </row>
    <row r="127" customFormat="false" ht="15" hidden="false" customHeight="true" outlineLevel="0" collapsed="false">
      <c r="A127" s="103" t="n">
        <v>122</v>
      </c>
      <c r="B127" s="103" t="s">
        <v>539</v>
      </c>
      <c r="C127" s="103" t="s">
        <v>540</v>
      </c>
      <c r="D127" s="103" t="s">
        <v>420</v>
      </c>
      <c r="E127" s="103" t="s">
        <v>541</v>
      </c>
      <c r="F127" s="103" t="n">
        <v>778552176</v>
      </c>
      <c r="G127" s="103" t="s">
        <v>417</v>
      </c>
      <c r="H127" s="103" t="s">
        <v>174</v>
      </c>
      <c r="I127" s="103"/>
      <c r="J127" s="103" t="s">
        <v>175</v>
      </c>
      <c r="K127" s="103" t="n">
        <v>0</v>
      </c>
      <c r="L127" s="103" t="n">
        <v>0</v>
      </c>
      <c r="M127" s="103" t="n">
        <v>0</v>
      </c>
      <c r="N127" s="103" t="n">
        <v>30</v>
      </c>
      <c r="O127" s="103" t="n">
        <v>4776.03</v>
      </c>
      <c r="P127" s="103" t="n">
        <v>0</v>
      </c>
      <c r="Q127" s="103" t="n">
        <v>0</v>
      </c>
      <c r="R127" s="103" t="n">
        <v>4776.03</v>
      </c>
      <c r="S127" s="103" t="s">
        <v>176</v>
      </c>
      <c r="T127" s="103" t="n">
        <v>30</v>
      </c>
      <c r="U127" s="103" t="s">
        <v>177</v>
      </c>
      <c r="V127" s="103" t="n">
        <v>500</v>
      </c>
      <c r="W127" s="103" t="n">
        <f aca="false">DATA_PIPELINE!$K127</f>
        <v>0</v>
      </c>
      <c r="X127" s="103" t="n">
        <f aca="false">DATA_PIPELINE!$V127-DATA_PIPELINE!$W127</f>
        <v>500</v>
      </c>
      <c r="Y127" s="103" t="str">
        <f aca="false">IF(DATA_PIPELINE!$X127=0,"Paid",IF(DATA_PIPELINE!$W127=0,"Unpaid","Partly Paid"))</f>
        <v>Unpaid</v>
      </c>
    </row>
    <row r="128" customFormat="false" ht="15" hidden="false" customHeight="true" outlineLevel="0" collapsed="false">
      <c r="A128" s="103" t="n">
        <v>123</v>
      </c>
      <c r="B128" s="103" t="s">
        <v>542</v>
      </c>
      <c r="C128" s="103" t="s">
        <v>543</v>
      </c>
      <c r="D128" s="103" t="s">
        <v>420</v>
      </c>
      <c r="E128" s="103" t="s">
        <v>544</v>
      </c>
      <c r="F128" s="103" t="n">
        <v>773419200</v>
      </c>
      <c r="G128" s="103" t="s">
        <v>417</v>
      </c>
      <c r="H128" s="103" t="s">
        <v>174</v>
      </c>
      <c r="I128" s="103" t="n">
        <v>9</v>
      </c>
      <c r="J128" s="103" t="s">
        <v>175</v>
      </c>
      <c r="K128" s="103" t="n">
        <v>0</v>
      </c>
      <c r="L128" s="103" t="n">
        <v>0</v>
      </c>
      <c r="M128" s="103" t="n">
        <v>0</v>
      </c>
      <c r="N128" s="103" t="n">
        <v>20</v>
      </c>
      <c r="O128" s="103" t="n">
        <v>4743.76</v>
      </c>
      <c r="P128" s="103" t="n">
        <v>0</v>
      </c>
      <c r="Q128" s="103" t="n">
        <v>0</v>
      </c>
      <c r="R128" s="103" t="n">
        <v>4743.76</v>
      </c>
      <c r="S128" s="103" t="s">
        <v>176</v>
      </c>
      <c r="T128" s="103" t="n">
        <v>20</v>
      </c>
      <c r="U128" s="103" t="s">
        <v>177</v>
      </c>
      <c r="V128" s="103" t="n">
        <v>500</v>
      </c>
      <c r="W128" s="103" t="n">
        <f aca="false">DATA_PIPELINE!$K128</f>
        <v>0</v>
      </c>
      <c r="X128" s="103" t="n">
        <f aca="false">DATA_PIPELINE!$V128-DATA_PIPELINE!$W128</f>
        <v>500</v>
      </c>
      <c r="Y128" s="103" t="str">
        <f aca="false">IF(DATA_PIPELINE!$X128=0,"Paid",IF(DATA_PIPELINE!$W128=0,"Unpaid","Partly Paid"))</f>
        <v>Unpaid</v>
      </c>
    </row>
    <row r="129" customFormat="false" ht="15" hidden="false" customHeight="true" outlineLevel="0" collapsed="false">
      <c r="A129" s="103" t="n">
        <v>124</v>
      </c>
      <c r="B129" s="103" t="s">
        <v>545</v>
      </c>
      <c r="C129" s="103" t="s">
        <v>546</v>
      </c>
      <c r="D129" s="103" t="s">
        <v>420</v>
      </c>
      <c r="E129" s="103" t="s">
        <v>547</v>
      </c>
      <c r="F129" s="103" t="n">
        <v>773458533</v>
      </c>
      <c r="G129" s="103" t="s">
        <v>417</v>
      </c>
      <c r="H129" s="103" t="s">
        <v>174</v>
      </c>
      <c r="I129" s="103"/>
      <c r="J129" s="103" t="s">
        <v>175</v>
      </c>
      <c r="K129" s="103" t="n">
        <v>0</v>
      </c>
      <c r="L129" s="103" t="n">
        <v>0</v>
      </c>
      <c r="M129" s="103" t="n">
        <v>0</v>
      </c>
      <c r="N129" s="103" t="n">
        <v>35</v>
      </c>
      <c r="O129" s="103" t="n">
        <v>6591.02</v>
      </c>
      <c r="P129" s="103" t="n">
        <v>0</v>
      </c>
      <c r="Q129" s="103" t="n">
        <v>0</v>
      </c>
      <c r="R129" s="103" t="n">
        <v>6591.02</v>
      </c>
      <c r="S129" s="103" t="s">
        <v>176</v>
      </c>
      <c r="T129" s="103" t="n">
        <v>35</v>
      </c>
      <c r="U129" s="103" t="s">
        <v>177</v>
      </c>
      <c r="V129" s="103" t="n">
        <v>500</v>
      </c>
      <c r="W129" s="103" t="n">
        <f aca="false">DATA_PIPELINE!$K129</f>
        <v>0</v>
      </c>
      <c r="X129" s="103" t="n">
        <f aca="false">DATA_PIPELINE!$V129-DATA_PIPELINE!$W129</f>
        <v>500</v>
      </c>
      <c r="Y129" s="103" t="str">
        <f aca="false">IF(DATA_PIPELINE!$X129=0,"Paid",IF(DATA_PIPELINE!$W129=0,"Unpaid","Partly Paid"))</f>
        <v>Unpaid</v>
      </c>
    </row>
    <row r="130" customFormat="false" ht="15" hidden="false" customHeight="true" outlineLevel="0" collapsed="false">
      <c r="A130" s="103" t="n">
        <v>125</v>
      </c>
      <c r="B130" s="103" t="s">
        <v>548</v>
      </c>
      <c r="C130" s="103" t="s">
        <v>549</v>
      </c>
      <c r="D130" s="103" t="s">
        <v>420</v>
      </c>
      <c r="E130" s="103" t="s">
        <v>550</v>
      </c>
      <c r="F130" s="103" t="n">
        <v>772280322</v>
      </c>
      <c r="G130" s="103" t="s">
        <v>417</v>
      </c>
      <c r="H130" s="103" t="s">
        <v>174</v>
      </c>
      <c r="I130" s="103"/>
      <c r="J130" s="103" t="s">
        <v>175</v>
      </c>
      <c r="K130" s="103" t="n">
        <v>0</v>
      </c>
      <c r="L130" s="103" t="n">
        <v>0</v>
      </c>
      <c r="M130" s="103" t="n">
        <v>0</v>
      </c>
      <c r="N130" s="103" t="n">
        <v>10</v>
      </c>
      <c r="O130" s="103" t="n">
        <v>2030.63</v>
      </c>
      <c r="P130" s="103" t="n">
        <v>0</v>
      </c>
      <c r="Q130" s="103" t="n">
        <v>0</v>
      </c>
      <c r="R130" s="103" t="n">
        <v>2030.63</v>
      </c>
      <c r="S130" s="103" t="s">
        <v>176</v>
      </c>
      <c r="T130" s="103" t="n">
        <v>10</v>
      </c>
      <c r="U130" s="103" t="s">
        <v>177</v>
      </c>
      <c r="V130" s="103" t="n">
        <v>500</v>
      </c>
      <c r="W130" s="103" t="n">
        <f aca="false">DATA_PIPELINE!$K130</f>
        <v>0</v>
      </c>
      <c r="X130" s="103" t="n">
        <f aca="false">DATA_PIPELINE!$V130-DATA_PIPELINE!$W130</f>
        <v>500</v>
      </c>
      <c r="Y130" s="103" t="str">
        <f aca="false">IF(DATA_PIPELINE!$X130=0,"Paid",IF(DATA_PIPELINE!$W130=0,"Unpaid","Partly Paid"))</f>
        <v>Unpaid</v>
      </c>
    </row>
    <row r="131" customFormat="false" ht="15" hidden="false" customHeight="true" outlineLevel="0" collapsed="false">
      <c r="A131" s="103" t="n">
        <v>126</v>
      </c>
      <c r="B131" s="103" t="s">
        <v>551</v>
      </c>
      <c r="C131" s="103" t="s">
        <v>552</v>
      </c>
      <c r="D131" s="103" t="s">
        <v>420</v>
      </c>
      <c r="E131" s="103" t="s">
        <v>553</v>
      </c>
      <c r="F131" s="103" t="n">
        <v>788034662</v>
      </c>
      <c r="G131" s="103" t="s">
        <v>417</v>
      </c>
      <c r="H131" s="103" t="s">
        <v>174</v>
      </c>
      <c r="I131" s="103"/>
      <c r="J131" s="103" t="s">
        <v>175</v>
      </c>
      <c r="K131" s="103" t="n">
        <v>0</v>
      </c>
      <c r="L131" s="103" t="n">
        <v>0</v>
      </c>
      <c r="M131" s="103" t="n">
        <v>0</v>
      </c>
      <c r="N131" s="103" t="n">
        <v>50</v>
      </c>
      <c r="O131" s="103" t="n">
        <v>11744.2</v>
      </c>
      <c r="P131" s="103" t="n">
        <v>0</v>
      </c>
      <c r="Q131" s="103" t="n">
        <v>0</v>
      </c>
      <c r="R131" s="103" t="n">
        <v>11744.2</v>
      </c>
      <c r="S131" s="103" t="s">
        <v>176</v>
      </c>
      <c r="T131" s="103" t="n">
        <v>50</v>
      </c>
      <c r="U131" s="103" t="s">
        <v>177</v>
      </c>
      <c r="V131" s="103" t="n">
        <v>500</v>
      </c>
      <c r="W131" s="103" t="n">
        <f aca="false">DATA_PIPELINE!$K131</f>
        <v>0</v>
      </c>
      <c r="X131" s="103" t="n">
        <f aca="false">DATA_PIPELINE!$V131-DATA_PIPELINE!$W131</f>
        <v>500</v>
      </c>
      <c r="Y131" s="103" t="str">
        <f aca="false">IF(DATA_PIPELINE!$X131=0,"Paid",IF(DATA_PIPELINE!$W131=0,"Unpaid","Partly Paid"))</f>
        <v>Unpaid</v>
      </c>
    </row>
    <row r="132" customFormat="false" ht="15" hidden="false" customHeight="true" outlineLevel="0" collapsed="false">
      <c r="A132" s="103" t="n">
        <v>127</v>
      </c>
      <c r="B132" s="103" t="s">
        <v>554</v>
      </c>
      <c r="C132" s="103" t="s">
        <v>555</v>
      </c>
      <c r="D132" s="103" t="s">
        <v>420</v>
      </c>
      <c r="E132" s="103" t="s">
        <v>556</v>
      </c>
      <c r="F132" s="103" t="n">
        <v>776038520</v>
      </c>
      <c r="G132" s="103" t="s">
        <v>417</v>
      </c>
      <c r="H132" s="103" t="s">
        <v>174</v>
      </c>
      <c r="I132" s="103" t="n">
        <v>4</v>
      </c>
      <c r="J132" s="103" t="s">
        <v>175</v>
      </c>
      <c r="K132" s="103" t="n">
        <v>0</v>
      </c>
      <c r="L132" s="103" t="n">
        <v>0</v>
      </c>
      <c r="M132" s="103" t="n">
        <v>0</v>
      </c>
      <c r="N132" s="103" t="n">
        <v>100</v>
      </c>
      <c r="O132" s="103" t="n">
        <v>33191.52</v>
      </c>
      <c r="P132" s="103" t="n">
        <v>0</v>
      </c>
      <c r="Q132" s="103" t="n">
        <v>0</v>
      </c>
      <c r="R132" s="103" t="n">
        <v>33191.52</v>
      </c>
      <c r="S132" s="103" t="s">
        <v>176</v>
      </c>
      <c r="T132" s="103" t="n">
        <v>100</v>
      </c>
      <c r="U132" s="103" t="s">
        <v>177</v>
      </c>
      <c r="V132" s="103" t="n">
        <v>500</v>
      </c>
      <c r="W132" s="103" t="n">
        <f aca="false">DATA_PIPELINE!$K132</f>
        <v>0</v>
      </c>
      <c r="X132" s="103" t="n">
        <f aca="false">DATA_PIPELINE!$V132-DATA_PIPELINE!$W132</f>
        <v>500</v>
      </c>
      <c r="Y132" s="103" t="str">
        <f aca="false">IF(DATA_PIPELINE!$X132=0,"Paid",IF(DATA_PIPELINE!$W132=0,"Unpaid","Partly Paid"))</f>
        <v>Unpaid</v>
      </c>
    </row>
    <row r="133" customFormat="false" ht="15" hidden="false" customHeight="true" outlineLevel="0" collapsed="false">
      <c r="A133" s="103" t="n">
        <v>128</v>
      </c>
      <c r="B133" s="103" t="s">
        <v>557</v>
      </c>
      <c r="C133" s="103" t="s">
        <v>558</v>
      </c>
      <c r="D133" s="103" t="s">
        <v>420</v>
      </c>
      <c r="E133" s="103" t="s">
        <v>559</v>
      </c>
      <c r="F133" s="103" t="n">
        <v>772902058</v>
      </c>
      <c r="G133" s="103" t="s">
        <v>417</v>
      </c>
      <c r="H133" s="103" t="s">
        <v>174</v>
      </c>
      <c r="I133" s="103"/>
      <c r="J133" s="103" t="s">
        <v>175</v>
      </c>
      <c r="K133" s="103" t="n">
        <v>0</v>
      </c>
      <c r="L133" s="103" t="n">
        <v>0</v>
      </c>
      <c r="M133" s="103" t="n">
        <v>0</v>
      </c>
      <c r="N133" s="103" t="n">
        <v>60</v>
      </c>
      <c r="O133" s="103" t="n">
        <v>10147.21</v>
      </c>
      <c r="P133" s="103" t="n">
        <v>0</v>
      </c>
      <c r="Q133" s="103" t="n">
        <v>0</v>
      </c>
      <c r="R133" s="103" t="n">
        <v>10147.21</v>
      </c>
      <c r="S133" s="103" t="s">
        <v>176</v>
      </c>
      <c r="T133" s="103" t="n">
        <v>60</v>
      </c>
      <c r="U133" s="103" t="s">
        <v>177</v>
      </c>
      <c r="V133" s="103" t="n">
        <v>500</v>
      </c>
      <c r="W133" s="103" t="n">
        <f aca="false">DATA_PIPELINE!$K133</f>
        <v>0</v>
      </c>
      <c r="X133" s="103" t="n">
        <f aca="false">DATA_PIPELINE!$V133-DATA_PIPELINE!$W133</f>
        <v>500</v>
      </c>
      <c r="Y133" s="103" t="str">
        <f aca="false">IF(DATA_PIPELINE!$X133=0,"Paid",IF(DATA_PIPELINE!$W133=0,"Unpaid","Partly Paid"))</f>
        <v>Unpaid</v>
      </c>
    </row>
    <row r="134" customFormat="false" ht="15" hidden="false" customHeight="true" outlineLevel="0" collapsed="false">
      <c r="A134" s="103" t="n">
        <v>129</v>
      </c>
      <c r="B134" s="103" t="s">
        <v>560</v>
      </c>
      <c r="C134" s="103" t="s">
        <v>561</v>
      </c>
      <c r="D134" s="103" t="s">
        <v>420</v>
      </c>
      <c r="E134" s="103" t="s">
        <v>562</v>
      </c>
      <c r="F134" s="103" t="n">
        <v>775853273</v>
      </c>
      <c r="G134" s="103" t="s">
        <v>417</v>
      </c>
      <c r="H134" s="103" t="s">
        <v>174</v>
      </c>
      <c r="I134" s="103"/>
      <c r="J134" s="103" t="s">
        <v>175</v>
      </c>
      <c r="K134" s="103" t="n">
        <v>0</v>
      </c>
      <c r="L134" s="103" t="n">
        <v>0</v>
      </c>
      <c r="M134" s="103" t="n">
        <v>0</v>
      </c>
      <c r="N134" s="103" t="n">
        <v>20</v>
      </c>
      <c r="O134" s="103" t="n">
        <v>2447.07</v>
      </c>
      <c r="P134" s="103" t="n">
        <v>0</v>
      </c>
      <c r="Q134" s="103" t="n">
        <v>0</v>
      </c>
      <c r="R134" s="103" t="n">
        <v>2447.07</v>
      </c>
      <c r="S134" s="103" t="s">
        <v>176</v>
      </c>
      <c r="T134" s="103" t="n">
        <v>20</v>
      </c>
      <c r="U134" s="103" t="s">
        <v>177</v>
      </c>
      <c r="V134" s="103" t="n">
        <v>500</v>
      </c>
      <c r="W134" s="103" t="n">
        <f aca="false">DATA_PIPELINE!$K134</f>
        <v>0</v>
      </c>
      <c r="X134" s="103" t="n">
        <f aca="false">DATA_PIPELINE!$V134-DATA_PIPELINE!$W134</f>
        <v>500</v>
      </c>
      <c r="Y134" s="103" t="str">
        <f aca="false">IF(DATA_PIPELINE!$X134=0,"Paid",IF(DATA_PIPELINE!$W134=0,"Unpaid","Partly Paid"))</f>
        <v>Unpaid</v>
      </c>
    </row>
    <row r="135" customFormat="false" ht="15" hidden="false" customHeight="true" outlineLevel="0" collapsed="false">
      <c r="A135" s="103" t="n">
        <v>130</v>
      </c>
      <c r="B135" s="103" t="s">
        <v>563</v>
      </c>
      <c r="C135" s="103" t="s">
        <v>564</v>
      </c>
      <c r="D135" s="103" t="s">
        <v>420</v>
      </c>
      <c r="E135" s="103" t="s">
        <v>565</v>
      </c>
      <c r="F135" s="103" t="n">
        <v>772916466</v>
      </c>
      <c r="G135" s="103" t="s">
        <v>417</v>
      </c>
      <c r="H135" s="103" t="s">
        <v>174</v>
      </c>
      <c r="I135" s="103"/>
      <c r="J135" s="103" t="s">
        <v>175</v>
      </c>
      <c r="K135" s="103" t="n">
        <v>0</v>
      </c>
      <c r="L135" s="103" t="n">
        <v>0</v>
      </c>
      <c r="M135" s="103" t="n">
        <v>0</v>
      </c>
      <c r="N135" s="103" t="n">
        <v>20</v>
      </c>
      <c r="O135" s="103" t="n">
        <v>3382.09</v>
      </c>
      <c r="P135" s="103" t="n">
        <v>0</v>
      </c>
      <c r="Q135" s="103" t="n">
        <v>0</v>
      </c>
      <c r="R135" s="103" t="n">
        <v>3382.09</v>
      </c>
      <c r="S135" s="103" t="s">
        <v>176</v>
      </c>
      <c r="T135" s="103" t="n">
        <v>20</v>
      </c>
      <c r="U135" s="103" t="s">
        <v>177</v>
      </c>
      <c r="V135" s="103" t="n">
        <v>500</v>
      </c>
      <c r="W135" s="103" t="n">
        <f aca="false">DATA_PIPELINE!$K135</f>
        <v>0</v>
      </c>
      <c r="X135" s="103" t="n">
        <f aca="false">DATA_PIPELINE!$V135-DATA_PIPELINE!$W135</f>
        <v>500</v>
      </c>
      <c r="Y135" s="103" t="str">
        <f aca="false">IF(DATA_PIPELINE!$X135=0,"Paid",IF(DATA_PIPELINE!$W135=0,"Unpaid","Partly Paid"))</f>
        <v>Unpaid</v>
      </c>
    </row>
    <row r="136" customFormat="false" ht="15" hidden="false" customHeight="true" outlineLevel="0" collapsed="false">
      <c r="A136" s="103" t="n">
        <v>131</v>
      </c>
      <c r="B136" s="103" t="s">
        <v>566</v>
      </c>
      <c r="C136" s="103" t="s">
        <v>567</v>
      </c>
      <c r="D136" s="103" t="s">
        <v>420</v>
      </c>
      <c r="E136" s="103" t="s">
        <v>568</v>
      </c>
      <c r="F136" s="103" t="n">
        <v>778925659</v>
      </c>
      <c r="G136" s="103" t="s">
        <v>417</v>
      </c>
      <c r="H136" s="103" t="s">
        <v>174</v>
      </c>
      <c r="I136" s="103"/>
      <c r="J136" s="103" t="s">
        <v>175</v>
      </c>
      <c r="K136" s="103" t="n">
        <v>0</v>
      </c>
      <c r="L136" s="103" t="n">
        <v>0</v>
      </c>
      <c r="M136" s="103" t="n">
        <v>0</v>
      </c>
      <c r="N136" s="103" t="n">
        <v>10</v>
      </c>
      <c r="O136" s="103" t="n">
        <v>3799.67</v>
      </c>
      <c r="P136" s="103" t="n">
        <v>0</v>
      </c>
      <c r="Q136" s="103" t="n">
        <v>0</v>
      </c>
      <c r="R136" s="103" t="n">
        <v>3799.67</v>
      </c>
      <c r="S136" s="103" t="s">
        <v>176</v>
      </c>
      <c r="T136" s="103" t="n">
        <v>10</v>
      </c>
      <c r="U136" s="103" t="s">
        <v>177</v>
      </c>
      <c r="V136" s="103" t="n">
        <v>500</v>
      </c>
      <c r="W136" s="103" t="n">
        <f aca="false">DATA_PIPELINE!$K136</f>
        <v>0</v>
      </c>
      <c r="X136" s="103" t="n">
        <f aca="false">DATA_PIPELINE!$V136-DATA_PIPELINE!$W136</f>
        <v>500</v>
      </c>
      <c r="Y136" s="103" t="str">
        <f aca="false">IF(DATA_PIPELINE!$X136=0,"Paid",IF(DATA_PIPELINE!$W136=0,"Unpaid","Partly Paid"))</f>
        <v>Unpaid</v>
      </c>
    </row>
    <row r="137" customFormat="false" ht="15" hidden="false" customHeight="true" outlineLevel="0" collapsed="false">
      <c r="A137" s="103" t="n">
        <v>132</v>
      </c>
      <c r="B137" s="103" t="s">
        <v>569</v>
      </c>
      <c r="C137" s="103" t="s">
        <v>570</v>
      </c>
      <c r="D137" s="103" t="s">
        <v>420</v>
      </c>
      <c r="E137" s="103" t="s">
        <v>571</v>
      </c>
      <c r="F137" s="103" t="n">
        <v>778190622</v>
      </c>
      <c r="G137" s="103" t="s">
        <v>417</v>
      </c>
      <c r="H137" s="103" t="s">
        <v>174</v>
      </c>
      <c r="I137" s="103"/>
      <c r="J137" s="103" t="s">
        <v>175</v>
      </c>
      <c r="K137" s="103" t="n">
        <v>0</v>
      </c>
      <c r="L137" s="103" t="n">
        <v>0</v>
      </c>
      <c r="M137" s="103" t="n">
        <v>0</v>
      </c>
      <c r="N137" s="103" t="n">
        <v>20</v>
      </c>
      <c r="O137" s="103" t="n">
        <v>5277.91</v>
      </c>
      <c r="P137" s="103" t="n">
        <v>0</v>
      </c>
      <c r="Q137" s="103" t="n">
        <v>0</v>
      </c>
      <c r="R137" s="103" t="n">
        <v>5277.91</v>
      </c>
      <c r="S137" s="103" t="s">
        <v>176</v>
      </c>
      <c r="T137" s="103" t="n">
        <v>20</v>
      </c>
      <c r="U137" s="103" t="s">
        <v>177</v>
      </c>
      <c r="V137" s="103" t="n">
        <v>500</v>
      </c>
      <c r="W137" s="103" t="n">
        <f aca="false">DATA_PIPELINE!$K137</f>
        <v>0</v>
      </c>
      <c r="X137" s="103" t="n">
        <f aca="false">DATA_PIPELINE!$V137-DATA_PIPELINE!$W137</f>
        <v>500</v>
      </c>
      <c r="Y137" s="103" t="str">
        <f aca="false">IF(DATA_PIPELINE!$X137=0,"Paid",IF(DATA_PIPELINE!$W137=0,"Unpaid","Partly Paid"))</f>
        <v>Unpaid</v>
      </c>
    </row>
    <row r="138" customFormat="false" ht="15" hidden="false" customHeight="true" outlineLevel="0" collapsed="false">
      <c r="A138" s="103" t="n">
        <v>133</v>
      </c>
      <c r="B138" s="103" t="s">
        <v>572</v>
      </c>
      <c r="C138" s="103" t="s">
        <v>573</v>
      </c>
      <c r="D138" s="103" t="s">
        <v>420</v>
      </c>
      <c r="E138" s="103" t="s">
        <v>574</v>
      </c>
      <c r="F138" s="103" t="n">
        <v>774546918</v>
      </c>
      <c r="G138" s="103" t="s">
        <v>417</v>
      </c>
      <c r="H138" s="103" t="s">
        <v>174</v>
      </c>
      <c r="I138" s="103"/>
      <c r="J138" s="103" t="s">
        <v>175</v>
      </c>
      <c r="K138" s="103" t="n">
        <v>0</v>
      </c>
      <c r="L138" s="103" t="n">
        <v>0</v>
      </c>
      <c r="M138" s="103" t="n">
        <v>0</v>
      </c>
      <c r="N138" s="103" t="n">
        <v>50</v>
      </c>
      <c r="O138" s="103" t="n">
        <v>4823.94</v>
      </c>
      <c r="P138" s="103" t="n">
        <v>0</v>
      </c>
      <c r="Q138" s="103" t="n">
        <v>0</v>
      </c>
      <c r="R138" s="103" t="n">
        <v>4823.94</v>
      </c>
      <c r="S138" s="103" t="s">
        <v>176</v>
      </c>
      <c r="T138" s="103" t="n">
        <v>50</v>
      </c>
      <c r="U138" s="103" t="s">
        <v>177</v>
      </c>
      <c r="V138" s="103" t="n">
        <v>500</v>
      </c>
      <c r="W138" s="103" t="n">
        <f aca="false">DATA_PIPELINE!$K138</f>
        <v>0</v>
      </c>
      <c r="X138" s="103" t="n">
        <f aca="false">DATA_PIPELINE!$V138-DATA_PIPELINE!$W138</f>
        <v>500</v>
      </c>
      <c r="Y138" s="103" t="str">
        <f aca="false">IF(DATA_PIPELINE!$X138=0,"Paid",IF(DATA_PIPELINE!$W138=0,"Unpaid","Partly Paid"))</f>
        <v>Unpaid</v>
      </c>
    </row>
    <row r="139" customFormat="false" ht="15" hidden="false" customHeight="true" outlineLevel="0" collapsed="false">
      <c r="A139" s="103" t="n">
        <v>134</v>
      </c>
      <c r="B139" s="103" t="s">
        <v>575</v>
      </c>
      <c r="C139" s="103" t="s">
        <v>576</v>
      </c>
      <c r="D139" s="103" t="s">
        <v>420</v>
      </c>
      <c r="E139" s="103" t="s">
        <v>577</v>
      </c>
      <c r="F139" s="103" t="n">
        <v>773401430</v>
      </c>
      <c r="G139" s="103" t="s">
        <v>417</v>
      </c>
      <c r="H139" s="103" t="s">
        <v>174</v>
      </c>
      <c r="I139" s="103"/>
      <c r="J139" s="103" t="s">
        <v>175</v>
      </c>
      <c r="K139" s="103" t="n">
        <v>0</v>
      </c>
      <c r="L139" s="103" t="n">
        <v>0</v>
      </c>
      <c r="M139" s="103" t="n">
        <v>0</v>
      </c>
      <c r="N139" s="103" t="n">
        <v>10</v>
      </c>
      <c r="O139" s="103" t="n">
        <v>1635.07</v>
      </c>
      <c r="P139" s="103" t="n">
        <v>0</v>
      </c>
      <c r="Q139" s="103" t="n">
        <v>0</v>
      </c>
      <c r="R139" s="103" t="n">
        <v>1635.07</v>
      </c>
      <c r="S139" s="103" t="s">
        <v>176</v>
      </c>
      <c r="T139" s="103" t="n">
        <v>10</v>
      </c>
      <c r="U139" s="103" t="s">
        <v>177</v>
      </c>
      <c r="V139" s="103" t="n">
        <v>500</v>
      </c>
      <c r="W139" s="103" t="n">
        <f aca="false">DATA_PIPELINE!$K139</f>
        <v>0</v>
      </c>
      <c r="X139" s="103" t="n">
        <f aca="false">DATA_PIPELINE!$V139-DATA_PIPELINE!$W139</f>
        <v>500</v>
      </c>
      <c r="Y139" s="103" t="str">
        <f aca="false">IF(DATA_PIPELINE!$X139=0,"Paid",IF(DATA_PIPELINE!$W139=0,"Unpaid","Partly Paid"))</f>
        <v>Unpaid</v>
      </c>
    </row>
    <row r="140" customFormat="false" ht="15" hidden="false" customHeight="true" outlineLevel="0" collapsed="false">
      <c r="A140" s="103" t="n">
        <v>135</v>
      </c>
      <c r="B140" s="103" t="s">
        <v>578</v>
      </c>
      <c r="C140" s="103" t="s">
        <v>579</v>
      </c>
      <c r="D140" s="103" t="s">
        <v>420</v>
      </c>
      <c r="E140" s="103" t="s">
        <v>580</v>
      </c>
      <c r="F140" s="103" t="n">
        <v>719945360</v>
      </c>
      <c r="G140" s="103" t="s">
        <v>417</v>
      </c>
      <c r="H140" s="103" t="s">
        <v>174</v>
      </c>
      <c r="I140" s="103"/>
      <c r="J140" s="103" t="s">
        <v>175</v>
      </c>
      <c r="K140" s="103" t="n">
        <v>0</v>
      </c>
      <c r="L140" s="103" t="n">
        <v>0</v>
      </c>
      <c r="M140" s="103" t="n">
        <v>0</v>
      </c>
      <c r="N140" s="103" t="n">
        <v>25</v>
      </c>
      <c r="O140" s="103" t="n">
        <v>6025.81</v>
      </c>
      <c r="P140" s="103" t="n">
        <v>0</v>
      </c>
      <c r="Q140" s="103" t="n">
        <v>0</v>
      </c>
      <c r="R140" s="103" t="n">
        <v>6025.81</v>
      </c>
      <c r="S140" s="103" t="s">
        <v>176</v>
      </c>
      <c r="T140" s="103" t="n">
        <v>25</v>
      </c>
      <c r="U140" s="103" t="s">
        <v>177</v>
      </c>
      <c r="V140" s="103" t="n">
        <v>500</v>
      </c>
      <c r="W140" s="103" t="n">
        <f aca="false">DATA_PIPELINE!$K140</f>
        <v>0</v>
      </c>
      <c r="X140" s="103" t="n">
        <f aca="false">DATA_PIPELINE!$V140-DATA_PIPELINE!$W140</f>
        <v>500</v>
      </c>
      <c r="Y140" s="103" t="str">
        <f aca="false">IF(DATA_PIPELINE!$X140=0,"Paid",IF(DATA_PIPELINE!$W140=0,"Unpaid","Partly Paid"))</f>
        <v>Unpaid</v>
      </c>
    </row>
    <row r="141" customFormat="false" ht="15" hidden="false" customHeight="true" outlineLevel="0" collapsed="false">
      <c r="A141" s="103" t="n">
        <v>136</v>
      </c>
      <c r="B141" s="103" t="s">
        <v>581</v>
      </c>
      <c r="C141" s="103" t="s">
        <v>579</v>
      </c>
      <c r="D141" s="103" t="s">
        <v>420</v>
      </c>
      <c r="E141" s="103" t="s">
        <v>582</v>
      </c>
      <c r="F141" s="103" t="n">
        <v>772356712</v>
      </c>
      <c r="G141" s="103" t="s">
        <v>417</v>
      </c>
      <c r="H141" s="103" t="s">
        <v>174</v>
      </c>
      <c r="I141" s="103"/>
      <c r="J141" s="103" t="s">
        <v>175</v>
      </c>
      <c r="K141" s="103" t="n">
        <v>0</v>
      </c>
      <c r="L141" s="103" t="n">
        <v>0</v>
      </c>
      <c r="M141" s="103" t="n">
        <v>0</v>
      </c>
      <c r="N141" s="103" t="n">
        <v>25</v>
      </c>
      <c r="O141" s="103" t="n">
        <v>3127.48</v>
      </c>
      <c r="P141" s="103" t="n">
        <v>0</v>
      </c>
      <c r="Q141" s="103" t="n">
        <v>0</v>
      </c>
      <c r="R141" s="103" t="n">
        <v>3127.48</v>
      </c>
      <c r="S141" s="103" t="s">
        <v>176</v>
      </c>
      <c r="T141" s="103" t="n">
        <v>25</v>
      </c>
      <c r="U141" s="103" t="s">
        <v>177</v>
      </c>
      <c r="V141" s="103" t="n">
        <v>500</v>
      </c>
      <c r="W141" s="103" t="n">
        <f aca="false">DATA_PIPELINE!$K141</f>
        <v>0</v>
      </c>
      <c r="X141" s="103" t="n">
        <f aca="false">DATA_PIPELINE!$V141-DATA_PIPELINE!$W141</f>
        <v>500</v>
      </c>
      <c r="Y141" s="103" t="str">
        <f aca="false">IF(DATA_PIPELINE!$X141=0,"Paid",IF(DATA_PIPELINE!$W141=0,"Unpaid","Partly Paid"))</f>
        <v>Unpaid</v>
      </c>
    </row>
    <row r="142" customFormat="false" ht="15" hidden="false" customHeight="true" outlineLevel="0" collapsed="false">
      <c r="A142" s="103" t="n">
        <v>137</v>
      </c>
      <c r="B142" s="103" t="s">
        <v>583</v>
      </c>
      <c r="C142" s="103" t="s">
        <v>584</v>
      </c>
      <c r="D142" s="103" t="s">
        <v>420</v>
      </c>
      <c r="E142" s="103" t="s">
        <v>585</v>
      </c>
      <c r="F142" s="103" t="n">
        <v>771650203</v>
      </c>
      <c r="G142" s="103" t="s">
        <v>417</v>
      </c>
      <c r="H142" s="103" t="s">
        <v>174</v>
      </c>
      <c r="I142" s="103"/>
      <c r="J142" s="103" t="s">
        <v>175</v>
      </c>
      <c r="K142" s="103" t="n">
        <v>0</v>
      </c>
      <c r="L142" s="103" t="n">
        <v>0</v>
      </c>
      <c r="M142" s="103" t="n">
        <v>0</v>
      </c>
      <c r="N142" s="103" t="n">
        <v>60</v>
      </c>
      <c r="O142" s="103" t="n">
        <v>9250.49</v>
      </c>
      <c r="P142" s="103" t="n">
        <v>0</v>
      </c>
      <c r="Q142" s="103" t="n">
        <v>0</v>
      </c>
      <c r="R142" s="103" t="n">
        <v>9250.49</v>
      </c>
      <c r="S142" s="103" t="s">
        <v>176</v>
      </c>
      <c r="T142" s="103" t="n">
        <v>60</v>
      </c>
      <c r="U142" s="103" t="s">
        <v>177</v>
      </c>
      <c r="V142" s="103" t="n">
        <v>500</v>
      </c>
      <c r="W142" s="103" t="n">
        <f aca="false">DATA_PIPELINE!$K142</f>
        <v>0</v>
      </c>
      <c r="X142" s="103" t="n">
        <f aca="false">DATA_PIPELINE!$V142-DATA_PIPELINE!$W142</f>
        <v>500</v>
      </c>
      <c r="Y142" s="103" t="str">
        <f aca="false">IF(DATA_PIPELINE!$X142=0,"Paid",IF(DATA_PIPELINE!$W142=0,"Unpaid","Partly Paid"))</f>
        <v>Unpaid</v>
      </c>
    </row>
    <row r="143" customFormat="false" ht="15" hidden="false" customHeight="true" outlineLevel="0" collapsed="false">
      <c r="A143" s="103" t="n">
        <v>138</v>
      </c>
      <c r="B143" s="103" t="s">
        <v>586</v>
      </c>
      <c r="C143" s="103" t="s">
        <v>587</v>
      </c>
      <c r="D143" s="103" t="s">
        <v>420</v>
      </c>
      <c r="E143" s="103" t="s">
        <v>588</v>
      </c>
      <c r="F143" s="103" t="n">
        <v>773229048</v>
      </c>
      <c r="G143" s="103" t="s">
        <v>417</v>
      </c>
      <c r="H143" s="103" t="s">
        <v>174</v>
      </c>
      <c r="I143" s="103"/>
      <c r="J143" s="103" t="s">
        <v>175</v>
      </c>
      <c r="K143" s="103" t="n">
        <v>0</v>
      </c>
      <c r="L143" s="103" t="n">
        <v>0</v>
      </c>
      <c r="M143" s="103" t="n">
        <v>0</v>
      </c>
      <c r="N143" s="103" t="n">
        <v>60</v>
      </c>
      <c r="O143" s="103" t="n">
        <v>8926.41</v>
      </c>
      <c r="P143" s="103" t="n">
        <v>15.44</v>
      </c>
      <c r="Q143" s="103" t="n">
        <v>5631.74</v>
      </c>
      <c r="R143" s="103" t="n">
        <v>3294.67</v>
      </c>
      <c r="S143" s="103" t="n">
        <v>63.09</v>
      </c>
      <c r="T143" s="103" t="n">
        <v>60</v>
      </c>
      <c r="U143" s="103" t="s">
        <v>177</v>
      </c>
      <c r="V143" s="103" t="n">
        <v>500</v>
      </c>
      <c r="W143" s="103" t="n">
        <f aca="false">DATA_PIPELINE!$K143</f>
        <v>0</v>
      </c>
      <c r="X143" s="103" t="n">
        <f aca="false">DATA_PIPELINE!$V143-DATA_PIPELINE!$W143</f>
        <v>500</v>
      </c>
      <c r="Y143" s="103" t="str">
        <f aca="false">IF(DATA_PIPELINE!$X143=0,"Paid",IF(DATA_PIPELINE!$W143=0,"Unpaid","Partly Paid"))</f>
        <v>Unpaid</v>
      </c>
    </row>
    <row r="144" customFormat="false" ht="15" hidden="false" customHeight="true" outlineLevel="0" collapsed="false">
      <c r="A144" s="103" t="n">
        <v>139</v>
      </c>
      <c r="B144" s="103" t="s">
        <v>589</v>
      </c>
      <c r="C144" s="103" t="s">
        <v>590</v>
      </c>
      <c r="D144" s="103" t="s">
        <v>420</v>
      </c>
      <c r="E144" s="103" t="s">
        <v>591</v>
      </c>
      <c r="F144" s="103" t="n">
        <v>714800000</v>
      </c>
      <c r="G144" s="103" t="s">
        <v>417</v>
      </c>
      <c r="H144" s="103" t="s">
        <v>174</v>
      </c>
      <c r="I144" s="103" t="n">
        <v>31</v>
      </c>
      <c r="J144" s="103" t="s">
        <v>175</v>
      </c>
      <c r="K144" s="103" t="n">
        <v>200</v>
      </c>
      <c r="L144" s="103" t="n">
        <v>300</v>
      </c>
      <c r="M144" s="103" t="n">
        <v>20</v>
      </c>
      <c r="N144" s="103" t="n">
        <v>40</v>
      </c>
      <c r="O144" s="103" t="n">
        <v>9972.98</v>
      </c>
      <c r="P144" s="103" t="n">
        <v>0</v>
      </c>
      <c r="Q144" s="103" t="n">
        <v>0</v>
      </c>
      <c r="R144" s="103" t="n">
        <v>9972.98</v>
      </c>
      <c r="S144" s="103" t="s">
        <v>176</v>
      </c>
      <c r="T144" s="103" t="n">
        <v>60</v>
      </c>
      <c r="U144" s="103" t="s">
        <v>177</v>
      </c>
      <c r="V144" s="103" t="n">
        <v>500</v>
      </c>
      <c r="W144" s="103" t="n">
        <f aca="false">DATA_PIPELINE!$K144</f>
        <v>200</v>
      </c>
      <c r="X144" s="103" t="n">
        <f aca="false">DATA_PIPELINE!$V144-DATA_PIPELINE!$W144</f>
        <v>300</v>
      </c>
      <c r="Y144" s="103" t="str">
        <f aca="false">IF(DATA_PIPELINE!$X144=0,"Paid",IF(DATA_PIPELINE!$W144=0,"Unpaid","Partly Paid"))</f>
        <v>Partly Paid</v>
      </c>
    </row>
    <row r="145" customFormat="false" ht="15" hidden="false" customHeight="true" outlineLevel="0" collapsed="false">
      <c r="A145" s="103" t="n">
        <v>140</v>
      </c>
      <c r="B145" s="103" t="s">
        <v>592</v>
      </c>
      <c r="C145" s="103" t="s">
        <v>593</v>
      </c>
      <c r="D145" s="103" t="s">
        <v>420</v>
      </c>
      <c r="E145" s="103" t="s">
        <v>594</v>
      </c>
      <c r="F145" s="103" t="n">
        <v>772568336</v>
      </c>
      <c r="G145" s="103" t="s">
        <v>417</v>
      </c>
      <c r="H145" s="103" t="s">
        <v>174</v>
      </c>
      <c r="I145" s="103" t="n">
        <v>9</v>
      </c>
      <c r="J145" s="103" t="s">
        <v>175</v>
      </c>
      <c r="K145" s="103" t="n">
        <v>0</v>
      </c>
      <c r="L145" s="103" t="n">
        <v>0</v>
      </c>
      <c r="M145" s="103" t="n">
        <v>0</v>
      </c>
      <c r="N145" s="103" t="n">
        <v>20</v>
      </c>
      <c r="O145" s="103" t="n">
        <v>546</v>
      </c>
      <c r="P145" s="103" t="n">
        <v>0</v>
      </c>
      <c r="Q145" s="103" t="n">
        <v>0</v>
      </c>
      <c r="R145" s="103" t="n">
        <v>546</v>
      </c>
      <c r="S145" s="103" t="s">
        <v>176</v>
      </c>
      <c r="T145" s="103" t="n">
        <v>20</v>
      </c>
      <c r="U145" s="103" t="s">
        <v>177</v>
      </c>
      <c r="V145" s="103" t="n">
        <v>500</v>
      </c>
      <c r="W145" s="103" t="n">
        <f aca="false">DATA_PIPELINE!$K145</f>
        <v>0</v>
      </c>
      <c r="X145" s="103" t="n">
        <f aca="false">DATA_PIPELINE!$V145-DATA_PIPELINE!$W145</f>
        <v>500</v>
      </c>
      <c r="Y145" s="103" t="str">
        <f aca="false">IF(DATA_PIPELINE!$X145=0,"Paid",IF(DATA_PIPELINE!$W145=0,"Unpaid","Partly Paid"))</f>
        <v>Unpaid</v>
      </c>
    </row>
    <row r="146" customFormat="false" ht="15" hidden="false" customHeight="true" outlineLevel="0" collapsed="false">
      <c r="A146" s="103" t="n">
        <v>141</v>
      </c>
      <c r="B146" s="103" t="s">
        <v>595</v>
      </c>
      <c r="C146" s="103" t="s">
        <v>596</v>
      </c>
      <c r="D146" s="103" t="s">
        <v>420</v>
      </c>
      <c r="E146" s="103" t="s">
        <v>597</v>
      </c>
      <c r="F146" s="103" t="n">
        <v>782043386</v>
      </c>
      <c r="G146" s="103" t="s">
        <v>417</v>
      </c>
      <c r="H146" s="103" t="s">
        <v>174</v>
      </c>
      <c r="I146" s="103"/>
      <c r="J146" s="103" t="s">
        <v>175</v>
      </c>
      <c r="K146" s="103" t="n">
        <v>0</v>
      </c>
      <c r="L146" s="103" t="n">
        <v>0</v>
      </c>
      <c r="M146" s="103" t="n">
        <v>0</v>
      </c>
      <c r="N146" s="103" t="n">
        <v>30</v>
      </c>
      <c r="O146" s="103" t="n">
        <v>3194.35</v>
      </c>
      <c r="P146" s="103" t="n">
        <v>1</v>
      </c>
      <c r="Q146" s="103" t="n">
        <v>364.75</v>
      </c>
      <c r="R146" s="103" t="n">
        <v>2829.6</v>
      </c>
      <c r="S146" s="103" t="n">
        <v>11.42</v>
      </c>
      <c r="T146" s="103" t="n">
        <v>30</v>
      </c>
      <c r="U146" s="103" t="s">
        <v>177</v>
      </c>
      <c r="V146" s="103" t="n">
        <v>500</v>
      </c>
      <c r="W146" s="103" t="n">
        <f aca="false">DATA_PIPELINE!$K146</f>
        <v>0</v>
      </c>
      <c r="X146" s="103" t="n">
        <f aca="false">DATA_PIPELINE!$V146-DATA_PIPELINE!$W146</f>
        <v>500</v>
      </c>
      <c r="Y146" s="103" t="str">
        <f aca="false">IF(DATA_PIPELINE!$X146=0,"Paid",IF(DATA_PIPELINE!$W146=0,"Unpaid","Partly Paid"))</f>
        <v>Unpaid</v>
      </c>
    </row>
    <row r="147" customFormat="false" ht="15" hidden="false" customHeight="true" outlineLevel="0" collapsed="false">
      <c r="A147" s="103" t="n">
        <v>142</v>
      </c>
      <c r="B147" s="103" t="s">
        <v>598</v>
      </c>
      <c r="C147" s="103" t="s">
        <v>599</v>
      </c>
      <c r="D147" s="103" t="s">
        <v>420</v>
      </c>
      <c r="E147" s="103" t="s">
        <v>600</v>
      </c>
      <c r="F147" s="103" t="n">
        <v>777046273</v>
      </c>
      <c r="G147" s="103" t="s">
        <v>417</v>
      </c>
      <c r="H147" s="103" t="s">
        <v>174</v>
      </c>
      <c r="I147" s="103"/>
      <c r="J147" s="103" t="s">
        <v>175</v>
      </c>
      <c r="K147" s="103" t="n">
        <v>0</v>
      </c>
      <c r="L147" s="103" t="n">
        <v>0</v>
      </c>
      <c r="M147" s="103" t="n">
        <v>0</v>
      </c>
      <c r="N147" s="103" t="n">
        <v>20</v>
      </c>
      <c r="O147" s="103" t="n">
        <v>3238.36</v>
      </c>
      <c r="P147" s="103" t="n">
        <v>0</v>
      </c>
      <c r="Q147" s="103" t="n">
        <v>0</v>
      </c>
      <c r="R147" s="103" t="n">
        <v>3238.36</v>
      </c>
      <c r="S147" s="103" t="s">
        <v>176</v>
      </c>
      <c r="T147" s="103" t="n">
        <v>20</v>
      </c>
      <c r="U147" s="103" t="s">
        <v>177</v>
      </c>
      <c r="V147" s="103" t="n">
        <v>500</v>
      </c>
      <c r="W147" s="103" t="n">
        <f aca="false">DATA_PIPELINE!$K147</f>
        <v>0</v>
      </c>
      <c r="X147" s="103" t="n">
        <f aca="false">DATA_PIPELINE!$V147-DATA_PIPELINE!$W147</f>
        <v>500</v>
      </c>
      <c r="Y147" s="103" t="str">
        <f aca="false">IF(DATA_PIPELINE!$X147=0,"Paid",IF(DATA_PIPELINE!$W147=0,"Unpaid","Partly Paid"))</f>
        <v>Unpaid</v>
      </c>
    </row>
    <row r="148" customFormat="false" ht="15" hidden="false" customHeight="true" outlineLevel="0" collapsed="false">
      <c r="A148" s="103" t="n">
        <v>143</v>
      </c>
      <c r="B148" s="103" t="s">
        <v>601</v>
      </c>
      <c r="C148" s="103" t="s">
        <v>602</v>
      </c>
      <c r="D148" s="103" t="s">
        <v>420</v>
      </c>
      <c r="E148" s="103" t="s">
        <v>603</v>
      </c>
      <c r="F148" s="103" t="n">
        <v>713068543</v>
      </c>
      <c r="G148" s="103" t="s">
        <v>417</v>
      </c>
      <c r="H148" s="103" t="s">
        <v>174</v>
      </c>
      <c r="I148" s="103"/>
      <c r="J148" s="103" t="s">
        <v>175</v>
      </c>
      <c r="K148" s="103" t="n">
        <v>0</v>
      </c>
      <c r="L148" s="103" t="n">
        <v>0</v>
      </c>
      <c r="M148" s="103" t="n">
        <v>0</v>
      </c>
      <c r="N148" s="103" t="n">
        <v>20</v>
      </c>
      <c r="O148" s="103" t="n">
        <v>1975.51</v>
      </c>
      <c r="P148" s="103" t="n">
        <v>0</v>
      </c>
      <c r="Q148" s="103" t="n">
        <v>0</v>
      </c>
      <c r="R148" s="103" t="n">
        <v>1975.51</v>
      </c>
      <c r="S148" s="103" t="s">
        <v>176</v>
      </c>
      <c r="T148" s="103" t="n">
        <v>20</v>
      </c>
      <c r="U148" s="103" t="s">
        <v>177</v>
      </c>
      <c r="V148" s="103" t="n">
        <v>500</v>
      </c>
      <c r="W148" s="103" t="n">
        <f aca="false">DATA_PIPELINE!$K148</f>
        <v>0</v>
      </c>
      <c r="X148" s="103" t="n">
        <f aca="false">DATA_PIPELINE!$V148-DATA_PIPELINE!$W148</f>
        <v>500</v>
      </c>
      <c r="Y148" s="103" t="str">
        <f aca="false">IF(DATA_PIPELINE!$X148=0,"Paid",IF(DATA_PIPELINE!$W148=0,"Unpaid","Partly Paid"))</f>
        <v>Unpaid</v>
      </c>
    </row>
    <row r="149" customFormat="false" ht="15" hidden="false" customHeight="true" outlineLevel="0" collapsed="false">
      <c r="A149" s="103" t="n">
        <v>144</v>
      </c>
      <c r="B149" s="103" t="s">
        <v>604</v>
      </c>
      <c r="C149" s="103" t="s">
        <v>605</v>
      </c>
      <c r="D149" s="103" t="s">
        <v>420</v>
      </c>
      <c r="E149" s="103" t="s">
        <v>606</v>
      </c>
      <c r="F149" s="103" t="n">
        <v>772334379</v>
      </c>
      <c r="G149" s="103" t="s">
        <v>417</v>
      </c>
      <c r="H149" s="103" t="s">
        <v>174</v>
      </c>
      <c r="I149" s="103"/>
      <c r="J149" s="103" t="s">
        <v>175</v>
      </c>
      <c r="K149" s="103" t="n">
        <v>0</v>
      </c>
      <c r="L149" s="103" t="n">
        <v>0</v>
      </c>
      <c r="M149" s="103" t="n">
        <v>0</v>
      </c>
      <c r="N149" s="103" t="n">
        <v>30</v>
      </c>
      <c r="O149" s="103" t="n">
        <v>9398.47</v>
      </c>
      <c r="P149" s="103" t="n">
        <v>0</v>
      </c>
      <c r="Q149" s="103" t="n">
        <v>0</v>
      </c>
      <c r="R149" s="103" t="n">
        <v>9398.47</v>
      </c>
      <c r="S149" s="103" t="s">
        <v>176</v>
      </c>
      <c r="T149" s="103" t="n">
        <v>30</v>
      </c>
      <c r="U149" s="103" t="s">
        <v>177</v>
      </c>
      <c r="V149" s="103" t="n">
        <v>500</v>
      </c>
      <c r="W149" s="103" t="n">
        <f aca="false">DATA_PIPELINE!$K149</f>
        <v>0</v>
      </c>
      <c r="X149" s="103" t="n">
        <f aca="false">DATA_PIPELINE!$V149-DATA_PIPELINE!$W149</f>
        <v>500</v>
      </c>
      <c r="Y149" s="103" t="str">
        <f aca="false">IF(DATA_PIPELINE!$X149=0,"Paid",IF(DATA_PIPELINE!$W149=0,"Unpaid","Partly Paid"))</f>
        <v>Unpaid</v>
      </c>
    </row>
    <row r="150" customFormat="false" ht="15" hidden="false" customHeight="true" outlineLevel="0" collapsed="false">
      <c r="A150" s="103" t="n">
        <v>145</v>
      </c>
      <c r="B150" s="103" t="s">
        <v>607</v>
      </c>
      <c r="C150" s="103" t="s">
        <v>608</v>
      </c>
      <c r="D150" s="103" t="s">
        <v>420</v>
      </c>
      <c r="E150" s="103" t="s">
        <v>609</v>
      </c>
      <c r="F150" s="103" t="n">
        <v>775052779</v>
      </c>
      <c r="G150" s="103" t="s">
        <v>417</v>
      </c>
      <c r="H150" s="103" t="s">
        <v>174</v>
      </c>
      <c r="I150" s="103"/>
      <c r="J150" s="103" t="s">
        <v>175</v>
      </c>
      <c r="K150" s="103" t="n">
        <v>0</v>
      </c>
      <c r="L150" s="103" t="n">
        <v>0</v>
      </c>
      <c r="M150" s="103" t="n">
        <v>0</v>
      </c>
      <c r="N150" s="103" t="n">
        <v>20</v>
      </c>
      <c r="O150" s="103" t="n">
        <v>1633.64</v>
      </c>
      <c r="P150" s="103" t="n">
        <v>0</v>
      </c>
      <c r="Q150" s="103" t="n">
        <v>0</v>
      </c>
      <c r="R150" s="103" t="n">
        <v>1633.64</v>
      </c>
      <c r="S150" s="103" t="s">
        <v>176</v>
      </c>
      <c r="T150" s="103" t="n">
        <v>20</v>
      </c>
      <c r="U150" s="103" t="s">
        <v>177</v>
      </c>
      <c r="V150" s="103" t="n">
        <v>500</v>
      </c>
      <c r="W150" s="103" t="n">
        <f aca="false">DATA_PIPELINE!$K150</f>
        <v>0</v>
      </c>
      <c r="X150" s="103" t="n">
        <f aca="false">DATA_PIPELINE!$V150-DATA_PIPELINE!$W150</f>
        <v>500</v>
      </c>
      <c r="Y150" s="103" t="str">
        <f aca="false">IF(DATA_PIPELINE!$X150=0,"Paid",IF(DATA_PIPELINE!$W150=0,"Unpaid","Partly Paid"))</f>
        <v>Unpaid</v>
      </c>
    </row>
    <row r="151" customFormat="false" ht="15" hidden="false" customHeight="true" outlineLevel="0" collapsed="false">
      <c r="A151" s="103" t="n">
        <v>146</v>
      </c>
      <c r="B151" s="103" t="s">
        <v>610</v>
      </c>
      <c r="C151" s="103" t="s">
        <v>611</v>
      </c>
      <c r="D151" s="103" t="s">
        <v>420</v>
      </c>
      <c r="E151" s="103" t="s">
        <v>612</v>
      </c>
      <c r="F151" s="103" t="n">
        <v>773406928</v>
      </c>
      <c r="G151" s="103" t="s">
        <v>417</v>
      </c>
      <c r="H151" s="103" t="s">
        <v>174</v>
      </c>
      <c r="I151" s="103" t="n">
        <v>17</v>
      </c>
      <c r="J151" s="103" t="s">
        <v>175</v>
      </c>
      <c r="K151" s="103" t="n">
        <v>0</v>
      </c>
      <c r="L151" s="103" t="n">
        <v>0</v>
      </c>
      <c r="M151" s="103" t="n">
        <v>0</v>
      </c>
      <c r="N151" s="103" t="n">
        <v>20</v>
      </c>
      <c r="O151" s="103" t="n">
        <v>4723.29</v>
      </c>
      <c r="P151" s="103" t="n">
        <v>0</v>
      </c>
      <c r="Q151" s="103" t="n">
        <v>0</v>
      </c>
      <c r="R151" s="103" t="n">
        <v>4723.29</v>
      </c>
      <c r="S151" s="103" t="s">
        <v>176</v>
      </c>
      <c r="T151" s="103" t="n">
        <v>20</v>
      </c>
      <c r="U151" s="103" t="s">
        <v>177</v>
      </c>
      <c r="V151" s="103" t="n">
        <v>500</v>
      </c>
      <c r="W151" s="103" t="n">
        <f aca="false">DATA_PIPELINE!$K151</f>
        <v>0</v>
      </c>
      <c r="X151" s="103" t="n">
        <f aca="false">DATA_PIPELINE!$V151-DATA_PIPELINE!$W151</f>
        <v>500</v>
      </c>
      <c r="Y151" s="103" t="str">
        <f aca="false">IF(DATA_PIPELINE!$X151=0,"Paid",IF(DATA_PIPELINE!$W151=0,"Unpaid","Partly Paid"))</f>
        <v>Unpaid</v>
      </c>
    </row>
    <row r="152" customFormat="false" ht="15" hidden="false" customHeight="true" outlineLevel="0" collapsed="false">
      <c r="A152" s="103" t="n">
        <v>147</v>
      </c>
      <c r="B152" s="103" t="s">
        <v>613</v>
      </c>
      <c r="C152" s="103" t="s">
        <v>614</v>
      </c>
      <c r="D152" s="103" t="s">
        <v>420</v>
      </c>
      <c r="E152" s="103" t="s">
        <v>615</v>
      </c>
      <c r="F152" s="103" t="n">
        <v>772324844</v>
      </c>
      <c r="G152" s="103" t="s">
        <v>417</v>
      </c>
      <c r="H152" s="103" t="s">
        <v>174</v>
      </c>
      <c r="I152" s="103"/>
      <c r="J152" s="103" t="s">
        <v>175</v>
      </c>
      <c r="K152" s="103" t="n">
        <v>0</v>
      </c>
      <c r="L152" s="103" t="n">
        <v>0</v>
      </c>
      <c r="M152" s="103" t="n">
        <v>0</v>
      </c>
      <c r="N152" s="103" t="n">
        <v>20</v>
      </c>
      <c r="O152" s="103" t="n">
        <v>1870.76</v>
      </c>
      <c r="P152" s="103" t="n">
        <v>0</v>
      </c>
      <c r="Q152" s="103" t="n">
        <v>0</v>
      </c>
      <c r="R152" s="103" t="n">
        <v>1870.76</v>
      </c>
      <c r="S152" s="103" t="s">
        <v>176</v>
      </c>
      <c r="T152" s="103" t="n">
        <v>20</v>
      </c>
      <c r="U152" s="103" t="s">
        <v>177</v>
      </c>
      <c r="V152" s="103" t="n">
        <v>500</v>
      </c>
      <c r="W152" s="103" t="n">
        <f aca="false">DATA_PIPELINE!$K152</f>
        <v>0</v>
      </c>
      <c r="X152" s="103" t="n">
        <f aca="false">DATA_PIPELINE!$V152-DATA_PIPELINE!$W152</f>
        <v>500</v>
      </c>
      <c r="Y152" s="103" t="str">
        <f aca="false">IF(DATA_PIPELINE!$X152=0,"Paid",IF(DATA_PIPELINE!$W152=0,"Unpaid","Partly Paid"))</f>
        <v>Unpaid</v>
      </c>
    </row>
    <row r="153" customFormat="false" ht="15" hidden="false" customHeight="true" outlineLevel="0" collapsed="false">
      <c r="A153" s="103" t="n">
        <v>148</v>
      </c>
      <c r="B153" s="103" t="s">
        <v>616</v>
      </c>
      <c r="C153" s="103" t="s">
        <v>617</v>
      </c>
      <c r="D153" s="103" t="s">
        <v>420</v>
      </c>
      <c r="E153" s="103" t="s">
        <v>618</v>
      </c>
      <c r="F153" s="103" t="n">
        <v>772690818</v>
      </c>
      <c r="G153" s="103" t="s">
        <v>417</v>
      </c>
      <c r="H153" s="103" t="s">
        <v>174</v>
      </c>
      <c r="I153" s="103"/>
      <c r="J153" s="103" t="s">
        <v>175</v>
      </c>
      <c r="K153" s="103" t="n">
        <v>0</v>
      </c>
      <c r="L153" s="103" t="n">
        <v>0</v>
      </c>
      <c r="M153" s="103" t="n">
        <v>0</v>
      </c>
      <c r="N153" s="103" t="n">
        <v>60</v>
      </c>
      <c r="O153" s="103" t="n">
        <v>6168.33</v>
      </c>
      <c r="P153" s="103" t="n">
        <v>0</v>
      </c>
      <c r="Q153" s="103" t="n">
        <v>0</v>
      </c>
      <c r="R153" s="103" t="n">
        <v>6168.33</v>
      </c>
      <c r="S153" s="103" t="s">
        <v>176</v>
      </c>
      <c r="T153" s="103" t="n">
        <v>60</v>
      </c>
      <c r="U153" s="103" t="s">
        <v>177</v>
      </c>
      <c r="V153" s="103" t="n">
        <v>500</v>
      </c>
      <c r="W153" s="103" t="n">
        <f aca="false">DATA_PIPELINE!$K153</f>
        <v>0</v>
      </c>
      <c r="X153" s="103" t="n">
        <f aca="false">DATA_PIPELINE!$V153-DATA_PIPELINE!$W153</f>
        <v>500</v>
      </c>
      <c r="Y153" s="103" t="str">
        <f aca="false">IF(DATA_PIPELINE!$X153=0,"Paid",IF(DATA_PIPELINE!$W153=0,"Unpaid","Partly Paid"))</f>
        <v>Unpaid</v>
      </c>
    </row>
    <row r="154" customFormat="false" ht="15" hidden="false" customHeight="true" outlineLevel="0" collapsed="false">
      <c r="A154" s="103" t="n">
        <v>149</v>
      </c>
      <c r="B154" s="103" t="s">
        <v>619</v>
      </c>
      <c r="C154" s="103" t="s">
        <v>620</v>
      </c>
      <c r="D154" s="103" t="s">
        <v>420</v>
      </c>
      <c r="E154" s="103" t="s">
        <v>621</v>
      </c>
      <c r="F154" s="103" t="n">
        <v>772101246</v>
      </c>
      <c r="G154" s="103" t="s">
        <v>417</v>
      </c>
      <c r="H154" s="103" t="s">
        <v>174</v>
      </c>
      <c r="I154" s="103"/>
      <c r="J154" s="103" t="s">
        <v>175</v>
      </c>
      <c r="K154" s="103" t="n">
        <v>0</v>
      </c>
      <c r="L154" s="103" t="n">
        <v>0</v>
      </c>
      <c r="M154" s="103" t="n">
        <v>0</v>
      </c>
      <c r="N154" s="103" t="n">
        <v>100</v>
      </c>
      <c r="O154" s="103" t="n">
        <v>12263.73</v>
      </c>
      <c r="P154" s="103" t="n">
        <v>0</v>
      </c>
      <c r="Q154" s="103" t="n">
        <v>0</v>
      </c>
      <c r="R154" s="103" t="n">
        <v>12263.73</v>
      </c>
      <c r="S154" s="103" t="s">
        <v>176</v>
      </c>
      <c r="T154" s="103" t="n">
        <v>100</v>
      </c>
      <c r="U154" s="103" t="s">
        <v>177</v>
      </c>
      <c r="V154" s="103" t="n">
        <v>500</v>
      </c>
      <c r="W154" s="103" t="n">
        <f aca="false">DATA_PIPELINE!$K154</f>
        <v>0</v>
      </c>
      <c r="X154" s="103" t="n">
        <f aca="false">DATA_PIPELINE!$V154-DATA_PIPELINE!$W154</f>
        <v>500</v>
      </c>
      <c r="Y154" s="103" t="str">
        <f aca="false">IF(DATA_PIPELINE!$X154=0,"Paid",IF(DATA_PIPELINE!$W154=0,"Unpaid","Partly Paid"))</f>
        <v>Unpaid</v>
      </c>
    </row>
    <row r="155" customFormat="false" ht="15" hidden="false" customHeight="true" outlineLevel="0" collapsed="false">
      <c r="A155" s="103" t="n">
        <v>150</v>
      </c>
      <c r="B155" s="103" t="s">
        <v>622</v>
      </c>
      <c r="C155" s="103" t="s">
        <v>623</v>
      </c>
      <c r="D155" s="103" t="s">
        <v>420</v>
      </c>
      <c r="E155" s="103" t="s">
        <v>624</v>
      </c>
      <c r="F155" s="103" t="n">
        <v>774124823</v>
      </c>
      <c r="G155" s="103" t="s">
        <v>417</v>
      </c>
      <c r="H155" s="103" t="s">
        <v>174</v>
      </c>
      <c r="I155" s="103"/>
      <c r="J155" s="103" t="s">
        <v>175</v>
      </c>
      <c r="K155" s="103" t="n">
        <v>0</v>
      </c>
      <c r="L155" s="103" t="n">
        <v>0</v>
      </c>
      <c r="M155" s="103" t="n">
        <v>0</v>
      </c>
      <c r="N155" s="103" t="n">
        <v>20</v>
      </c>
      <c r="O155" s="103" t="n">
        <v>5798.96</v>
      </c>
      <c r="P155" s="103" t="n">
        <v>0</v>
      </c>
      <c r="Q155" s="103" t="n">
        <v>0</v>
      </c>
      <c r="R155" s="103" t="n">
        <v>5798.96</v>
      </c>
      <c r="S155" s="103" t="s">
        <v>176</v>
      </c>
      <c r="T155" s="103" t="n">
        <v>20</v>
      </c>
      <c r="U155" s="103" t="s">
        <v>177</v>
      </c>
      <c r="V155" s="103" t="n">
        <v>500</v>
      </c>
      <c r="W155" s="103" t="n">
        <f aca="false">DATA_PIPELINE!$K155</f>
        <v>0</v>
      </c>
      <c r="X155" s="103" t="n">
        <f aca="false">DATA_PIPELINE!$V155-DATA_PIPELINE!$W155</f>
        <v>500</v>
      </c>
      <c r="Y155" s="103" t="str">
        <f aca="false">IF(DATA_PIPELINE!$X155=0,"Paid",IF(DATA_PIPELINE!$W155=0,"Unpaid","Partly Paid"))</f>
        <v>Unpaid</v>
      </c>
    </row>
    <row r="156" customFormat="false" ht="15" hidden="false" customHeight="true" outlineLevel="0" collapsed="false">
      <c r="A156" s="103" t="n">
        <v>151</v>
      </c>
      <c r="B156" s="103" t="s">
        <v>625</v>
      </c>
      <c r="C156" s="103" t="s">
        <v>626</v>
      </c>
      <c r="D156" s="103" t="s">
        <v>420</v>
      </c>
      <c r="E156" s="103" t="s">
        <v>627</v>
      </c>
      <c r="F156" s="103" t="n">
        <v>782366421</v>
      </c>
      <c r="G156" s="103" t="s">
        <v>417</v>
      </c>
      <c r="H156" s="103" t="s">
        <v>174</v>
      </c>
      <c r="I156" s="103"/>
      <c r="J156" s="103" t="s">
        <v>175</v>
      </c>
      <c r="K156" s="103" t="n">
        <v>0</v>
      </c>
      <c r="L156" s="103" t="n">
        <v>0</v>
      </c>
      <c r="M156" s="103" t="n">
        <v>0</v>
      </c>
      <c r="N156" s="103" t="n">
        <v>20</v>
      </c>
      <c r="O156" s="103" t="n">
        <v>6580.92</v>
      </c>
      <c r="P156" s="103" t="n">
        <v>0</v>
      </c>
      <c r="Q156" s="103" t="n">
        <v>0</v>
      </c>
      <c r="R156" s="103" t="n">
        <v>6580.92</v>
      </c>
      <c r="S156" s="103" t="s">
        <v>176</v>
      </c>
      <c r="T156" s="103" t="n">
        <v>20</v>
      </c>
      <c r="U156" s="103" t="s">
        <v>177</v>
      </c>
      <c r="V156" s="103" t="n">
        <v>500</v>
      </c>
      <c r="W156" s="103" t="n">
        <f aca="false">DATA_PIPELINE!$K156</f>
        <v>0</v>
      </c>
      <c r="X156" s="103" t="n">
        <f aca="false">DATA_PIPELINE!$V156-DATA_PIPELINE!$W156</f>
        <v>500</v>
      </c>
      <c r="Y156" s="103" t="str">
        <f aca="false">IF(DATA_PIPELINE!$X156=0,"Paid",IF(DATA_PIPELINE!$W156=0,"Unpaid","Partly Paid"))</f>
        <v>Unpaid</v>
      </c>
    </row>
    <row r="157" customFormat="false" ht="15" hidden="false" customHeight="true" outlineLevel="0" collapsed="false">
      <c r="A157" s="103" t="n">
        <v>152</v>
      </c>
      <c r="B157" s="103" t="s">
        <v>628</v>
      </c>
      <c r="C157" s="103" t="s">
        <v>629</v>
      </c>
      <c r="D157" s="103" t="s">
        <v>420</v>
      </c>
      <c r="E157" s="103" t="s">
        <v>630</v>
      </c>
      <c r="F157" s="103" t="n">
        <v>772392737</v>
      </c>
      <c r="G157" s="103" t="s">
        <v>417</v>
      </c>
      <c r="H157" s="103" t="s">
        <v>174</v>
      </c>
      <c r="I157" s="103"/>
      <c r="J157" s="103" t="s">
        <v>175</v>
      </c>
      <c r="K157" s="103" t="n">
        <v>0</v>
      </c>
      <c r="L157" s="103" t="n">
        <v>0</v>
      </c>
      <c r="M157" s="103" t="n">
        <v>0</v>
      </c>
      <c r="N157" s="103" t="n">
        <v>20</v>
      </c>
      <c r="O157" s="103" t="n">
        <v>5382.58</v>
      </c>
      <c r="P157" s="103" t="n">
        <v>0</v>
      </c>
      <c r="Q157" s="103" t="n">
        <v>0</v>
      </c>
      <c r="R157" s="103" t="n">
        <v>5382.58</v>
      </c>
      <c r="S157" s="103" t="s">
        <v>176</v>
      </c>
      <c r="T157" s="103" t="n">
        <v>20</v>
      </c>
      <c r="U157" s="103" t="s">
        <v>177</v>
      </c>
      <c r="V157" s="103" t="n">
        <v>500</v>
      </c>
      <c r="W157" s="103" t="n">
        <f aca="false">DATA_PIPELINE!$K157</f>
        <v>0</v>
      </c>
      <c r="X157" s="103" t="n">
        <f aca="false">DATA_PIPELINE!$V157-DATA_PIPELINE!$W157</f>
        <v>500</v>
      </c>
      <c r="Y157" s="103" t="str">
        <f aca="false">IF(DATA_PIPELINE!$X157=0,"Paid",IF(DATA_PIPELINE!$W157=0,"Unpaid","Partly Paid"))</f>
        <v>Unpaid</v>
      </c>
    </row>
    <row r="158" customFormat="false" ht="15" hidden="false" customHeight="true" outlineLevel="0" collapsed="false">
      <c r="A158" s="103" t="n">
        <v>153</v>
      </c>
      <c r="B158" s="103" t="s">
        <v>631</v>
      </c>
      <c r="C158" s="103" t="s">
        <v>632</v>
      </c>
      <c r="D158" s="103" t="s">
        <v>420</v>
      </c>
      <c r="E158" s="103" t="s">
        <v>633</v>
      </c>
      <c r="F158" s="103" t="n">
        <v>774077380</v>
      </c>
      <c r="G158" s="103" t="s">
        <v>417</v>
      </c>
      <c r="H158" s="103" t="s">
        <v>174</v>
      </c>
      <c r="I158" s="103" t="n">
        <v>31</v>
      </c>
      <c r="J158" s="103" t="s">
        <v>175</v>
      </c>
      <c r="K158" s="103" t="n">
        <v>0</v>
      </c>
      <c r="L158" s="103" t="n">
        <v>0</v>
      </c>
      <c r="M158" s="103" t="n">
        <v>0</v>
      </c>
      <c r="N158" s="103" t="n">
        <v>6</v>
      </c>
      <c r="O158" s="103" t="n">
        <v>757.08</v>
      </c>
      <c r="P158" s="103" t="n">
        <v>0</v>
      </c>
      <c r="Q158" s="103" t="n">
        <v>0</v>
      </c>
      <c r="R158" s="103" t="n">
        <v>757.08</v>
      </c>
      <c r="S158" s="103" t="s">
        <v>176</v>
      </c>
      <c r="T158" s="103" t="n">
        <v>6</v>
      </c>
      <c r="U158" s="103" t="s">
        <v>177</v>
      </c>
      <c r="V158" s="103" t="n">
        <v>500</v>
      </c>
      <c r="W158" s="103" t="n">
        <f aca="false">DATA_PIPELINE!$K158</f>
        <v>0</v>
      </c>
      <c r="X158" s="103" t="n">
        <f aca="false">DATA_PIPELINE!$V158-DATA_PIPELINE!$W158</f>
        <v>500</v>
      </c>
      <c r="Y158" s="103" t="str">
        <f aca="false">IF(DATA_PIPELINE!$X158=0,"Paid",IF(DATA_PIPELINE!$W158=0,"Unpaid","Partly Paid"))</f>
        <v>Unpaid</v>
      </c>
    </row>
    <row r="159" customFormat="false" ht="15" hidden="false" customHeight="true" outlineLevel="0" collapsed="false">
      <c r="A159" s="103" t="n">
        <v>154</v>
      </c>
      <c r="B159" s="103" t="s">
        <v>634</v>
      </c>
      <c r="C159" s="103" t="s">
        <v>635</v>
      </c>
      <c r="D159" s="103" t="s">
        <v>420</v>
      </c>
      <c r="E159" s="103" t="s">
        <v>636</v>
      </c>
      <c r="F159" s="103" t="n">
        <v>782298131</v>
      </c>
      <c r="G159" s="103" t="s">
        <v>417</v>
      </c>
      <c r="H159" s="103" t="s">
        <v>174</v>
      </c>
      <c r="I159" s="103"/>
      <c r="J159" s="103" t="s">
        <v>175</v>
      </c>
      <c r="K159" s="103" t="n">
        <v>0</v>
      </c>
      <c r="L159" s="103" t="n">
        <v>0</v>
      </c>
      <c r="M159" s="103" t="n">
        <v>0</v>
      </c>
      <c r="N159" s="103" t="n">
        <v>20</v>
      </c>
      <c r="O159" s="103" t="n">
        <v>4023.04</v>
      </c>
      <c r="P159" s="103" t="n">
        <v>0</v>
      </c>
      <c r="Q159" s="103" t="n">
        <v>0</v>
      </c>
      <c r="R159" s="103" t="n">
        <v>4023.04</v>
      </c>
      <c r="S159" s="103" t="s">
        <v>176</v>
      </c>
      <c r="T159" s="103" t="n">
        <v>20</v>
      </c>
      <c r="U159" s="103" t="s">
        <v>177</v>
      </c>
      <c r="V159" s="103" t="n">
        <v>500</v>
      </c>
      <c r="W159" s="103" t="n">
        <f aca="false">DATA_PIPELINE!$K159</f>
        <v>0</v>
      </c>
      <c r="X159" s="103" t="n">
        <f aca="false">DATA_PIPELINE!$V159-DATA_PIPELINE!$W159</f>
        <v>500</v>
      </c>
      <c r="Y159" s="103" t="str">
        <f aca="false">IF(DATA_PIPELINE!$X159=0,"Paid",IF(DATA_PIPELINE!$W159=0,"Unpaid","Partly Paid"))</f>
        <v>Unpaid</v>
      </c>
    </row>
    <row r="160" customFormat="false" ht="15" hidden="false" customHeight="true" outlineLevel="0" collapsed="false">
      <c r="A160" s="103" t="n">
        <v>155</v>
      </c>
      <c r="B160" s="103" t="s">
        <v>637</v>
      </c>
      <c r="C160" s="103" t="s">
        <v>638</v>
      </c>
      <c r="D160" s="103" t="s">
        <v>420</v>
      </c>
      <c r="E160" s="103" t="s">
        <v>639</v>
      </c>
      <c r="F160" s="103" t="n">
        <v>774340567</v>
      </c>
      <c r="G160" s="103" t="s">
        <v>417</v>
      </c>
      <c r="H160" s="103" t="s">
        <v>174</v>
      </c>
      <c r="I160" s="103"/>
      <c r="J160" s="103" t="s">
        <v>175</v>
      </c>
      <c r="K160" s="103" t="n">
        <v>0</v>
      </c>
      <c r="L160" s="103" t="n">
        <v>0</v>
      </c>
      <c r="M160" s="103" t="n">
        <v>0</v>
      </c>
      <c r="N160" s="103" t="n">
        <v>6</v>
      </c>
      <c r="O160" s="103" t="n">
        <v>461.92</v>
      </c>
      <c r="P160" s="103" t="n">
        <v>0</v>
      </c>
      <c r="Q160" s="103" t="n">
        <v>0</v>
      </c>
      <c r="R160" s="103" t="n">
        <v>461.92</v>
      </c>
      <c r="S160" s="103" t="s">
        <v>176</v>
      </c>
      <c r="T160" s="103" t="n">
        <v>6</v>
      </c>
      <c r="U160" s="103" t="s">
        <v>177</v>
      </c>
      <c r="V160" s="103" t="n">
        <v>500</v>
      </c>
      <c r="W160" s="103" t="n">
        <f aca="false">DATA_PIPELINE!$K160</f>
        <v>0</v>
      </c>
      <c r="X160" s="103" t="n">
        <f aca="false">DATA_PIPELINE!$V160-DATA_PIPELINE!$W160</f>
        <v>500</v>
      </c>
      <c r="Y160" s="103" t="str">
        <f aca="false">IF(DATA_PIPELINE!$X160=0,"Paid",IF(DATA_PIPELINE!$W160=0,"Unpaid","Partly Paid"))</f>
        <v>Unpaid</v>
      </c>
    </row>
    <row r="161" customFormat="false" ht="15" hidden="false" customHeight="true" outlineLevel="0" collapsed="false">
      <c r="A161" s="103" t="n">
        <v>156</v>
      </c>
      <c r="B161" s="103" t="s">
        <v>640</v>
      </c>
      <c r="C161" s="103" t="s">
        <v>641</v>
      </c>
      <c r="D161" s="103" t="s">
        <v>420</v>
      </c>
      <c r="E161" s="103" t="s">
        <v>642</v>
      </c>
      <c r="F161" s="103" t="n">
        <v>772369889</v>
      </c>
      <c r="G161" s="103" t="s">
        <v>417</v>
      </c>
      <c r="H161" s="103" t="s">
        <v>174</v>
      </c>
      <c r="I161" s="103"/>
      <c r="J161" s="103" t="s">
        <v>175</v>
      </c>
      <c r="K161" s="103" t="n">
        <v>0</v>
      </c>
      <c r="L161" s="103" t="n">
        <v>0</v>
      </c>
      <c r="M161" s="103" t="n">
        <v>10</v>
      </c>
      <c r="N161" s="103" t="n">
        <v>40</v>
      </c>
      <c r="O161" s="103" t="n">
        <v>5068.02</v>
      </c>
      <c r="P161" s="103" t="n">
        <v>0</v>
      </c>
      <c r="Q161" s="103" t="n">
        <v>0</v>
      </c>
      <c r="R161" s="103" t="n">
        <v>5068.02</v>
      </c>
      <c r="S161" s="103" t="s">
        <v>176</v>
      </c>
      <c r="T161" s="103" t="n">
        <v>50</v>
      </c>
      <c r="U161" s="103" t="s">
        <v>177</v>
      </c>
      <c r="V161" s="103" t="n">
        <v>500</v>
      </c>
      <c r="W161" s="103" t="n">
        <f aca="false">DATA_PIPELINE!$K161</f>
        <v>0</v>
      </c>
      <c r="X161" s="103" t="n">
        <f aca="false">DATA_PIPELINE!$V161-DATA_PIPELINE!$W161</f>
        <v>500</v>
      </c>
      <c r="Y161" s="103" t="str">
        <f aca="false">IF(DATA_PIPELINE!$X161=0,"Paid",IF(DATA_PIPELINE!$W161=0,"Unpaid","Partly Paid"))</f>
        <v>Unpaid</v>
      </c>
    </row>
    <row r="162" customFormat="false" ht="15" hidden="false" customHeight="true" outlineLevel="0" collapsed="false">
      <c r="A162" s="103" t="n">
        <v>157</v>
      </c>
      <c r="B162" s="103" t="s">
        <v>643</v>
      </c>
      <c r="C162" s="103" t="s">
        <v>644</v>
      </c>
      <c r="D162" s="103" t="s">
        <v>420</v>
      </c>
      <c r="E162" s="103" t="s">
        <v>645</v>
      </c>
      <c r="F162" s="103" t="n">
        <v>771863509</v>
      </c>
      <c r="G162" s="103" t="s">
        <v>417</v>
      </c>
      <c r="H162" s="103" t="s">
        <v>174</v>
      </c>
      <c r="I162" s="103"/>
      <c r="J162" s="103" t="s">
        <v>175</v>
      </c>
      <c r="K162" s="103" t="n">
        <v>0</v>
      </c>
      <c r="L162" s="103" t="n">
        <v>0</v>
      </c>
      <c r="M162" s="103" t="n">
        <v>0</v>
      </c>
      <c r="N162" s="103" t="n">
        <v>30</v>
      </c>
      <c r="O162" s="103" t="n">
        <v>6044.8</v>
      </c>
      <c r="P162" s="103" t="n">
        <v>0</v>
      </c>
      <c r="Q162" s="103" t="n">
        <v>0</v>
      </c>
      <c r="R162" s="103" t="n">
        <v>6044.8</v>
      </c>
      <c r="S162" s="103" t="s">
        <v>176</v>
      </c>
      <c r="T162" s="103" t="n">
        <v>30</v>
      </c>
      <c r="U162" s="103" t="s">
        <v>177</v>
      </c>
      <c r="V162" s="103" t="n">
        <v>500</v>
      </c>
      <c r="W162" s="103" t="n">
        <f aca="false">DATA_PIPELINE!$K162</f>
        <v>0</v>
      </c>
      <c r="X162" s="103" t="n">
        <f aca="false">DATA_PIPELINE!$V162-DATA_PIPELINE!$W162</f>
        <v>500</v>
      </c>
      <c r="Y162" s="103" t="str">
        <f aca="false">IF(DATA_PIPELINE!$X162=0,"Paid",IF(DATA_PIPELINE!$W162=0,"Unpaid","Partly Paid"))</f>
        <v>Unpaid</v>
      </c>
    </row>
    <row r="163" customFormat="false" ht="15" hidden="false" customHeight="true" outlineLevel="0" collapsed="false">
      <c r="A163" s="103" t="n">
        <v>158</v>
      </c>
      <c r="B163" s="103" t="s">
        <v>646</v>
      </c>
      <c r="C163" s="103"/>
      <c r="D163" s="103" t="s">
        <v>420</v>
      </c>
      <c r="E163" s="103" t="s">
        <v>647</v>
      </c>
      <c r="F163" s="103" t="n">
        <v>760597616</v>
      </c>
      <c r="G163" s="103" t="s">
        <v>417</v>
      </c>
      <c r="H163" s="103" t="s">
        <v>174</v>
      </c>
      <c r="I163" s="103"/>
      <c r="J163" s="103" t="s">
        <v>175</v>
      </c>
      <c r="K163" s="103" t="n">
        <v>0</v>
      </c>
      <c r="L163" s="103" t="n">
        <v>0</v>
      </c>
      <c r="M163" s="103" t="n">
        <v>0</v>
      </c>
      <c r="N163" s="103" t="n">
        <v>0</v>
      </c>
      <c r="O163" s="103" t="n">
        <v>5344.88</v>
      </c>
      <c r="P163" s="103" t="n">
        <v>0</v>
      </c>
      <c r="Q163" s="103" t="n">
        <v>0</v>
      </c>
      <c r="R163" s="103" t="n">
        <v>5344.88</v>
      </c>
      <c r="S163" s="103" t="s">
        <v>176</v>
      </c>
      <c r="T163" s="103" t="n">
        <v>0</v>
      </c>
      <c r="U163" s="103" t="s">
        <v>177</v>
      </c>
      <c r="V163" s="103" t="n">
        <v>500</v>
      </c>
      <c r="W163" s="103" t="n">
        <f aca="false">DATA_PIPELINE!$K163</f>
        <v>0</v>
      </c>
      <c r="X163" s="103" t="n">
        <f aca="false">DATA_PIPELINE!$V163-DATA_PIPELINE!$W163</f>
        <v>500</v>
      </c>
      <c r="Y163" s="103" t="str">
        <f aca="false">IF(DATA_PIPELINE!$X163=0,"Paid",IF(DATA_PIPELINE!$W163=0,"Unpaid","Partly Paid"))</f>
        <v>Unpaid</v>
      </c>
    </row>
    <row r="164" customFormat="false" ht="15" hidden="false" customHeight="true" outlineLevel="0" collapsed="false">
      <c r="A164" s="103" t="n">
        <v>159</v>
      </c>
      <c r="B164" s="103" t="s">
        <v>648</v>
      </c>
      <c r="C164" s="103"/>
      <c r="D164" s="103" t="s">
        <v>420</v>
      </c>
      <c r="E164" s="103" t="s">
        <v>649</v>
      </c>
      <c r="F164" s="103" t="n">
        <v>760546576</v>
      </c>
      <c r="G164" s="103" t="s">
        <v>417</v>
      </c>
      <c r="H164" s="103" t="s">
        <v>174</v>
      </c>
      <c r="I164" s="103"/>
      <c r="J164" s="103" t="s">
        <v>175</v>
      </c>
      <c r="K164" s="103" t="n">
        <v>0</v>
      </c>
      <c r="L164" s="103" t="n">
        <v>0</v>
      </c>
      <c r="M164" s="103" t="n">
        <v>0</v>
      </c>
      <c r="N164" s="103" t="n">
        <v>20</v>
      </c>
      <c r="O164" s="103" t="n">
        <v>4941.88</v>
      </c>
      <c r="P164" s="103" t="n">
        <v>0</v>
      </c>
      <c r="Q164" s="103" t="n">
        <v>0</v>
      </c>
      <c r="R164" s="103" t="n">
        <v>4941.88</v>
      </c>
      <c r="S164" s="103" t="s">
        <v>176</v>
      </c>
      <c r="T164" s="103" t="n">
        <v>20</v>
      </c>
      <c r="U164" s="103" t="s">
        <v>177</v>
      </c>
      <c r="V164" s="103" t="n">
        <v>500</v>
      </c>
      <c r="W164" s="103" t="n">
        <f aca="false">DATA_PIPELINE!$K164</f>
        <v>0</v>
      </c>
      <c r="X164" s="103" t="n">
        <f aca="false">DATA_PIPELINE!$V164-DATA_PIPELINE!$W164</f>
        <v>500</v>
      </c>
      <c r="Y164" s="103" t="str">
        <f aca="false">IF(DATA_PIPELINE!$X164=0,"Paid",IF(DATA_PIPELINE!$W164=0,"Unpaid","Partly Paid"))</f>
        <v>Unpaid</v>
      </c>
    </row>
    <row r="165" customFormat="false" ht="15" hidden="false" customHeight="true" outlineLevel="0" collapsed="false">
      <c r="A165" s="103" t="n">
        <v>160</v>
      </c>
      <c r="B165" s="103" t="s">
        <v>650</v>
      </c>
      <c r="C165" s="103" t="s">
        <v>651</v>
      </c>
      <c r="D165" s="103" t="s">
        <v>420</v>
      </c>
      <c r="E165" s="103" t="s">
        <v>652</v>
      </c>
      <c r="F165" s="103" t="n">
        <v>760521056</v>
      </c>
      <c r="G165" s="103" t="s">
        <v>417</v>
      </c>
      <c r="H165" s="103" t="s">
        <v>174</v>
      </c>
      <c r="I165" s="103"/>
      <c r="J165" s="103" t="s">
        <v>175</v>
      </c>
      <c r="K165" s="103" t="n">
        <v>0</v>
      </c>
      <c r="L165" s="103" t="n">
        <v>0</v>
      </c>
      <c r="M165" s="103" t="n">
        <v>0</v>
      </c>
      <c r="N165" s="103" t="n">
        <v>20</v>
      </c>
      <c r="O165" s="103" t="n">
        <v>2416.76</v>
      </c>
      <c r="P165" s="103" t="n">
        <v>0</v>
      </c>
      <c r="Q165" s="103" t="n">
        <v>0</v>
      </c>
      <c r="R165" s="103" t="n">
        <v>2416.76</v>
      </c>
      <c r="S165" s="103" t="s">
        <v>176</v>
      </c>
      <c r="T165" s="103" t="n">
        <v>20</v>
      </c>
      <c r="U165" s="103" t="s">
        <v>177</v>
      </c>
      <c r="V165" s="103" t="n">
        <v>500</v>
      </c>
      <c r="W165" s="103" t="n">
        <f aca="false">DATA_PIPELINE!$K165</f>
        <v>0</v>
      </c>
      <c r="X165" s="103" t="n">
        <f aca="false">DATA_PIPELINE!$V165-DATA_PIPELINE!$W165</f>
        <v>500</v>
      </c>
      <c r="Y165" s="103" t="str">
        <f aca="false">IF(DATA_PIPELINE!$X165=0,"Paid",IF(DATA_PIPELINE!$W165=0,"Unpaid","Partly Paid"))</f>
        <v>Unpaid</v>
      </c>
    </row>
    <row r="166" customFormat="false" ht="15" hidden="false" customHeight="true" outlineLevel="0" collapsed="false">
      <c r="A166" s="103" t="n">
        <v>161</v>
      </c>
      <c r="B166" s="103" t="s">
        <v>653</v>
      </c>
      <c r="C166" s="103" t="s">
        <v>654</v>
      </c>
      <c r="D166" s="103" t="s">
        <v>420</v>
      </c>
      <c r="E166" s="103" t="s">
        <v>655</v>
      </c>
      <c r="F166" s="103" t="n">
        <v>760495536</v>
      </c>
      <c r="G166" s="103" t="s">
        <v>417</v>
      </c>
      <c r="H166" s="103" t="s">
        <v>174</v>
      </c>
      <c r="I166" s="103"/>
      <c r="J166" s="103" t="s">
        <v>175</v>
      </c>
      <c r="K166" s="103" t="n">
        <v>0</v>
      </c>
      <c r="L166" s="103" t="n">
        <v>0</v>
      </c>
      <c r="M166" s="103" t="n">
        <v>0</v>
      </c>
      <c r="N166" s="103" t="n">
        <v>50</v>
      </c>
      <c r="O166" s="103" t="n">
        <v>8248.59</v>
      </c>
      <c r="P166" s="103" t="n">
        <v>0</v>
      </c>
      <c r="Q166" s="103" t="n">
        <v>0</v>
      </c>
      <c r="R166" s="103" t="n">
        <v>8248.59</v>
      </c>
      <c r="S166" s="103" t="s">
        <v>176</v>
      </c>
      <c r="T166" s="103" t="n">
        <v>50</v>
      </c>
      <c r="U166" s="103" t="s">
        <v>177</v>
      </c>
      <c r="V166" s="103" t="n">
        <v>500</v>
      </c>
      <c r="W166" s="103" t="n">
        <f aca="false">DATA_PIPELINE!$K166</f>
        <v>0</v>
      </c>
      <c r="X166" s="103" t="n">
        <f aca="false">DATA_PIPELINE!$V166-DATA_PIPELINE!$W166</f>
        <v>500</v>
      </c>
      <c r="Y166" s="103" t="str">
        <f aca="false">IF(DATA_PIPELINE!$X166=0,"Paid",IF(DATA_PIPELINE!$W166=0,"Unpaid","Partly Paid"))</f>
        <v>Unpaid</v>
      </c>
    </row>
    <row r="167" customFormat="false" ht="15" hidden="false" customHeight="true" outlineLevel="0" collapsed="false">
      <c r="A167" s="103" t="n">
        <v>162</v>
      </c>
      <c r="B167" s="103" t="s">
        <v>656</v>
      </c>
      <c r="C167" s="103" t="s">
        <v>657</v>
      </c>
      <c r="D167" s="103" t="s">
        <v>420</v>
      </c>
      <c r="E167" s="103" t="s">
        <v>658</v>
      </c>
      <c r="F167" s="103" t="n">
        <v>712876205</v>
      </c>
      <c r="G167" s="103" t="s">
        <v>417</v>
      </c>
      <c r="H167" s="103" t="s">
        <v>174</v>
      </c>
      <c r="I167" s="103"/>
      <c r="J167" s="103" t="s">
        <v>175</v>
      </c>
      <c r="K167" s="103" t="n">
        <v>0</v>
      </c>
      <c r="L167" s="103" t="n">
        <v>0</v>
      </c>
      <c r="M167" s="103" t="n">
        <v>0</v>
      </c>
      <c r="N167" s="103" t="n">
        <v>20</v>
      </c>
      <c r="O167" s="103" t="n">
        <v>6957.79</v>
      </c>
      <c r="P167" s="103" t="n">
        <v>0</v>
      </c>
      <c r="Q167" s="103" t="n">
        <v>0</v>
      </c>
      <c r="R167" s="103" t="n">
        <v>6957.79</v>
      </c>
      <c r="S167" s="103" t="s">
        <v>176</v>
      </c>
      <c r="T167" s="103" t="n">
        <v>20</v>
      </c>
      <c r="U167" s="103" t="s">
        <v>177</v>
      </c>
      <c r="V167" s="103" t="n">
        <v>500</v>
      </c>
      <c r="W167" s="103" t="n">
        <f aca="false">DATA_PIPELINE!$K167</f>
        <v>0</v>
      </c>
      <c r="X167" s="103" t="n">
        <f aca="false">DATA_PIPELINE!$V167-DATA_PIPELINE!$W167</f>
        <v>500</v>
      </c>
      <c r="Y167" s="103" t="str">
        <f aca="false">IF(DATA_PIPELINE!$X167=0,"Paid",IF(DATA_PIPELINE!$W167=0,"Unpaid","Partly Paid"))</f>
        <v>Unpaid</v>
      </c>
    </row>
    <row r="168" customFormat="false" ht="15" hidden="false" customHeight="true" outlineLevel="0" collapsed="false">
      <c r="A168" s="103" t="n">
        <v>163</v>
      </c>
      <c r="B168" s="103" t="s">
        <v>659</v>
      </c>
      <c r="C168" s="103"/>
      <c r="D168" s="103" t="s">
        <v>420</v>
      </c>
      <c r="E168" s="103" t="s">
        <v>660</v>
      </c>
      <c r="F168" s="103" t="n">
        <v>760418976</v>
      </c>
      <c r="G168" s="103" t="s">
        <v>417</v>
      </c>
      <c r="H168" s="103" t="s">
        <v>174</v>
      </c>
      <c r="I168" s="103"/>
      <c r="J168" s="103" t="s">
        <v>175</v>
      </c>
      <c r="K168" s="103" t="n">
        <v>0</v>
      </c>
      <c r="L168" s="103" t="n">
        <v>0</v>
      </c>
      <c r="M168" s="103" t="n">
        <v>0</v>
      </c>
      <c r="N168" s="103" t="n">
        <v>20</v>
      </c>
      <c r="O168" s="103" t="n">
        <v>3597.16</v>
      </c>
      <c r="P168" s="103" t="n">
        <v>0</v>
      </c>
      <c r="Q168" s="103" t="n">
        <v>0</v>
      </c>
      <c r="R168" s="103" t="n">
        <v>3597.16</v>
      </c>
      <c r="S168" s="103" t="s">
        <v>176</v>
      </c>
      <c r="T168" s="103" t="n">
        <v>20</v>
      </c>
      <c r="U168" s="103" t="s">
        <v>177</v>
      </c>
      <c r="V168" s="103" t="n">
        <v>500</v>
      </c>
      <c r="W168" s="103" t="n">
        <f aca="false">DATA_PIPELINE!$K168</f>
        <v>0</v>
      </c>
      <c r="X168" s="103" t="n">
        <f aca="false">DATA_PIPELINE!$V168-DATA_PIPELINE!$W168</f>
        <v>500</v>
      </c>
      <c r="Y168" s="103" t="str">
        <f aca="false">IF(DATA_PIPELINE!$X168=0,"Paid",IF(DATA_PIPELINE!$W168=0,"Unpaid","Partly Paid"))</f>
        <v>Unpaid</v>
      </c>
    </row>
    <row r="169" customFormat="false" ht="15" hidden="false" customHeight="true" outlineLevel="0" collapsed="false">
      <c r="A169" s="103" t="n">
        <v>164</v>
      </c>
      <c r="B169" s="103" t="s">
        <v>661</v>
      </c>
      <c r="C169" s="103" t="s">
        <v>662</v>
      </c>
      <c r="D169" s="103" t="s">
        <v>420</v>
      </c>
      <c r="E169" s="103" t="s">
        <v>663</v>
      </c>
      <c r="F169" s="103" t="n">
        <v>760393457</v>
      </c>
      <c r="G169" s="103" t="s">
        <v>417</v>
      </c>
      <c r="H169" s="103" t="s">
        <v>174</v>
      </c>
      <c r="I169" s="103" t="n">
        <v>17</v>
      </c>
      <c r="J169" s="103" t="s">
        <v>175</v>
      </c>
      <c r="K169" s="103" t="n">
        <v>0</v>
      </c>
      <c r="L169" s="103" t="n">
        <v>0</v>
      </c>
      <c r="M169" s="103" t="n">
        <v>0</v>
      </c>
      <c r="N169" s="103" t="n">
        <v>60</v>
      </c>
      <c r="O169" s="103" t="n">
        <v>11044.83</v>
      </c>
      <c r="P169" s="103" t="n">
        <v>0</v>
      </c>
      <c r="Q169" s="103" t="n">
        <v>0</v>
      </c>
      <c r="R169" s="103" t="n">
        <v>11044.83</v>
      </c>
      <c r="S169" s="103" t="s">
        <v>176</v>
      </c>
      <c r="T169" s="103" t="n">
        <v>60</v>
      </c>
      <c r="U169" s="103" t="s">
        <v>177</v>
      </c>
      <c r="V169" s="103" t="n">
        <v>500</v>
      </c>
      <c r="W169" s="103" t="n">
        <f aca="false">DATA_PIPELINE!$K169</f>
        <v>0</v>
      </c>
      <c r="X169" s="103" t="n">
        <f aca="false">DATA_PIPELINE!$V169-DATA_PIPELINE!$W169</f>
        <v>500</v>
      </c>
      <c r="Y169" s="103" t="str">
        <f aca="false">IF(DATA_PIPELINE!$X169=0,"Paid",IF(DATA_PIPELINE!$W169=0,"Unpaid","Partly Paid"))</f>
        <v>Unpaid</v>
      </c>
    </row>
    <row r="170" customFormat="false" ht="15" hidden="false" customHeight="true" outlineLevel="0" collapsed="false">
      <c r="A170" s="103" t="n">
        <v>165</v>
      </c>
      <c r="B170" s="103" t="s">
        <v>664</v>
      </c>
      <c r="C170" s="103" t="s">
        <v>665</v>
      </c>
      <c r="D170" s="103" t="s">
        <v>420</v>
      </c>
      <c r="E170" s="103" t="s">
        <v>666</v>
      </c>
      <c r="F170" s="103" t="n">
        <v>760342417</v>
      </c>
      <c r="G170" s="103" t="s">
        <v>417</v>
      </c>
      <c r="H170" s="103" t="s">
        <v>174</v>
      </c>
      <c r="I170" s="103"/>
      <c r="J170" s="103" t="s">
        <v>175</v>
      </c>
      <c r="K170" s="103" t="n">
        <v>0</v>
      </c>
      <c r="L170" s="103" t="n">
        <v>0</v>
      </c>
      <c r="M170" s="103" t="n">
        <v>0</v>
      </c>
      <c r="N170" s="103" t="n">
        <v>10</v>
      </c>
      <c r="O170" s="103" t="n">
        <v>1077.9</v>
      </c>
      <c r="P170" s="103" t="n">
        <v>0</v>
      </c>
      <c r="Q170" s="103" t="n">
        <v>0</v>
      </c>
      <c r="R170" s="103" t="n">
        <v>1077.9</v>
      </c>
      <c r="S170" s="103" t="s">
        <v>176</v>
      </c>
      <c r="T170" s="103" t="n">
        <v>10</v>
      </c>
      <c r="U170" s="103" t="s">
        <v>177</v>
      </c>
      <c r="V170" s="103" t="n">
        <v>500</v>
      </c>
      <c r="W170" s="103" t="n">
        <f aca="false">DATA_PIPELINE!$K170</f>
        <v>0</v>
      </c>
      <c r="X170" s="103" t="n">
        <f aca="false">DATA_PIPELINE!$V170-DATA_PIPELINE!$W170</f>
        <v>500</v>
      </c>
      <c r="Y170" s="103" t="str">
        <f aca="false">IF(DATA_PIPELINE!$X170=0,"Paid",IF(DATA_PIPELINE!$W170=0,"Unpaid","Partly Paid"))</f>
        <v>Unpaid</v>
      </c>
    </row>
    <row r="171" customFormat="false" ht="15" hidden="false" customHeight="true" outlineLevel="0" collapsed="false">
      <c r="A171" s="103" t="n">
        <v>166</v>
      </c>
      <c r="B171" s="103" t="s">
        <v>488</v>
      </c>
      <c r="C171" s="103" t="s">
        <v>667</v>
      </c>
      <c r="D171" s="103" t="s">
        <v>420</v>
      </c>
      <c r="E171" s="103" t="s">
        <v>668</v>
      </c>
      <c r="F171" s="103" t="n">
        <v>760316897</v>
      </c>
      <c r="G171" s="103" t="s">
        <v>417</v>
      </c>
      <c r="H171" s="103" t="s">
        <v>174</v>
      </c>
      <c r="I171" s="103"/>
      <c r="J171" s="103" t="s">
        <v>175</v>
      </c>
      <c r="K171" s="103" t="n">
        <v>0</v>
      </c>
      <c r="L171" s="103" t="n">
        <v>0</v>
      </c>
      <c r="M171" s="103" t="n">
        <v>0</v>
      </c>
      <c r="N171" s="103" t="n">
        <v>30</v>
      </c>
      <c r="O171" s="103" t="n">
        <v>3907.34</v>
      </c>
      <c r="P171" s="103" t="n">
        <v>0</v>
      </c>
      <c r="Q171" s="103" t="n">
        <v>0</v>
      </c>
      <c r="R171" s="103" t="n">
        <v>3907.34</v>
      </c>
      <c r="S171" s="103" t="s">
        <v>176</v>
      </c>
      <c r="T171" s="103" t="n">
        <v>30</v>
      </c>
      <c r="U171" s="103" t="s">
        <v>177</v>
      </c>
      <c r="V171" s="103" t="n">
        <v>500</v>
      </c>
      <c r="W171" s="103" t="n">
        <f aca="false">DATA_PIPELINE!$K171</f>
        <v>0</v>
      </c>
      <c r="X171" s="103" t="n">
        <f aca="false">DATA_PIPELINE!$V171-DATA_PIPELINE!$W171</f>
        <v>500</v>
      </c>
      <c r="Y171" s="103" t="str">
        <f aca="false">IF(DATA_PIPELINE!$X171=0,"Paid",IF(DATA_PIPELINE!$W171=0,"Unpaid","Partly Paid"))</f>
        <v>Unpaid</v>
      </c>
    </row>
    <row r="172" customFormat="false" ht="15" hidden="false" customHeight="true" outlineLevel="0" collapsed="false">
      <c r="A172" s="103" t="n">
        <v>167</v>
      </c>
      <c r="B172" s="103" t="s">
        <v>669</v>
      </c>
      <c r="C172" s="103" t="s">
        <v>670</v>
      </c>
      <c r="D172" s="103" t="s">
        <v>420</v>
      </c>
      <c r="E172" s="103" t="s">
        <v>671</v>
      </c>
      <c r="F172" s="103" t="n">
        <v>760291377</v>
      </c>
      <c r="G172" s="103" t="s">
        <v>417</v>
      </c>
      <c r="H172" s="103" t="s">
        <v>174</v>
      </c>
      <c r="I172" s="103"/>
      <c r="J172" s="103" t="s">
        <v>175</v>
      </c>
      <c r="K172" s="103" t="n">
        <v>0</v>
      </c>
      <c r="L172" s="103" t="n">
        <v>0</v>
      </c>
      <c r="M172" s="103" t="n">
        <v>0</v>
      </c>
      <c r="N172" s="103" t="n">
        <v>20</v>
      </c>
      <c r="O172" s="103" t="n">
        <v>5973.95</v>
      </c>
      <c r="P172" s="103" t="n">
        <v>0</v>
      </c>
      <c r="Q172" s="103" t="n">
        <v>0</v>
      </c>
      <c r="R172" s="103" t="n">
        <v>5973.95</v>
      </c>
      <c r="S172" s="103" t="s">
        <v>176</v>
      </c>
      <c r="T172" s="103" t="n">
        <v>20</v>
      </c>
      <c r="U172" s="103" t="s">
        <v>177</v>
      </c>
      <c r="V172" s="103" t="n">
        <v>500</v>
      </c>
      <c r="W172" s="103" t="n">
        <f aca="false">DATA_PIPELINE!$K172</f>
        <v>0</v>
      </c>
      <c r="X172" s="103" t="n">
        <f aca="false">DATA_PIPELINE!$V172-DATA_PIPELINE!$W172</f>
        <v>500</v>
      </c>
      <c r="Y172" s="103" t="str">
        <f aca="false">IF(DATA_PIPELINE!$X172=0,"Paid",IF(DATA_PIPELINE!$W172=0,"Unpaid","Partly Paid"))</f>
        <v>Unpaid</v>
      </c>
    </row>
    <row r="173" customFormat="false" ht="15" hidden="false" customHeight="true" outlineLevel="0" collapsed="false">
      <c r="A173" s="103" t="n">
        <v>168</v>
      </c>
      <c r="B173" s="103" t="s">
        <v>622</v>
      </c>
      <c r="C173" s="103" t="s">
        <v>672</v>
      </c>
      <c r="D173" s="103" t="s">
        <v>420</v>
      </c>
      <c r="E173" s="103" t="s">
        <v>673</v>
      </c>
      <c r="F173" s="103" t="n">
        <v>760265857</v>
      </c>
      <c r="G173" s="103" t="s">
        <v>417</v>
      </c>
      <c r="H173" s="103" t="s">
        <v>174</v>
      </c>
      <c r="I173" s="103"/>
      <c r="J173" s="103" t="s">
        <v>175</v>
      </c>
      <c r="K173" s="103" t="n">
        <v>0</v>
      </c>
      <c r="L173" s="103" t="n">
        <v>0</v>
      </c>
      <c r="M173" s="103" t="n">
        <v>0</v>
      </c>
      <c r="N173" s="103" t="n">
        <v>20</v>
      </c>
      <c r="O173" s="103" t="n">
        <v>546</v>
      </c>
      <c r="P173" s="103" t="n">
        <v>0</v>
      </c>
      <c r="Q173" s="103" t="n">
        <v>0</v>
      </c>
      <c r="R173" s="103" t="n">
        <v>546</v>
      </c>
      <c r="S173" s="103" t="s">
        <v>176</v>
      </c>
      <c r="T173" s="103" t="n">
        <v>20</v>
      </c>
      <c r="U173" s="103" t="s">
        <v>177</v>
      </c>
      <c r="V173" s="103" t="n">
        <v>500</v>
      </c>
      <c r="W173" s="103" t="n">
        <f aca="false">DATA_PIPELINE!$K173</f>
        <v>0</v>
      </c>
      <c r="X173" s="103" t="n">
        <f aca="false">DATA_PIPELINE!$V173-DATA_PIPELINE!$W173</f>
        <v>500</v>
      </c>
      <c r="Y173" s="103" t="str">
        <f aca="false">IF(DATA_PIPELINE!$X173=0,"Paid",IF(DATA_PIPELINE!$W173=0,"Unpaid","Partly Paid"))</f>
        <v>Unpaid</v>
      </c>
    </row>
    <row r="174" customFormat="false" ht="15" hidden="false" customHeight="true" outlineLevel="0" collapsed="false">
      <c r="A174" s="103" t="n">
        <v>169</v>
      </c>
      <c r="B174" s="103" t="s">
        <v>664</v>
      </c>
      <c r="C174" s="103" t="s">
        <v>674</v>
      </c>
      <c r="D174" s="103" t="s">
        <v>420</v>
      </c>
      <c r="E174" s="103" t="s">
        <v>675</v>
      </c>
      <c r="F174" s="103" t="n">
        <v>773618349</v>
      </c>
      <c r="G174" s="103" t="s">
        <v>417</v>
      </c>
      <c r="H174" s="103" t="s">
        <v>174</v>
      </c>
      <c r="I174" s="103"/>
      <c r="J174" s="103" t="s">
        <v>175</v>
      </c>
      <c r="K174" s="103" t="n">
        <v>0</v>
      </c>
      <c r="L174" s="103" t="n">
        <v>0</v>
      </c>
      <c r="M174" s="103" t="n">
        <v>0</v>
      </c>
      <c r="N174" s="103" t="n">
        <v>0</v>
      </c>
      <c r="O174" s="103" t="n">
        <v>2855.13</v>
      </c>
      <c r="P174" s="103" t="n">
        <v>0</v>
      </c>
      <c r="Q174" s="103" t="n">
        <v>0</v>
      </c>
      <c r="R174" s="103" t="n">
        <v>2855.13</v>
      </c>
      <c r="S174" s="103" t="s">
        <v>176</v>
      </c>
      <c r="T174" s="103" t="n">
        <v>0</v>
      </c>
      <c r="U174" s="103" t="s">
        <v>177</v>
      </c>
      <c r="V174" s="103" t="n">
        <v>500</v>
      </c>
      <c r="W174" s="103" t="n">
        <f aca="false">DATA_PIPELINE!$K174</f>
        <v>0</v>
      </c>
      <c r="X174" s="103" t="n">
        <f aca="false">DATA_PIPELINE!$V174-DATA_PIPELINE!$W174</f>
        <v>500</v>
      </c>
      <c r="Y174" s="103" t="str">
        <f aca="false">IF(DATA_PIPELINE!$X174=0,"Paid",IF(DATA_PIPELINE!$W174=0,"Unpaid","Partly Paid"))</f>
        <v>Unpaid</v>
      </c>
    </row>
    <row r="175" customFormat="false" ht="15" hidden="false" customHeight="true" outlineLevel="0" collapsed="false">
      <c r="A175" s="103" t="n">
        <v>170</v>
      </c>
      <c r="B175" s="103" t="s">
        <v>676</v>
      </c>
      <c r="C175" s="103" t="s">
        <v>677</v>
      </c>
      <c r="D175" s="103" t="s">
        <v>420</v>
      </c>
      <c r="E175" s="103" t="s">
        <v>678</v>
      </c>
      <c r="F175" s="103" t="n">
        <v>716282929</v>
      </c>
      <c r="G175" s="103" t="s">
        <v>417</v>
      </c>
      <c r="H175" s="103" t="s">
        <v>174</v>
      </c>
      <c r="I175" s="103"/>
      <c r="J175" s="103" t="s">
        <v>175</v>
      </c>
      <c r="K175" s="103" t="n">
        <v>0</v>
      </c>
      <c r="L175" s="103" t="n">
        <v>0</v>
      </c>
      <c r="M175" s="103" t="n">
        <v>0</v>
      </c>
      <c r="N175" s="103" t="n">
        <v>15</v>
      </c>
      <c r="O175" s="103" t="n">
        <v>2168.31</v>
      </c>
      <c r="P175" s="103" t="n">
        <v>0</v>
      </c>
      <c r="Q175" s="103" t="n">
        <v>0</v>
      </c>
      <c r="R175" s="103" t="n">
        <v>2168.31</v>
      </c>
      <c r="S175" s="103" t="s">
        <v>176</v>
      </c>
      <c r="T175" s="103" t="n">
        <v>15</v>
      </c>
      <c r="U175" s="103" t="s">
        <v>177</v>
      </c>
      <c r="V175" s="103" t="n">
        <v>500</v>
      </c>
      <c r="W175" s="103" t="n">
        <f aca="false">DATA_PIPELINE!$K175</f>
        <v>0</v>
      </c>
      <c r="X175" s="103" t="n">
        <f aca="false">DATA_PIPELINE!$V175-DATA_PIPELINE!$W175</f>
        <v>500</v>
      </c>
      <c r="Y175" s="103" t="str">
        <f aca="false">IF(DATA_PIPELINE!$X175=0,"Paid",IF(DATA_PIPELINE!$W175=0,"Unpaid","Partly Paid"))</f>
        <v>Unpaid</v>
      </c>
    </row>
    <row r="176" customFormat="false" ht="15" hidden="false" customHeight="true" outlineLevel="0" collapsed="false">
      <c r="A176" s="103" t="n">
        <v>171</v>
      </c>
      <c r="B176" s="103" t="s">
        <v>679</v>
      </c>
      <c r="C176" s="103" t="s">
        <v>680</v>
      </c>
      <c r="D176" s="103" t="s">
        <v>420</v>
      </c>
      <c r="E176" s="103" t="s">
        <v>681</v>
      </c>
      <c r="F176" s="103" t="n">
        <v>772696816</v>
      </c>
      <c r="G176" s="103" t="s">
        <v>417</v>
      </c>
      <c r="H176" s="103" t="s">
        <v>174</v>
      </c>
      <c r="I176" s="103"/>
      <c r="J176" s="103" t="s">
        <v>175</v>
      </c>
      <c r="K176" s="103" t="n">
        <v>0</v>
      </c>
      <c r="L176" s="103" t="n">
        <v>0</v>
      </c>
      <c r="M176" s="103" t="n">
        <v>0</v>
      </c>
      <c r="N176" s="103" t="n">
        <v>60</v>
      </c>
      <c r="O176" s="103" t="n">
        <v>14945.77</v>
      </c>
      <c r="P176" s="103" t="n">
        <v>0</v>
      </c>
      <c r="Q176" s="103" t="n">
        <v>0</v>
      </c>
      <c r="R176" s="103" t="n">
        <v>14945.77</v>
      </c>
      <c r="S176" s="103" t="s">
        <v>176</v>
      </c>
      <c r="T176" s="103" t="n">
        <v>60</v>
      </c>
      <c r="U176" s="103" t="s">
        <v>177</v>
      </c>
      <c r="V176" s="103" t="n">
        <v>500</v>
      </c>
      <c r="W176" s="103" t="n">
        <f aca="false">DATA_PIPELINE!$K176</f>
        <v>0</v>
      </c>
      <c r="X176" s="103" t="n">
        <f aca="false">DATA_PIPELINE!$V176-DATA_PIPELINE!$W176</f>
        <v>500</v>
      </c>
      <c r="Y176" s="103" t="str">
        <f aca="false">IF(DATA_PIPELINE!$X176=0,"Paid",IF(DATA_PIPELINE!$W176=0,"Unpaid","Partly Paid"))</f>
        <v>Unpaid</v>
      </c>
    </row>
    <row r="177" customFormat="false" ht="15" hidden="false" customHeight="true" outlineLevel="0" collapsed="false">
      <c r="A177" s="103" t="n">
        <v>172</v>
      </c>
      <c r="B177" s="103" t="s">
        <v>682</v>
      </c>
      <c r="C177" s="103" t="s">
        <v>683</v>
      </c>
      <c r="D177" s="103" t="s">
        <v>420</v>
      </c>
      <c r="E177" s="103" t="s">
        <v>684</v>
      </c>
      <c r="F177" s="103" t="n">
        <v>772419428</v>
      </c>
      <c r="G177" s="103" t="s">
        <v>417</v>
      </c>
      <c r="H177" s="103" t="s">
        <v>174</v>
      </c>
      <c r="I177" s="103"/>
      <c r="J177" s="103" t="s">
        <v>175</v>
      </c>
      <c r="K177" s="103" t="n">
        <v>0</v>
      </c>
      <c r="L177" s="103" t="n">
        <v>0</v>
      </c>
      <c r="M177" s="103" t="n">
        <v>0</v>
      </c>
      <c r="N177" s="103" t="n">
        <v>100</v>
      </c>
      <c r="O177" s="103" t="n">
        <v>16191.81</v>
      </c>
      <c r="P177" s="103" t="n">
        <v>0</v>
      </c>
      <c r="Q177" s="103" t="n">
        <v>0</v>
      </c>
      <c r="R177" s="103" t="n">
        <v>16191.81</v>
      </c>
      <c r="S177" s="103" t="s">
        <v>176</v>
      </c>
      <c r="T177" s="103" t="n">
        <v>100</v>
      </c>
      <c r="U177" s="103" t="s">
        <v>177</v>
      </c>
      <c r="V177" s="103" t="n">
        <v>500</v>
      </c>
      <c r="W177" s="103" t="n">
        <f aca="false">DATA_PIPELINE!$K177</f>
        <v>0</v>
      </c>
      <c r="X177" s="103" t="n">
        <f aca="false">DATA_PIPELINE!$V177-DATA_PIPELINE!$W177</f>
        <v>500</v>
      </c>
      <c r="Y177" s="103" t="str">
        <f aca="false">IF(DATA_PIPELINE!$X177=0,"Paid",IF(DATA_PIPELINE!$W177=0,"Unpaid","Partly Paid"))</f>
        <v>Unpaid</v>
      </c>
    </row>
    <row r="178" customFormat="false" ht="15" hidden="false" customHeight="true" outlineLevel="0" collapsed="false">
      <c r="A178" s="103" t="n">
        <v>173</v>
      </c>
      <c r="B178" s="103" t="s">
        <v>685</v>
      </c>
      <c r="C178" s="103" t="s">
        <v>686</v>
      </c>
      <c r="D178" s="103" t="s">
        <v>420</v>
      </c>
      <c r="E178" s="103" t="s">
        <v>687</v>
      </c>
      <c r="F178" s="103" t="n">
        <v>781594688</v>
      </c>
      <c r="G178" s="103" t="s">
        <v>417</v>
      </c>
      <c r="H178" s="103" t="s">
        <v>174</v>
      </c>
      <c r="I178" s="103"/>
      <c r="J178" s="103" t="s">
        <v>175</v>
      </c>
      <c r="K178" s="103" t="n">
        <v>0</v>
      </c>
      <c r="L178" s="103" t="n">
        <v>0</v>
      </c>
      <c r="M178" s="103" t="n">
        <v>0</v>
      </c>
      <c r="N178" s="103" t="n">
        <v>10</v>
      </c>
      <c r="O178" s="103" t="n">
        <v>1284.8</v>
      </c>
      <c r="P178" s="103" t="n">
        <v>0</v>
      </c>
      <c r="Q178" s="103" t="n">
        <v>0</v>
      </c>
      <c r="R178" s="103" t="n">
        <v>1284.8</v>
      </c>
      <c r="S178" s="103" t="s">
        <v>176</v>
      </c>
      <c r="T178" s="103" t="n">
        <v>10</v>
      </c>
      <c r="U178" s="103" t="s">
        <v>177</v>
      </c>
      <c r="V178" s="103" t="n">
        <v>500</v>
      </c>
      <c r="W178" s="103" t="n">
        <f aca="false">DATA_PIPELINE!$K178</f>
        <v>0</v>
      </c>
      <c r="X178" s="103" t="n">
        <f aca="false">DATA_PIPELINE!$V178-DATA_PIPELINE!$W178</f>
        <v>500</v>
      </c>
      <c r="Y178" s="103" t="str">
        <f aca="false">IF(DATA_PIPELINE!$X178=0,"Paid",IF(DATA_PIPELINE!$W178=0,"Unpaid","Partly Paid"))</f>
        <v>Unpaid</v>
      </c>
    </row>
    <row r="179" customFormat="false" ht="15" hidden="false" customHeight="true" outlineLevel="0" collapsed="false">
      <c r="A179" s="103" t="n">
        <v>174</v>
      </c>
      <c r="B179" s="103" t="s">
        <v>688</v>
      </c>
      <c r="C179" s="103" t="s">
        <v>689</v>
      </c>
      <c r="D179" s="103" t="s">
        <v>420</v>
      </c>
      <c r="E179" s="103" t="s">
        <v>690</v>
      </c>
      <c r="F179" s="103" t="n">
        <v>772505787</v>
      </c>
      <c r="G179" s="103" t="s">
        <v>417</v>
      </c>
      <c r="H179" s="103" t="s">
        <v>174</v>
      </c>
      <c r="I179" s="103" t="n">
        <v>17</v>
      </c>
      <c r="J179" s="103" t="s">
        <v>175</v>
      </c>
      <c r="K179" s="103" t="n">
        <v>0</v>
      </c>
      <c r="L179" s="103" t="n">
        <v>0</v>
      </c>
      <c r="M179" s="103" t="n">
        <v>0</v>
      </c>
      <c r="N179" s="103" t="n">
        <v>20</v>
      </c>
      <c r="O179" s="103" t="n">
        <v>6272.56</v>
      </c>
      <c r="P179" s="103" t="n">
        <v>0</v>
      </c>
      <c r="Q179" s="103" t="n">
        <v>0</v>
      </c>
      <c r="R179" s="103" t="n">
        <v>6272.56</v>
      </c>
      <c r="S179" s="103" t="s">
        <v>176</v>
      </c>
      <c r="T179" s="103" t="n">
        <v>20</v>
      </c>
      <c r="U179" s="103" t="s">
        <v>177</v>
      </c>
      <c r="V179" s="103" t="n">
        <v>500</v>
      </c>
      <c r="W179" s="103" t="n">
        <f aca="false">DATA_PIPELINE!$K179</f>
        <v>0</v>
      </c>
      <c r="X179" s="103" t="n">
        <f aca="false">DATA_PIPELINE!$V179-DATA_PIPELINE!$W179</f>
        <v>500</v>
      </c>
      <c r="Y179" s="103" t="str">
        <f aca="false">IF(DATA_PIPELINE!$X179=0,"Paid",IF(DATA_PIPELINE!$W179=0,"Unpaid","Partly Paid"))</f>
        <v>Unpaid</v>
      </c>
    </row>
    <row r="180" customFormat="false" ht="15" hidden="false" customHeight="true" outlineLevel="0" collapsed="false">
      <c r="A180" s="103" t="n">
        <v>175</v>
      </c>
      <c r="B180" s="103" t="s">
        <v>691</v>
      </c>
      <c r="C180" s="103" t="s">
        <v>692</v>
      </c>
      <c r="D180" s="103" t="s">
        <v>420</v>
      </c>
      <c r="E180" s="103" t="s">
        <v>693</v>
      </c>
      <c r="F180" s="103" t="n">
        <v>78303692</v>
      </c>
      <c r="G180" s="103" t="s">
        <v>417</v>
      </c>
      <c r="H180" s="103" t="s">
        <v>174</v>
      </c>
      <c r="I180" s="103"/>
      <c r="J180" s="103" t="s">
        <v>175</v>
      </c>
      <c r="K180" s="103" t="n">
        <v>0</v>
      </c>
      <c r="L180" s="103" t="n">
        <v>0</v>
      </c>
      <c r="M180" s="103" t="n">
        <v>0</v>
      </c>
      <c r="N180" s="103" t="n">
        <v>30</v>
      </c>
      <c r="O180" s="103" t="n">
        <v>5224.24</v>
      </c>
      <c r="P180" s="103" t="n">
        <v>11</v>
      </c>
      <c r="Q180" s="103" t="n">
        <v>4012.25</v>
      </c>
      <c r="R180" s="103" t="n">
        <v>1211.99</v>
      </c>
      <c r="S180" s="103" t="n">
        <v>76.8</v>
      </c>
      <c r="T180" s="103" t="n">
        <v>30</v>
      </c>
      <c r="U180" s="103" t="s">
        <v>177</v>
      </c>
      <c r="V180" s="103" t="n">
        <v>500</v>
      </c>
      <c r="W180" s="103" t="n">
        <f aca="false">DATA_PIPELINE!$K180</f>
        <v>0</v>
      </c>
      <c r="X180" s="103" t="n">
        <f aca="false">DATA_PIPELINE!$V180-DATA_PIPELINE!$W180</f>
        <v>500</v>
      </c>
      <c r="Y180" s="103" t="str">
        <f aca="false">IF(DATA_PIPELINE!$X180=0,"Paid",IF(DATA_PIPELINE!$W180=0,"Unpaid","Partly Paid"))</f>
        <v>Unpaid</v>
      </c>
    </row>
    <row r="181" customFormat="false" ht="15" hidden="false" customHeight="true" outlineLevel="0" collapsed="false">
      <c r="A181" s="103" t="n">
        <v>176</v>
      </c>
      <c r="B181" s="103" t="s">
        <v>694</v>
      </c>
      <c r="C181" s="103" t="s">
        <v>695</v>
      </c>
      <c r="D181" s="103" t="s">
        <v>420</v>
      </c>
      <c r="E181" s="103" t="s">
        <v>696</v>
      </c>
      <c r="F181" s="103" t="n">
        <v>760036177</v>
      </c>
      <c r="G181" s="103" t="s">
        <v>417</v>
      </c>
      <c r="H181" s="103" t="s">
        <v>174</v>
      </c>
      <c r="I181" s="103"/>
      <c r="J181" s="103" t="s">
        <v>175</v>
      </c>
      <c r="K181" s="103" t="n">
        <v>0</v>
      </c>
      <c r="L181" s="103" t="n">
        <v>0</v>
      </c>
      <c r="M181" s="103" t="n">
        <v>0</v>
      </c>
      <c r="N181" s="103" t="n">
        <v>10</v>
      </c>
      <c r="O181" s="103" t="n">
        <v>273</v>
      </c>
      <c r="P181" s="103" t="n">
        <v>0</v>
      </c>
      <c r="Q181" s="103" t="n">
        <v>0</v>
      </c>
      <c r="R181" s="103" t="n">
        <v>273</v>
      </c>
      <c r="S181" s="103" t="s">
        <v>176</v>
      </c>
      <c r="T181" s="103" t="n">
        <v>10</v>
      </c>
      <c r="U181" s="103" t="s">
        <v>177</v>
      </c>
      <c r="V181" s="103" t="n">
        <v>500</v>
      </c>
      <c r="W181" s="103" t="n">
        <f aca="false">DATA_PIPELINE!$K181</f>
        <v>0</v>
      </c>
      <c r="X181" s="103" t="n">
        <f aca="false">DATA_PIPELINE!$V181-DATA_PIPELINE!$W181</f>
        <v>500</v>
      </c>
      <c r="Y181" s="103" t="str">
        <f aca="false">IF(DATA_PIPELINE!$X181=0,"Paid",IF(DATA_PIPELINE!$W181=0,"Unpaid","Partly Paid"))</f>
        <v>Unpaid</v>
      </c>
    </row>
    <row r="182" customFormat="false" ht="15" hidden="false" customHeight="true" outlineLevel="0" collapsed="false">
      <c r="A182" s="103" t="n">
        <v>177</v>
      </c>
      <c r="B182" s="103" t="s">
        <v>697</v>
      </c>
      <c r="C182" s="103" t="s">
        <v>698</v>
      </c>
      <c r="D182" s="103" t="s">
        <v>420</v>
      </c>
      <c r="E182" s="103" t="s">
        <v>699</v>
      </c>
      <c r="F182" s="103" t="n">
        <v>760010657</v>
      </c>
      <c r="G182" s="103" t="s">
        <v>417</v>
      </c>
      <c r="H182" s="103" t="s">
        <v>174</v>
      </c>
      <c r="I182" s="103" t="n">
        <v>14</v>
      </c>
      <c r="J182" s="103" t="s">
        <v>175</v>
      </c>
      <c r="K182" s="103" t="n">
        <v>0</v>
      </c>
      <c r="L182" s="103" t="n">
        <v>0</v>
      </c>
      <c r="M182" s="103" t="n">
        <v>0</v>
      </c>
      <c r="N182" s="103" t="n">
        <v>20</v>
      </c>
      <c r="O182" s="103" t="n">
        <v>3881.03</v>
      </c>
      <c r="P182" s="103" t="n">
        <v>0</v>
      </c>
      <c r="Q182" s="103" t="n">
        <v>0</v>
      </c>
      <c r="R182" s="103" t="n">
        <v>3881.03</v>
      </c>
      <c r="S182" s="103" t="s">
        <v>176</v>
      </c>
      <c r="T182" s="103" t="n">
        <v>20</v>
      </c>
      <c r="U182" s="103" t="s">
        <v>177</v>
      </c>
      <c r="V182" s="103" t="n">
        <v>500</v>
      </c>
      <c r="W182" s="103" t="n">
        <f aca="false">DATA_PIPELINE!$K182</f>
        <v>0</v>
      </c>
      <c r="X182" s="103" t="n">
        <f aca="false">DATA_PIPELINE!$V182-DATA_PIPELINE!$W182</f>
        <v>500</v>
      </c>
      <c r="Y182" s="103" t="str">
        <f aca="false">IF(DATA_PIPELINE!$X182=0,"Paid",IF(DATA_PIPELINE!$W182=0,"Unpaid","Partly Paid"))</f>
        <v>Unpaid</v>
      </c>
    </row>
    <row r="183" customFormat="false" ht="15" hidden="false" customHeight="true" outlineLevel="0" collapsed="false">
      <c r="A183" s="103" t="n">
        <v>178</v>
      </c>
      <c r="B183" s="103" t="s">
        <v>700</v>
      </c>
      <c r="C183" s="103" t="s">
        <v>701</v>
      </c>
      <c r="D183" s="103" t="s">
        <v>531</v>
      </c>
      <c r="E183" s="103" t="s">
        <v>702</v>
      </c>
      <c r="F183" s="103" t="n">
        <v>773556132</v>
      </c>
      <c r="G183" s="103" t="s">
        <v>417</v>
      </c>
      <c r="H183" s="103" t="s">
        <v>174</v>
      </c>
      <c r="I183" s="103"/>
      <c r="J183" s="103" t="s">
        <v>175</v>
      </c>
      <c r="K183" s="103" t="n">
        <v>0</v>
      </c>
      <c r="L183" s="103" t="n">
        <v>0</v>
      </c>
      <c r="M183" s="103" t="n">
        <v>0</v>
      </c>
      <c r="N183" s="103" t="n">
        <v>20</v>
      </c>
      <c r="O183" s="103" t="n">
        <v>2452.75</v>
      </c>
      <c r="P183" s="103" t="n">
        <v>0</v>
      </c>
      <c r="Q183" s="103" t="n">
        <v>0</v>
      </c>
      <c r="R183" s="103" t="n">
        <v>2452.75</v>
      </c>
      <c r="S183" s="103" t="s">
        <v>176</v>
      </c>
      <c r="T183" s="103" t="n">
        <v>20</v>
      </c>
      <c r="U183" s="103" t="s">
        <v>177</v>
      </c>
      <c r="V183" s="103" t="n">
        <v>500</v>
      </c>
      <c r="W183" s="103" t="n">
        <f aca="false">DATA_PIPELINE!$K183</f>
        <v>0</v>
      </c>
      <c r="X183" s="103" t="n">
        <f aca="false">DATA_PIPELINE!$V183-DATA_PIPELINE!$W183</f>
        <v>500</v>
      </c>
      <c r="Y183" s="103" t="str">
        <f aca="false">IF(DATA_PIPELINE!$X183=0,"Paid",IF(DATA_PIPELINE!$W183=0,"Unpaid","Partly Paid"))</f>
        <v>Unpaid</v>
      </c>
    </row>
    <row r="184" customFormat="false" ht="15" hidden="false" customHeight="true" outlineLevel="0" collapsed="false">
      <c r="A184" s="103" t="n">
        <v>179</v>
      </c>
      <c r="B184" s="103" t="s">
        <v>703</v>
      </c>
      <c r="C184" s="103" t="s">
        <v>704</v>
      </c>
      <c r="D184" s="103" t="s">
        <v>420</v>
      </c>
      <c r="E184" s="103" t="s">
        <v>705</v>
      </c>
      <c r="F184" s="103" t="n">
        <v>776358408</v>
      </c>
      <c r="G184" s="103" t="s">
        <v>417</v>
      </c>
      <c r="H184" s="103" t="s">
        <v>174</v>
      </c>
      <c r="I184" s="103"/>
      <c r="J184" s="103" t="s">
        <v>175</v>
      </c>
      <c r="K184" s="103" t="n">
        <v>0</v>
      </c>
      <c r="L184" s="103" t="n">
        <v>0</v>
      </c>
      <c r="M184" s="103" t="n">
        <v>0</v>
      </c>
      <c r="N184" s="103" t="n">
        <v>10</v>
      </c>
      <c r="O184" s="103" t="n">
        <v>3652.25</v>
      </c>
      <c r="P184" s="103" t="n">
        <v>0</v>
      </c>
      <c r="Q184" s="103" t="n">
        <v>0</v>
      </c>
      <c r="R184" s="103" t="n">
        <v>3652.25</v>
      </c>
      <c r="S184" s="103" t="s">
        <v>176</v>
      </c>
      <c r="T184" s="103" t="n">
        <v>10</v>
      </c>
      <c r="U184" s="103" t="s">
        <v>177</v>
      </c>
      <c r="V184" s="103" t="n">
        <v>500</v>
      </c>
      <c r="W184" s="103" t="n">
        <f aca="false">DATA_PIPELINE!$K184</f>
        <v>0</v>
      </c>
      <c r="X184" s="103" t="n">
        <f aca="false">DATA_PIPELINE!$V184-DATA_PIPELINE!$W184</f>
        <v>500</v>
      </c>
      <c r="Y184" s="103" t="str">
        <f aca="false">IF(DATA_PIPELINE!$X184=0,"Paid",IF(DATA_PIPELINE!$W184=0,"Unpaid","Partly Paid"))</f>
        <v>Unpaid</v>
      </c>
    </row>
    <row r="185" customFormat="false" ht="15" hidden="false" customHeight="true" outlineLevel="0" collapsed="false">
      <c r="A185" s="103" t="n">
        <v>180</v>
      </c>
      <c r="B185" s="103" t="s">
        <v>706</v>
      </c>
      <c r="C185" s="103"/>
      <c r="D185" s="103" t="s">
        <v>420</v>
      </c>
      <c r="E185" s="103" t="s">
        <v>707</v>
      </c>
      <c r="F185" s="103" t="n">
        <v>759934097</v>
      </c>
      <c r="G185" s="103" t="s">
        <v>417</v>
      </c>
      <c r="H185" s="103" t="s">
        <v>174</v>
      </c>
      <c r="I185" s="103"/>
      <c r="J185" s="103" t="s">
        <v>175</v>
      </c>
      <c r="K185" s="103" t="n">
        <v>0</v>
      </c>
      <c r="L185" s="103" t="n">
        <v>0</v>
      </c>
      <c r="M185" s="103" t="n">
        <v>0</v>
      </c>
      <c r="N185" s="103" t="n">
        <v>40</v>
      </c>
      <c r="O185" s="103" t="n">
        <v>10325.19</v>
      </c>
      <c r="P185" s="103" t="n">
        <v>0</v>
      </c>
      <c r="Q185" s="103" t="n">
        <v>0</v>
      </c>
      <c r="R185" s="103" t="n">
        <v>10325.19</v>
      </c>
      <c r="S185" s="103" t="s">
        <v>176</v>
      </c>
      <c r="T185" s="103" t="n">
        <v>40</v>
      </c>
      <c r="U185" s="103" t="s">
        <v>177</v>
      </c>
      <c r="V185" s="103" t="n">
        <v>500</v>
      </c>
      <c r="W185" s="103" t="n">
        <f aca="false">DATA_PIPELINE!$K185</f>
        <v>0</v>
      </c>
      <c r="X185" s="103" t="n">
        <f aca="false">DATA_PIPELINE!$V185-DATA_PIPELINE!$W185</f>
        <v>500</v>
      </c>
      <c r="Y185" s="103" t="str">
        <f aca="false">IF(DATA_PIPELINE!$X185=0,"Paid",IF(DATA_PIPELINE!$W185=0,"Unpaid","Partly Paid"))</f>
        <v>Unpaid</v>
      </c>
    </row>
    <row r="186" customFormat="false" ht="15" hidden="false" customHeight="true" outlineLevel="0" collapsed="false">
      <c r="A186" s="103" t="n">
        <v>181</v>
      </c>
      <c r="B186" s="103" t="s">
        <v>708</v>
      </c>
      <c r="C186" s="103"/>
      <c r="D186" s="103" t="s">
        <v>420</v>
      </c>
      <c r="E186" s="103" t="s">
        <v>709</v>
      </c>
      <c r="F186" s="103" t="n">
        <v>717334317</v>
      </c>
      <c r="G186" s="103" t="s">
        <v>417</v>
      </c>
      <c r="H186" s="103" t="s">
        <v>174</v>
      </c>
      <c r="I186" s="103"/>
      <c r="J186" s="103" t="s">
        <v>175</v>
      </c>
      <c r="K186" s="103" t="n">
        <v>0</v>
      </c>
      <c r="L186" s="103" t="n">
        <v>0</v>
      </c>
      <c r="M186" s="103" t="n">
        <v>0</v>
      </c>
      <c r="N186" s="103" t="n">
        <v>0</v>
      </c>
      <c r="O186" s="103" t="n">
        <v>1311.26</v>
      </c>
      <c r="P186" s="103" t="n">
        <v>0</v>
      </c>
      <c r="Q186" s="103" t="n">
        <v>0</v>
      </c>
      <c r="R186" s="103" t="n">
        <v>1311.26</v>
      </c>
      <c r="S186" s="103" t="s">
        <v>176</v>
      </c>
      <c r="T186" s="103" t="n">
        <v>0</v>
      </c>
      <c r="U186" s="103" t="s">
        <v>177</v>
      </c>
      <c r="V186" s="103" t="n">
        <v>500</v>
      </c>
      <c r="W186" s="103" t="n">
        <f aca="false">DATA_PIPELINE!$K186</f>
        <v>0</v>
      </c>
      <c r="X186" s="103" t="n">
        <f aca="false">DATA_PIPELINE!$V186-DATA_PIPELINE!$W186</f>
        <v>500</v>
      </c>
      <c r="Y186" s="103" t="str">
        <f aca="false">IF(DATA_PIPELINE!$X186=0,"Paid",IF(DATA_PIPELINE!$W186=0,"Unpaid","Partly Paid"))</f>
        <v>Unpaid</v>
      </c>
    </row>
    <row r="187" customFormat="false" ht="15" hidden="false" customHeight="true" outlineLevel="0" collapsed="false">
      <c r="A187" s="103" t="n">
        <v>182</v>
      </c>
      <c r="B187" s="103" t="s">
        <v>710</v>
      </c>
      <c r="C187" s="103" t="s">
        <v>711</v>
      </c>
      <c r="D187" s="103" t="s">
        <v>420</v>
      </c>
      <c r="E187" s="103" t="s">
        <v>712</v>
      </c>
      <c r="F187" s="103"/>
      <c r="G187" s="103" t="s">
        <v>417</v>
      </c>
      <c r="H187" s="103" t="s">
        <v>174</v>
      </c>
      <c r="I187" s="103"/>
      <c r="J187" s="103" t="s">
        <v>175</v>
      </c>
      <c r="K187" s="103" t="n">
        <v>0</v>
      </c>
      <c r="L187" s="103" t="n">
        <v>0</v>
      </c>
      <c r="M187" s="103" t="n">
        <v>0</v>
      </c>
      <c r="N187" s="103" t="n">
        <v>0</v>
      </c>
      <c r="O187" s="103" t="n">
        <v>14578.46</v>
      </c>
      <c r="P187" s="103" t="n">
        <v>0</v>
      </c>
      <c r="Q187" s="103" t="n">
        <v>0</v>
      </c>
      <c r="R187" s="103" t="n">
        <v>14578.46</v>
      </c>
      <c r="S187" s="103" t="s">
        <v>176</v>
      </c>
      <c r="T187" s="103" t="n">
        <v>0</v>
      </c>
      <c r="U187" s="103" t="s">
        <v>177</v>
      </c>
      <c r="V187" s="103" t="n">
        <v>500</v>
      </c>
      <c r="W187" s="103" t="n">
        <f aca="false">DATA_PIPELINE!$K187</f>
        <v>0</v>
      </c>
      <c r="X187" s="103" t="n">
        <f aca="false">DATA_PIPELINE!$V187-DATA_PIPELINE!$W187</f>
        <v>500</v>
      </c>
      <c r="Y187" s="103" t="str">
        <f aca="false">IF(DATA_PIPELINE!$X187=0,"Paid",IF(DATA_PIPELINE!$W187=0,"Unpaid","Partly Paid"))</f>
        <v>Unpaid</v>
      </c>
    </row>
    <row r="188" customFormat="false" ht="15" hidden="false" customHeight="true" outlineLevel="0" collapsed="false">
      <c r="A188" s="103" t="n">
        <v>183</v>
      </c>
      <c r="B188" s="103" t="s">
        <v>713</v>
      </c>
      <c r="C188" s="103"/>
      <c r="D188" s="103" t="s">
        <v>420</v>
      </c>
      <c r="E188" s="103" t="s">
        <v>714</v>
      </c>
      <c r="F188" s="103"/>
      <c r="G188" s="103" t="s">
        <v>417</v>
      </c>
      <c r="H188" s="103" t="s">
        <v>174</v>
      </c>
      <c r="I188" s="103"/>
      <c r="J188" s="103" t="s">
        <v>175</v>
      </c>
      <c r="K188" s="103" t="n">
        <v>0</v>
      </c>
      <c r="L188" s="103" t="n">
        <v>0</v>
      </c>
      <c r="M188" s="103" t="n">
        <v>0</v>
      </c>
      <c r="N188" s="103" t="n">
        <v>300</v>
      </c>
      <c r="O188" s="103" t="n">
        <v>64396.96</v>
      </c>
      <c r="P188" s="103" t="n">
        <v>0</v>
      </c>
      <c r="Q188" s="103" t="n">
        <v>0</v>
      </c>
      <c r="R188" s="103" t="n">
        <v>64396.96</v>
      </c>
      <c r="S188" s="103" t="s">
        <v>176</v>
      </c>
      <c r="T188" s="103" t="n">
        <v>300</v>
      </c>
      <c r="U188" s="103" t="s">
        <v>247</v>
      </c>
      <c r="V188" s="103" t="n">
        <v>1000</v>
      </c>
      <c r="W188" s="103" t="n">
        <f aca="false">DATA_PIPELINE!$K188</f>
        <v>0</v>
      </c>
      <c r="X188" s="103" t="n">
        <f aca="false">DATA_PIPELINE!$V188-DATA_PIPELINE!$W188</f>
        <v>1000</v>
      </c>
      <c r="Y188" s="103" t="str">
        <f aca="false">IF(DATA_PIPELINE!$X188=0,"Paid",IF(DATA_PIPELINE!$W188=0,"Unpaid","Partly Paid"))</f>
        <v>Unpaid</v>
      </c>
    </row>
    <row r="189" customFormat="false" ht="15" hidden="false" customHeight="true" outlineLevel="0" collapsed="false">
      <c r="A189" s="103" t="n">
        <v>184</v>
      </c>
      <c r="B189" s="103" t="s">
        <v>715</v>
      </c>
      <c r="C189" s="103"/>
      <c r="D189" s="103" t="s">
        <v>420</v>
      </c>
      <c r="E189" s="103" t="s">
        <v>716</v>
      </c>
      <c r="F189" s="103"/>
      <c r="G189" s="103" t="s">
        <v>417</v>
      </c>
      <c r="H189" s="103" t="s">
        <v>174</v>
      </c>
      <c r="I189" s="103"/>
      <c r="J189" s="103" t="s">
        <v>175</v>
      </c>
      <c r="K189" s="103" t="n">
        <v>0</v>
      </c>
      <c r="L189" s="103" t="n">
        <v>0</v>
      </c>
      <c r="M189" s="103" t="n">
        <v>0</v>
      </c>
      <c r="N189" s="103" t="n">
        <v>30</v>
      </c>
      <c r="O189" s="103" t="n">
        <v>4425.42</v>
      </c>
      <c r="P189" s="103" t="n">
        <v>0</v>
      </c>
      <c r="Q189" s="103" t="n">
        <v>0</v>
      </c>
      <c r="R189" s="103" t="n">
        <v>4425.42</v>
      </c>
      <c r="S189" s="103" t="s">
        <v>176</v>
      </c>
      <c r="T189" s="103" t="n">
        <v>30</v>
      </c>
      <c r="U189" s="103" t="s">
        <v>177</v>
      </c>
      <c r="V189" s="103" t="n">
        <v>500</v>
      </c>
      <c r="W189" s="103" t="n">
        <f aca="false">DATA_PIPELINE!$K189</f>
        <v>0</v>
      </c>
      <c r="X189" s="103" t="n">
        <f aca="false">DATA_PIPELINE!$V189-DATA_PIPELINE!$W189</f>
        <v>500</v>
      </c>
      <c r="Y189" s="103" t="str">
        <f aca="false">IF(DATA_PIPELINE!$X189=0,"Paid",IF(DATA_PIPELINE!$W189=0,"Unpaid","Partly Paid"))</f>
        <v>Unpaid</v>
      </c>
    </row>
    <row r="190" customFormat="false" ht="15" hidden="false" customHeight="true" outlineLevel="0" collapsed="false">
      <c r="A190" s="103" t="n">
        <v>185</v>
      </c>
      <c r="B190" s="103" t="s">
        <v>717</v>
      </c>
      <c r="C190" s="103"/>
      <c r="D190" s="103" t="s">
        <v>420</v>
      </c>
      <c r="E190" s="103" t="s">
        <v>718</v>
      </c>
      <c r="F190" s="103"/>
      <c r="G190" s="103" t="s">
        <v>417</v>
      </c>
      <c r="H190" s="103" t="s">
        <v>174</v>
      </c>
      <c r="I190" s="103"/>
      <c r="J190" s="103" t="s">
        <v>175</v>
      </c>
      <c r="K190" s="103" t="n">
        <v>0</v>
      </c>
      <c r="L190" s="103" t="n">
        <v>0</v>
      </c>
      <c r="M190" s="103" t="n">
        <v>0</v>
      </c>
      <c r="N190" s="103" t="n">
        <v>10</v>
      </c>
      <c r="O190" s="103" t="n">
        <v>2168.66</v>
      </c>
      <c r="P190" s="103" t="n">
        <v>0</v>
      </c>
      <c r="Q190" s="103" t="n">
        <v>0</v>
      </c>
      <c r="R190" s="103" t="n">
        <v>2168.66</v>
      </c>
      <c r="S190" s="103" t="s">
        <v>176</v>
      </c>
      <c r="T190" s="103" t="n">
        <v>10</v>
      </c>
      <c r="U190" s="103" t="s">
        <v>177</v>
      </c>
      <c r="V190" s="103" t="n">
        <v>500</v>
      </c>
      <c r="W190" s="103" t="n">
        <f aca="false">DATA_PIPELINE!$K190</f>
        <v>0</v>
      </c>
      <c r="X190" s="103" t="n">
        <f aca="false">DATA_PIPELINE!$V190-DATA_PIPELINE!$W190</f>
        <v>500</v>
      </c>
      <c r="Y190" s="103" t="str">
        <f aca="false">IF(DATA_PIPELINE!$X190=0,"Paid",IF(DATA_PIPELINE!$W190=0,"Unpaid","Partly Paid"))</f>
        <v>Unpaid</v>
      </c>
    </row>
    <row r="191" customFormat="false" ht="15" hidden="false" customHeight="true" outlineLevel="0" collapsed="false">
      <c r="A191" s="103" t="n">
        <v>186</v>
      </c>
      <c r="B191" s="103" t="s">
        <v>719</v>
      </c>
      <c r="C191" s="103" t="s">
        <v>720</v>
      </c>
      <c r="D191" s="103" t="s">
        <v>420</v>
      </c>
      <c r="E191" s="103" t="s">
        <v>721</v>
      </c>
      <c r="F191" s="103" t="n">
        <v>772813526</v>
      </c>
      <c r="G191" s="103" t="s">
        <v>417</v>
      </c>
      <c r="H191" s="103" t="s">
        <v>174</v>
      </c>
      <c r="I191" s="103"/>
      <c r="J191" s="103" t="s">
        <v>175</v>
      </c>
      <c r="K191" s="103" t="n">
        <v>0</v>
      </c>
      <c r="L191" s="103" t="n">
        <v>0</v>
      </c>
      <c r="M191" s="103" t="n">
        <v>0</v>
      </c>
      <c r="N191" s="103" t="n">
        <v>150</v>
      </c>
      <c r="O191" s="103" t="n">
        <v>18351.84</v>
      </c>
      <c r="P191" s="103" t="n">
        <v>0</v>
      </c>
      <c r="Q191" s="103" t="n">
        <v>0</v>
      </c>
      <c r="R191" s="103" t="n">
        <v>18351.84</v>
      </c>
      <c r="S191" s="103" t="s">
        <v>176</v>
      </c>
      <c r="T191" s="103" t="n">
        <v>150</v>
      </c>
      <c r="U191" s="103" t="s">
        <v>177</v>
      </c>
      <c r="V191" s="103" t="n">
        <v>500</v>
      </c>
      <c r="W191" s="103" t="n">
        <f aca="false">DATA_PIPELINE!$K191</f>
        <v>0</v>
      </c>
      <c r="X191" s="103" t="n">
        <f aca="false">DATA_PIPELINE!$V191-DATA_PIPELINE!$W191</f>
        <v>500</v>
      </c>
      <c r="Y191" s="103" t="str">
        <f aca="false">IF(DATA_PIPELINE!$X191=0,"Paid",IF(DATA_PIPELINE!$W191=0,"Unpaid","Partly Paid"))</f>
        <v>Unpaid</v>
      </c>
    </row>
    <row r="192" customFormat="false" ht="15" hidden="false" customHeight="true" outlineLevel="0" collapsed="false">
      <c r="A192" s="103" t="n">
        <v>187</v>
      </c>
      <c r="B192" s="103" t="s">
        <v>722</v>
      </c>
      <c r="C192" s="103" t="s">
        <v>723</v>
      </c>
      <c r="D192" s="103" t="s">
        <v>420</v>
      </c>
      <c r="E192" s="103" t="s">
        <v>724</v>
      </c>
      <c r="F192" s="103" t="n">
        <v>715961268</v>
      </c>
      <c r="G192" s="103" t="s">
        <v>417</v>
      </c>
      <c r="H192" s="103" t="s">
        <v>174</v>
      </c>
      <c r="I192" s="103" t="n">
        <v>17</v>
      </c>
      <c r="J192" s="103" t="s">
        <v>175</v>
      </c>
      <c r="K192" s="103" t="n">
        <v>0</v>
      </c>
      <c r="L192" s="103" t="n">
        <v>0</v>
      </c>
      <c r="M192" s="103" t="n">
        <v>0</v>
      </c>
      <c r="N192" s="103" t="n">
        <v>10</v>
      </c>
      <c r="O192" s="103" t="n">
        <v>3435.15</v>
      </c>
      <c r="P192" s="103" t="n">
        <v>0</v>
      </c>
      <c r="Q192" s="103" t="n">
        <v>0</v>
      </c>
      <c r="R192" s="103" t="n">
        <v>3435.15</v>
      </c>
      <c r="S192" s="103" t="s">
        <v>176</v>
      </c>
      <c r="T192" s="103" t="n">
        <v>10</v>
      </c>
      <c r="U192" s="103" t="s">
        <v>177</v>
      </c>
      <c r="V192" s="103" t="n">
        <v>500</v>
      </c>
      <c r="W192" s="103" t="n">
        <f aca="false">DATA_PIPELINE!$K192</f>
        <v>0</v>
      </c>
      <c r="X192" s="103" t="n">
        <f aca="false">DATA_PIPELINE!$V192-DATA_PIPELINE!$W192</f>
        <v>500</v>
      </c>
      <c r="Y192" s="103" t="str">
        <f aca="false">IF(DATA_PIPELINE!$X192=0,"Paid",IF(DATA_PIPELINE!$W192=0,"Unpaid","Partly Paid"))</f>
        <v>Unpaid</v>
      </c>
    </row>
    <row r="193" customFormat="false" ht="15" hidden="false" customHeight="true" outlineLevel="0" collapsed="false">
      <c r="A193" s="103" t="n">
        <v>188</v>
      </c>
      <c r="B193" s="103" t="s">
        <v>725</v>
      </c>
      <c r="C193" s="103"/>
      <c r="D193" s="103" t="s">
        <v>420</v>
      </c>
      <c r="E193" s="103" t="s">
        <v>726</v>
      </c>
      <c r="F193" s="103"/>
      <c r="G193" s="103" t="s">
        <v>417</v>
      </c>
      <c r="H193" s="103" t="s">
        <v>174</v>
      </c>
      <c r="I193" s="103"/>
      <c r="J193" s="103" t="s">
        <v>175</v>
      </c>
      <c r="K193" s="103" t="n">
        <v>0</v>
      </c>
      <c r="L193" s="103" t="n">
        <v>0</v>
      </c>
      <c r="M193" s="103" t="n">
        <v>20</v>
      </c>
      <c r="N193" s="103" t="n">
        <v>40</v>
      </c>
      <c r="O193" s="103" t="n">
        <v>9211.25</v>
      </c>
      <c r="P193" s="103" t="n">
        <v>0</v>
      </c>
      <c r="Q193" s="103" t="n">
        <v>0</v>
      </c>
      <c r="R193" s="103" t="n">
        <v>9211.25</v>
      </c>
      <c r="S193" s="103" t="s">
        <v>176</v>
      </c>
      <c r="T193" s="103" t="n">
        <v>60</v>
      </c>
      <c r="U193" s="103" t="s">
        <v>177</v>
      </c>
      <c r="V193" s="103" t="n">
        <v>500</v>
      </c>
      <c r="W193" s="103" t="n">
        <f aca="false">DATA_PIPELINE!$K193</f>
        <v>0</v>
      </c>
      <c r="X193" s="103" t="n">
        <f aca="false">DATA_PIPELINE!$V193-DATA_PIPELINE!$W193</f>
        <v>500</v>
      </c>
      <c r="Y193" s="103" t="str">
        <f aca="false">IF(DATA_PIPELINE!$X193=0,"Paid",IF(DATA_PIPELINE!$W193=0,"Unpaid","Partly Paid"))</f>
        <v>Unpaid</v>
      </c>
    </row>
    <row r="194" customFormat="false" ht="15" hidden="false" customHeight="true" outlineLevel="0" collapsed="false">
      <c r="A194" s="103" t="n">
        <v>189</v>
      </c>
      <c r="B194" s="103" t="s">
        <v>727</v>
      </c>
      <c r="C194" s="103" t="s">
        <v>728</v>
      </c>
      <c r="D194" s="103" t="s">
        <v>420</v>
      </c>
      <c r="E194" s="103" t="s">
        <v>729</v>
      </c>
      <c r="F194" s="103" t="n">
        <v>773444131</v>
      </c>
      <c r="G194" s="103" t="s">
        <v>417</v>
      </c>
      <c r="H194" s="103" t="s">
        <v>174</v>
      </c>
      <c r="I194" s="103"/>
      <c r="J194" s="103" t="s">
        <v>175</v>
      </c>
      <c r="K194" s="103" t="n">
        <v>0</v>
      </c>
      <c r="L194" s="103" t="n">
        <v>0</v>
      </c>
      <c r="M194" s="103" t="n">
        <v>0</v>
      </c>
      <c r="N194" s="103" t="n">
        <v>10</v>
      </c>
      <c r="O194" s="103" t="n">
        <v>2014.25</v>
      </c>
      <c r="P194" s="103" t="n">
        <v>0</v>
      </c>
      <c r="Q194" s="103" t="n">
        <v>0</v>
      </c>
      <c r="R194" s="103" t="n">
        <v>2014.25</v>
      </c>
      <c r="S194" s="103" t="s">
        <v>176</v>
      </c>
      <c r="T194" s="103" t="n">
        <v>10</v>
      </c>
      <c r="U194" s="103" t="s">
        <v>177</v>
      </c>
      <c r="V194" s="103" t="n">
        <v>500</v>
      </c>
      <c r="W194" s="103" t="n">
        <f aca="false">DATA_PIPELINE!$K194</f>
        <v>0</v>
      </c>
      <c r="X194" s="103" t="n">
        <f aca="false">DATA_PIPELINE!$V194-DATA_PIPELINE!$W194</f>
        <v>500</v>
      </c>
      <c r="Y194" s="103" t="str">
        <f aca="false">IF(DATA_PIPELINE!$X194=0,"Paid",IF(DATA_PIPELINE!$W194=0,"Unpaid","Partly Paid"))</f>
        <v>Unpaid</v>
      </c>
    </row>
    <row r="195" customFormat="false" ht="15" hidden="false" customHeight="true" outlineLevel="0" collapsed="false">
      <c r="A195" s="103" t="n">
        <v>190</v>
      </c>
      <c r="B195" s="103" t="s">
        <v>730</v>
      </c>
      <c r="C195" s="103" t="s">
        <v>731</v>
      </c>
      <c r="D195" s="103" t="s">
        <v>420</v>
      </c>
      <c r="E195" s="103" t="s">
        <v>732</v>
      </c>
      <c r="F195" s="103" t="n">
        <v>712800501</v>
      </c>
      <c r="G195" s="103" t="s">
        <v>417</v>
      </c>
      <c r="H195" s="103" t="s">
        <v>174</v>
      </c>
      <c r="I195" s="103"/>
      <c r="J195" s="103" t="s">
        <v>175</v>
      </c>
      <c r="K195" s="103" t="n">
        <v>0</v>
      </c>
      <c r="L195" s="103" t="n">
        <v>0</v>
      </c>
      <c r="M195" s="103" t="n">
        <v>0</v>
      </c>
      <c r="N195" s="103" t="n">
        <v>20</v>
      </c>
      <c r="O195" s="103" t="n">
        <v>4241.44</v>
      </c>
      <c r="P195" s="103" t="n">
        <v>0</v>
      </c>
      <c r="Q195" s="103" t="n">
        <v>0</v>
      </c>
      <c r="R195" s="103" t="n">
        <v>4241.44</v>
      </c>
      <c r="S195" s="103" t="s">
        <v>176</v>
      </c>
      <c r="T195" s="103" t="n">
        <v>20</v>
      </c>
      <c r="U195" s="103" t="s">
        <v>177</v>
      </c>
      <c r="V195" s="103" t="n">
        <v>500</v>
      </c>
      <c r="W195" s="103" t="n">
        <f aca="false">DATA_PIPELINE!$K195</f>
        <v>0</v>
      </c>
      <c r="X195" s="103" t="n">
        <f aca="false">DATA_PIPELINE!$V195-DATA_PIPELINE!$W195</f>
        <v>500</v>
      </c>
      <c r="Y195" s="103" t="str">
        <f aca="false">IF(DATA_PIPELINE!$X195=0,"Paid",IF(DATA_PIPELINE!$W195=0,"Unpaid","Partly Paid"))</f>
        <v>Unpaid</v>
      </c>
    </row>
    <row r="196" customFormat="false" ht="15" hidden="false" customHeight="true" outlineLevel="0" collapsed="false">
      <c r="A196" s="103" t="n">
        <v>191</v>
      </c>
      <c r="B196" s="103" t="s">
        <v>733</v>
      </c>
      <c r="C196" s="103" t="s">
        <v>734</v>
      </c>
      <c r="D196" s="103" t="s">
        <v>420</v>
      </c>
      <c r="E196" s="103" t="s">
        <v>735</v>
      </c>
      <c r="F196" s="103" t="n">
        <v>71228997</v>
      </c>
      <c r="G196" s="103" t="s">
        <v>417</v>
      </c>
      <c r="H196" s="103" t="s">
        <v>174</v>
      </c>
      <c r="I196" s="103"/>
      <c r="J196" s="103" t="s">
        <v>175</v>
      </c>
      <c r="K196" s="103" t="n">
        <v>0</v>
      </c>
      <c r="L196" s="103" t="n">
        <v>0</v>
      </c>
      <c r="M196" s="103" t="n">
        <v>0</v>
      </c>
      <c r="N196" s="103" t="n">
        <v>10</v>
      </c>
      <c r="O196" s="103" t="n">
        <v>1375.43</v>
      </c>
      <c r="P196" s="103" t="n">
        <v>0</v>
      </c>
      <c r="Q196" s="103" t="n">
        <v>0</v>
      </c>
      <c r="R196" s="103" t="n">
        <v>1375.43</v>
      </c>
      <c r="S196" s="103" t="s">
        <v>176</v>
      </c>
      <c r="T196" s="103" t="n">
        <v>10</v>
      </c>
      <c r="U196" s="103" t="s">
        <v>177</v>
      </c>
      <c r="V196" s="103" t="n">
        <v>500</v>
      </c>
      <c r="W196" s="103" t="n">
        <f aca="false">DATA_PIPELINE!$K196</f>
        <v>0</v>
      </c>
      <c r="X196" s="103" t="n">
        <f aca="false">DATA_PIPELINE!$V196-DATA_PIPELINE!$W196</f>
        <v>500</v>
      </c>
      <c r="Y196" s="103" t="str">
        <f aca="false">IF(DATA_PIPELINE!$X196=0,"Paid",IF(DATA_PIPELINE!$W196=0,"Unpaid","Partly Paid"))</f>
        <v>Unpaid</v>
      </c>
    </row>
    <row r="197" customFormat="false" ht="15" hidden="false" customHeight="true" outlineLevel="0" collapsed="false">
      <c r="A197" s="103" t="n">
        <v>192</v>
      </c>
      <c r="B197" s="103" t="s">
        <v>736</v>
      </c>
      <c r="C197" s="103" t="s">
        <v>737</v>
      </c>
      <c r="D197" s="103" t="s">
        <v>420</v>
      </c>
      <c r="E197" s="103" t="s">
        <v>738</v>
      </c>
      <c r="F197" s="103" t="n">
        <v>772700207</v>
      </c>
      <c r="G197" s="103" t="s">
        <v>417</v>
      </c>
      <c r="H197" s="103" t="s">
        <v>174</v>
      </c>
      <c r="I197" s="103"/>
      <c r="J197" s="103" t="s">
        <v>175</v>
      </c>
      <c r="K197" s="103" t="n">
        <v>0</v>
      </c>
      <c r="L197" s="103" t="n">
        <v>0</v>
      </c>
      <c r="M197" s="103" t="n">
        <v>0</v>
      </c>
      <c r="N197" s="103" t="n">
        <v>6</v>
      </c>
      <c r="O197" s="103" t="n">
        <v>163.8</v>
      </c>
      <c r="P197" s="103" t="n">
        <v>0</v>
      </c>
      <c r="Q197" s="103" t="n">
        <v>0</v>
      </c>
      <c r="R197" s="103" t="n">
        <v>163.8</v>
      </c>
      <c r="S197" s="103" t="s">
        <v>176</v>
      </c>
      <c r="T197" s="103" t="n">
        <v>6</v>
      </c>
      <c r="U197" s="103" t="s">
        <v>177</v>
      </c>
      <c r="V197" s="103" t="n">
        <v>500</v>
      </c>
      <c r="W197" s="103" t="n">
        <f aca="false">DATA_PIPELINE!$K197</f>
        <v>0</v>
      </c>
      <c r="X197" s="103" t="n">
        <f aca="false">DATA_PIPELINE!$V197-DATA_PIPELINE!$W197</f>
        <v>500</v>
      </c>
      <c r="Y197" s="103" t="str">
        <f aca="false">IF(DATA_PIPELINE!$X197=0,"Paid",IF(DATA_PIPELINE!$W197=0,"Unpaid","Partly Paid"))</f>
        <v>Unpaid</v>
      </c>
    </row>
    <row r="198" customFormat="false" ht="15" hidden="false" customHeight="true" outlineLevel="0" collapsed="false">
      <c r="A198" s="103" t="n">
        <v>193</v>
      </c>
      <c r="B198" s="103" t="s">
        <v>739</v>
      </c>
      <c r="C198" s="103" t="s">
        <v>740</v>
      </c>
      <c r="D198" s="103" t="s">
        <v>420</v>
      </c>
      <c r="E198" s="103" t="s">
        <v>741</v>
      </c>
      <c r="F198" s="103" t="n">
        <v>712503909</v>
      </c>
      <c r="G198" s="103" t="s">
        <v>417</v>
      </c>
      <c r="H198" s="103" t="s">
        <v>174</v>
      </c>
      <c r="I198" s="103"/>
      <c r="J198" s="103" t="s">
        <v>175</v>
      </c>
      <c r="K198" s="103" t="n">
        <v>0</v>
      </c>
      <c r="L198" s="103" t="n">
        <v>0</v>
      </c>
      <c r="M198" s="103" t="n">
        <v>0</v>
      </c>
      <c r="N198" s="103" t="n">
        <v>20</v>
      </c>
      <c r="O198" s="103" t="n">
        <v>4445.43</v>
      </c>
      <c r="P198" s="103" t="n">
        <v>0</v>
      </c>
      <c r="Q198" s="103" t="n">
        <v>0</v>
      </c>
      <c r="R198" s="103" t="n">
        <v>4445.43</v>
      </c>
      <c r="S198" s="103" t="s">
        <v>176</v>
      </c>
      <c r="T198" s="103" t="n">
        <v>20</v>
      </c>
      <c r="U198" s="103" t="s">
        <v>177</v>
      </c>
      <c r="V198" s="103" t="n">
        <v>500</v>
      </c>
      <c r="W198" s="103" t="n">
        <f aca="false">DATA_PIPELINE!$K198</f>
        <v>0</v>
      </c>
      <c r="X198" s="103" t="n">
        <f aca="false">DATA_PIPELINE!$V198-DATA_PIPELINE!$W198</f>
        <v>500</v>
      </c>
      <c r="Y198" s="103" t="str">
        <f aca="false">IF(DATA_PIPELINE!$X198=0,"Paid",IF(DATA_PIPELINE!$W198=0,"Unpaid","Partly Paid"))</f>
        <v>Unpaid</v>
      </c>
    </row>
    <row r="199" customFormat="false" ht="15" hidden="false" customHeight="true" outlineLevel="0" collapsed="false">
      <c r="A199" s="103" t="n">
        <v>194</v>
      </c>
      <c r="B199" s="103" t="s">
        <v>742</v>
      </c>
      <c r="C199" s="103" t="s">
        <v>743</v>
      </c>
      <c r="D199" s="103" t="s">
        <v>420</v>
      </c>
      <c r="E199" s="103" t="s">
        <v>744</v>
      </c>
      <c r="F199" s="103" t="n">
        <v>771275670</v>
      </c>
      <c r="G199" s="103" t="s">
        <v>417</v>
      </c>
      <c r="H199" s="103" t="s">
        <v>174</v>
      </c>
      <c r="I199" s="103"/>
      <c r="J199" s="103" t="s">
        <v>175</v>
      </c>
      <c r="K199" s="103" t="n">
        <v>0</v>
      </c>
      <c r="L199" s="103" t="n">
        <v>0</v>
      </c>
      <c r="M199" s="103" t="n">
        <v>0</v>
      </c>
      <c r="N199" s="103" t="n">
        <v>10</v>
      </c>
      <c r="O199" s="103" t="n">
        <v>3650.5</v>
      </c>
      <c r="P199" s="103" t="n">
        <v>0</v>
      </c>
      <c r="Q199" s="103" t="n">
        <v>0</v>
      </c>
      <c r="R199" s="103" t="n">
        <v>3650.5</v>
      </c>
      <c r="S199" s="103" t="s">
        <v>176</v>
      </c>
      <c r="T199" s="103" t="n">
        <v>10</v>
      </c>
      <c r="U199" s="103" t="s">
        <v>177</v>
      </c>
      <c r="V199" s="103" t="n">
        <v>500</v>
      </c>
      <c r="W199" s="103" t="n">
        <f aca="false">DATA_PIPELINE!$K199</f>
        <v>0</v>
      </c>
      <c r="X199" s="103" t="n">
        <f aca="false">DATA_PIPELINE!$V199-DATA_PIPELINE!$W199</f>
        <v>500</v>
      </c>
      <c r="Y199" s="103" t="str">
        <f aca="false">IF(DATA_PIPELINE!$X199=0,"Paid",IF(DATA_PIPELINE!$W199=0,"Unpaid","Partly Paid"))</f>
        <v>Unpaid</v>
      </c>
    </row>
    <row r="200" customFormat="false" ht="15" hidden="false" customHeight="true" outlineLevel="0" collapsed="false">
      <c r="A200" s="103" t="n">
        <v>195</v>
      </c>
      <c r="B200" s="103" t="s">
        <v>745</v>
      </c>
      <c r="C200" s="103" t="s">
        <v>746</v>
      </c>
      <c r="D200" s="103" t="s">
        <v>420</v>
      </c>
      <c r="E200" s="103" t="s">
        <v>747</v>
      </c>
      <c r="F200" s="103" t="n">
        <v>772223302</v>
      </c>
      <c r="G200" s="103" t="s">
        <v>417</v>
      </c>
      <c r="H200" s="103" t="s">
        <v>174</v>
      </c>
      <c r="I200" s="103"/>
      <c r="J200" s="103" t="s">
        <v>175</v>
      </c>
      <c r="K200" s="103" t="n">
        <v>0</v>
      </c>
      <c r="L200" s="103" t="n">
        <v>0</v>
      </c>
      <c r="M200" s="103" t="n">
        <v>0</v>
      </c>
      <c r="N200" s="103" t="n">
        <v>60</v>
      </c>
      <c r="O200" s="103" t="n">
        <v>7341.2</v>
      </c>
      <c r="P200" s="103" t="n">
        <v>0</v>
      </c>
      <c r="Q200" s="103" t="n">
        <v>0</v>
      </c>
      <c r="R200" s="103" t="n">
        <v>7341.2</v>
      </c>
      <c r="S200" s="103" t="s">
        <v>176</v>
      </c>
      <c r="T200" s="103" t="n">
        <v>60</v>
      </c>
      <c r="U200" s="103" t="s">
        <v>177</v>
      </c>
      <c r="V200" s="103" t="n">
        <v>500</v>
      </c>
      <c r="W200" s="103" t="n">
        <f aca="false">DATA_PIPELINE!$K200</f>
        <v>0</v>
      </c>
      <c r="X200" s="103" t="n">
        <f aca="false">DATA_PIPELINE!$V200-DATA_PIPELINE!$W200</f>
        <v>500</v>
      </c>
      <c r="Y200" s="103" t="str">
        <f aca="false">IF(DATA_PIPELINE!$X200=0,"Paid",IF(DATA_PIPELINE!$W200=0,"Unpaid","Partly Paid"))</f>
        <v>Unpaid</v>
      </c>
    </row>
    <row r="201" customFormat="false" ht="15" hidden="false" customHeight="true" outlineLevel="0" collapsed="false">
      <c r="A201" s="103" t="n">
        <v>196</v>
      </c>
      <c r="B201" s="103" t="s">
        <v>748</v>
      </c>
      <c r="C201" s="103" t="s">
        <v>749</v>
      </c>
      <c r="D201" s="103" t="s">
        <v>420</v>
      </c>
      <c r="E201" s="103" t="s">
        <v>735</v>
      </c>
      <c r="F201" s="103" t="n">
        <v>774510462</v>
      </c>
      <c r="G201" s="103" t="s">
        <v>417</v>
      </c>
      <c r="H201" s="103" t="s">
        <v>174</v>
      </c>
      <c r="I201" s="103"/>
      <c r="J201" s="103" t="s">
        <v>175</v>
      </c>
      <c r="K201" s="103" t="n">
        <v>0</v>
      </c>
      <c r="L201" s="103" t="n">
        <v>0</v>
      </c>
      <c r="M201" s="103" t="n">
        <v>0</v>
      </c>
      <c r="N201" s="103" t="n">
        <v>0</v>
      </c>
      <c r="O201" s="103" t="n">
        <v>1375.43</v>
      </c>
      <c r="P201" s="103" t="n">
        <v>0</v>
      </c>
      <c r="Q201" s="103" t="n">
        <v>0</v>
      </c>
      <c r="R201" s="103" t="n">
        <v>1375.43</v>
      </c>
      <c r="S201" s="103" t="s">
        <v>176</v>
      </c>
      <c r="T201" s="103" t="n">
        <v>0</v>
      </c>
      <c r="U201" s="103" t="s">
        <v>177</v>
      </c>
      <c r="V201" s="103" t="n">
        <v>500</v>
      </c>
      <c r="W201" s="103" t="n">
        <f aca="false">DATA_PIPELINE!$K201</f>
        <v>0</v>
      </c>
      <c r="X201" s="103" t="n">
        <f aca="false">DATA_PIPELINE!$V201-DATA_PIPELINE!$W201</f>
        <v>500</v>
      </c>
      <c r="Y201" s="103" t="str">
        <f aca="false">IF(DATA_PIPELINE!$X201=0,"Paid",IF(DATA_PIPELINE!$W201=0,"Unpaid","Partly Paid"))</f>
        <v>Unpaid</v>
      </c>
    </row>
    <row r="202" customFormat="false" ht="15" hidden="false" customHeight="true" outlineLevel="0" collapsed="false">
      <c r="A202" s="103" t="n">
        <v>197</v>
      </c>
      <c r="B202" s="103" t="s">
        <v>750</v>
      </c>
      <c r="C202" s="103" t="s">
        <v>751</v>
      </c>
      <c r="D202" s="103" t="s">
        <v>420</v>
      </c>
      <c r="E202" s="103" t="s">
        <v>752</v>
      </c>
      <c r="F202" s="103" t="n">
        <v>783180850</v>
      </c>
      <c r="G202" s="103" t="s">
        <v>417</v>
      </c>
      <c r="H202" s="103" t="s">
        <v>174</v>
      </c>
      <c r="I202" s="103"/>
      <c r="J202" s="103" t="s">
        <v>175</v>
      </c>
      <c r="K202" s="103" t="n">
        <v>0</v>
      </c>
      <c r="L202" s="103" t="n">
        <v>0</v>
      </c>
      <c r="M202" s="103" t="n">
        <v>0</v>
      </c>
      <c r="N202" s="103" t="n">
        <v>25</v>
      </c>
      <c r="O202" s="103" t="n">
        <v>9914.39</v>
      </c>
      <c r="P202" s="103" t="n">
        <v>0</v>
      </c>
      <c r="Q202" s="103" t="n">
        <v>0</v>
      </c>
      <c r="R202" s="103" t="n">
        <v>9914.39</v>
      </c>
      <c r="S202" s="103" t="s">
        <v>176</v>
      </c>
      <c r="T202" s="103" t="n">
        <v>25</v>
      </c>
      <c r="U202" s="103" t="s">
        <v>177</v>
      </c>
      <c r="V202" s="103" t="n">
        <v>500</v>
      </c>
      <c r="W202" s="103" t="n">
        <f aca="false">DATA_PIPELINE!$K202</f>
        <v>0</v>
      </c>
      <c r="X202" s="103" t="n">
        <f aca="false">DATA_PIPELINE!$V202-DATA_PIPELINE!$W202</f>
        <v>500</v>
      </c>
      <c r="Y202" s="103" t="str">
        <f aca="false">IF(DATA_PIPELINE!$X202=0,"Paid",IF(DATA_PIPELINE!$W202=0,"Unpaid","Partly Paid"))</f>
        <v>Unpaid</v>
      </c>
    </row>
    <row r="203" customFormat="false" ht="15" hidden="false" customHeight="true" outlineLevel="0" collapsed="false">
      <c r="A203" s="103" t="n">
        <v>198</v>
      </c>
      <c r="B203" s="103" t="s">
        <v>753</v>
      </c>
      <c r="C203" s="103" t="s">
        <v>754</v>
      </c>
      <c r="D203" s="103" t="s">
        <v>420</v>
      </c>
      <c r="E203" s="103" t="s">
        <v>755</v>
      </c>
      <c r="F203" s="103" t="n">
        <v>775889394</v>
      </c>
      <c r="G203" s="103" t="s">
        <v>417</v>
      </c>
      <c r="H203" s="103" t="s">
        <v>174</v>
      </c>
      <c r="I203" s="103"/>
      <c r="J203" s="103" t="s">
        <v>175</v>
      </c>
      <c r="K203" s="103" t="n">
        <v>0</v>
      </c>
      <c r="L203" s="103" t="n">
        <v>0</v>
      </c>
      <c r="M203" s="103" t="n">
        <v>0</v>
      </c>
      <c r="N203" s="103" t="n">
        <v>10</v>
      </c>
      <c r="O203" s="103" t="n">
        <v>1226.26</v>
      </c>
      <c r="P203" s="103" t="n">
        <v>0</v>
      </c>
      <c r="Q203" s="103" t="n">
        <v>0</v>
      </c>
      <c r="R203" s="103" t="n">
        <v>1226.26</v>
      </c>
      <c r="S203" s="103" t="s">
        <v>176</v>
      </c>
      <c r="T203" s="103" t="n">
        <v>10</v>
      </c>
      <c r="U203" s="103" t="s">
        <v>177</v>
      </c>
      <c r="V203" s="103" t="n">
        <v>500</v>
      </c>
      <c r="W203" s="103" t="n">
        <f aca="false">DATA_PIPELINE!$K203</f>
        <v>0</v>
      </c>
      <c r="X203" s="103" t="n">
        <f aca="false">DATA_PIPELINE!$V203-DATA_PIPELINE!$W203</f>
        <v>500</v>
      </c>
      <c r="Y203" s="103" t="str">
        <f aca="false">IF(DATA_PIPELINE!$X203=0,"Paid",IF(DATA_PIPELINE!$W203=0,"Unpaid","Partly Paid"))</f>
        <v>Unpaid</v>
      </c>
    </row>
    <row r="204" customFormat="false" ht="15" hidden="false" customHeight="true" outlineLevel="0" collapsed="false">
      <c r="A204" s="103" t="n">
        <v>199</v>
      </c>
      <c r="B204" s="103" t="s">
        <v>756</v>
      </c>
      <c r="C204" s="103"/>
      <c r="D204" s="103" t="s">
        <v>420</v>
      </c>
      <c r="E204" s="103" t="s">
        <v>757</v>
      </c>
      <c r="F204" s="103"/>
      <c r="G204" s="103" t="s">
        <v>417</v>
      </c>
      <c r="H204" s="103" t="s">
        <v>174</v>
      </c>
      <c r="I204" s="103"/>
      <c r="J204" s="103" t="s">
        <v>175</v>
      </c>
      <c r="K204" s="103" t="n">
        <v>0</v>
      </c>
      <c r="L204" s="103" t="n">
        <v>0</v>
      </c>
      <c r="M204" s="103" t="n">
        <v>0</v>
      </c>
      <c r="N204" s="103" t="n">
        <v>10</v>
      </c>
      <c r="O204" s="103" t="n">
        <v>2227.19</v>
      </c>
      <c r="P204" s="103" t="n">
        <v>0</v>
      </c>
      <c r="Q204" s="103" t="n">
        <v>0</v>
      </c>
      <c r="R204" s="103" t="n">
        <v>2227.19</v>
      </c>
      <c r="S204" s="103" t="s">
        <v>176</v>
      </c>
      <c r="T204" s="103" t="n">
        <v>10</v>
      </c>
      <c r="U204" s="103" t="s">
        <v>177</v>
      </c>
      <c r="V204" s="103" t="n">
        <v>500</v>
      </c>
      <c r="W204" s="103" t="n">
        <f aca="false">DATA_PIPELINE!$K204</f>
        <v>0</v>
      </c>
      <c r="X204" s="103" t="n">
        <f aca="false">DATA_PIPELINE!$V204-DATA_PIPELINE!$W204</f>
        <v>500</v>
      </c>
      <c r="Y204" s="103" t="str">
        <f aca="false">IF(DATA_PIPELINE!$X204=0,"Paid",IF(DATA_PIPELINE!$W204=0,"Unpaid","Partly Paid"))</f>
        <v>Unpaid</v>
      </c>
    </row>
    <row r="205" customFormat="false" ht="15" hidden="false" customHeight="true" outlineLevel="0" collapsed="false">
      <c r="A205" s="103" t="n">
        <v>200</v>
      </c>
      <c r="B205" s="103" t="s">
        <v>422</v>
      </c>
      <c r="C205" s="103"/>
      <c r="D205" s="103" t="s">
        <v>420</v>
      </c>
      <c r="E205" s="103" t="s">
        <v>423</v>
      </c>
      <c r="F205" s="103"/>
      <c r="G205" s="103" t="s">
        <v>417</v>
      </c>
      <c r="H205" s="103" t="s">
        <v>174</v>
      </c>
      <c r="I205" s="103"/>
      <c r="J205" s="103" t="s">
        <v>175</v>
      </c>
      <c r="K205" s="103" t="n">
        <v>0</v>
      </c>
      <c r="L205" s="103" t="n">
        <v>0</v>
      </c>
      <c r="M205" s="103" t="n">
        <v>0</v>
      </c>
      <c r="N205" s="103" t="n">
        <v>20</v>
      </c>
      <c r="O205" s="103" t="n">
        <v>5540.49</v>
      </c>
      <c r="P205" s="103" t="n">
        <v>0</v>
      </c>
      <c r="Q205" s="103" t="n">
        <v>0</v>
      </c>
      <c r="R205" s="103" t="n">
        <v>5540.49</v>
      </c>
      <c r="S205" s="103" t="s">
        <v>176</v>
      </c>
      <c r="T205" s="103" t="n">
        <v>20</v>
      </c>
      <c r="U205" s="103" t="s">
        <v>177</v>
      </c>
      <c r="V205" s="103" t="n">
        <v>500</v>
      </c>
      <c r="W205" s="103" t="n">
        <f aca="false">DATA_PIPELINE!$K205</f>
        <v>0</v>
      </c>
      <c r="X205" s="103" t="n">
        <f aca="false">DATA_PIPELINE!$V205-DATA_PIPELINE!$W205</f>
        <v>500</v>
      </c>
      <c r="Y205" s="103" t="str">
        <f aca="false">IF(DATA_PIPELINE!$X205=0,"Paid",IF(DATA_PIPELINE!$W205=0,"Unpaid","Partly Paid"))</f>
        <v>Unpaid</v>
      </c>
    </row>
    <row r="206" customFormat="false" ht="15" hidden="false" customHeight="true" outlineLevel="0" collapsed="false">
      <c r="A206" s="103" t="n">
        <v>201</v>
      </c>
      <c r="B206" s="103" t="s">
        <v>758</v>
      </c>
      <c r="C206" s="103"/>
      <c r="D206" s="103" t="s">
        <v>420</v>
      </c>
      <c r="E206" s="103" t="s">
        <v>759</v>
      </c>
      <c r="F206" s="103"/>
      <c r="G206" s="103" t="s">
        <v>417</v>
      </c>
      <c r="H206" s="103" t="s">
        <v>174</v>
      </c>
      <c r="I206" s="103"/>
      <c r="J206" s="103" t="s">
        <v>175</v>
      </c>
      <c r="K206" s="103" t="n">
        <v>0</v>
      </c>
      <c r="L206" s="103" t="n">
        <v>0</v>
      </c>
      <c r="M206" s="103" t="n">
        <v>0</v>
      </c>
      <c r="N206" s="103" t="n">
        <v>0</v>
      </c>
      <c r="O206" s="103" t="n">
        <v>3647.28</v>
      </c>
      <c r="P206" s="103" t="n">
        <v>0</v>
      </c>
      <c r="Q206" s="103" t="n">
        <v>0</v>
      </c>
      <c r="R206" s="103" t="n">
        <v>3647.28</v>
      </c>
      <c r="S206" s="103" t="s">
        <v>176</v>
      </c>
      <c r="T206" s="103" t="n">
        <v>0</v>
      </c>
      <c r="U206" s="103" t="s">
        <v>177</v>
      </c>
      <c r="V206" s="103" t="n">
        <v>500</v>
      </c>
      <c r="W206" s="103" t="n">
        <f aca="false">DATA_PIPELINE!$K206</f>
        <v>0</v>
      </c>
      <c r="X206" s="103" t="n">
        <f aca="false">DATA_PIPELINE!$V206-DATA_PIPELINE!$W206</f>
        <v>500</v>
      </c>
      <c r="Y206" s="103" t="str">
        <f aca="false">IF(DATA_PIPELINE!$X206=0,"Paid",IF(DATA_PIPELINE!$W206=0,"Unpaid","Partly Paid"))</f>
        <v>Unpaid</v>
      </c>
    </row>
    <row r="207" customFormat="false" ht="15" hidden="false" customHeight="true" outlineLevel="0" collapsed="false">
      <c r="A207" s="103" t="n">
        <v>202</v>
      </c>
      <c r="B207" s="103" t="s">
        <v>758</v>
      </c>
      <c r="C207" s="103"/>
      <c r="D207" s="103" t="s">
        <v>420</v>
      </c>
      <c r="E207" s="103" t="s">
        <v>759</v>
      </c>
      <c r="F207" s="103"/>
      <c r="G207" s="103" t="s">
        <v>417</v>
      </c>
      <c r="H207" s="103" t="s">
        <v>174</v>
      </c>
      <c r="I207" s="103"/>
      <c r="J207" s="103" t="s">
        <v>175</v>
      </c>
      <c r="K207" s="103" t="n">
        <v>0</v>
      </c>
      <c r="L207" s="103" t="n">
        <v>0</v>
      </c>
      <c r="M207" s="103" t="n">
        <v>0</v>
      </c>
      <c r="N207" s="103" t="n">
        <v>0</v>
      </c>
      <c r="O207" s="103" t="n">
        <v>3647.28</v>
      </c>
      <c r="P207" s="103" t="n">
        <v>0</v>
      </c>
      <c r="Q207" s="103" t="n">
        <v>0</v>
      </c>
      <c r="R207" s="103" t="n">
        <v>3647.28</v>
      </c>
      <c r="S207" s="103" t="s">
        <v>176</v>
      </c>
      <c r="T207" s="103" t="n">
        <v>0</v>
      </c>
      <c r="U207" s="103" t="s">
        <v>177</v>
      </c>
      <c r="V207" s="103" t="n">
        <v>500</v>
      </c>
      <c r="W207" s="103" t="n">
        <f aca="false">DATA_PIPELINE!$K207</f>
        <v>0</v>
      </c>
      <c r="X207" s="103" t="n">
        <f aca="false">DATA_PIPELINE!$V207-DATA_PIPELINE!$W207</f>
        <v>500</v>
      </c>
      <c r="Y207" s="103" t="str">
        <f aca="false">IF(DATA_PIPELINE!$X207=0,"Paid",IF(DATA_PIPELINE!$W207=0,"Unpaid","Partly Paid"))</f>
        <v>Unpaid</v>
      </c>
    </row>
    <row r="208" customFormat="false" ht="15" hidden="false" customHeight="true" outlineLevel="0" collapsed="false">
      <c r="A208" s="103" t="n">
        <v>203</v>
      </c>
      <c r="B208" s="103" t="s">
        <v>760</v>
      </c>
      <c r="C208" s="103"/>
      <c r="D208" s="103" t="s">
        <v>420</v>
      </c>
      <c r="E208" s="103" t="s">
        <v>761</v>
      </c>
      <c r="F208" s="103" t="n">
        <v>777056303</v>
      </c>
      <c r="G208" s="103" t="s">
        <v>417</v>
      </c>
      <c r="H208" s="103" t="s">
        <v>174</v>
      </c>
      <c r="I208" s="103"/>
      <c r="J208" s="103" t="s">
        <v>175</v>
      </c>
      <c r="K208" s="103" t="n">
        <v>0</v>
      </c>
      <c r="L208" s="103" t="n">
        <v>0</v>
      </c>
      <c r="M208" s="103" t="n">
        <v>0</v>
      </c>
      <c r="N208" s="103" t="n">
        <v>20</v>
      </c>
      <c r="O208" s="103" t="n">
        <v>4146.91</v>
      </c>
      <c r="P208" s="103" t="n">
        <v>0</v>
      </c>
      <c r="Q208" s="103" t="n">
        <v>0</v>
      </c>
      <c r="R208" s="103" t="n">
        <v>4146.91</v>
      </c>
      <c r="S208" s="103" t="s">
        <v>176</v>
      </c>
      <c r="T208" s="103" t="n">
        <v>20</v>
      </c>
      <c r="U208" s="103" t="s">
        <v>177</v>
      </c>
      <c r="V208" s="103" t="n">
        <v>500</v>
      </c>
      <c r="W208" s="103" t="n">
        <f aca="false">DATA_PIPELINE!$K208</f>
        <v>0</v>
      </c>
      <c r="X208" s="103" t="n">
        <f aca="false">DATA_PIPELINE!$V208-DATA_PIPELINE!$W208</f>
        <v>500</v>
      </c>
      <c r="Y208" s="103" t="str">
        <f aca="false">IF(DATA_PIPELINE!$X208=0,"Paid",IF(DATA_PIPELINE!$W208=0,"Unpaid","Partly Paid"))</f>
        <v>Unpaid</v>
      </c>
    </row>
    <row r="209" customFormat="false" ht="15" hidden="false" customHeight="true" outlineLevel="0" collapsed="false">
      <c r="A209" s="103" t="n">
        <v>204</v>
      </c>
      <c r="B209" s="103" t="s">
        <v>762</v>
      </c>
      <c r="C209" s="103"/>
      <c r="D209" s="103" t="s">
        <v>420</v>
      </c>
      <c r="E209" s="103"/>
      <c r="F209" s="103"/>
      <c r="G209" s="103" t="s">
        <v>417</v>
      </c>
      <c r="H209" s="103" t="s">
        <v>174</v>
      </c>
      <c r="I209" s="103"/>
      <c r="J209" s="103" t="s">
        <v>350</v>
      </c>
      <c r="K209" s="103" t="n">
        <v>500</v>
      </c>
      <c r="L209" s="103" t="n">
        <v>0</v>
      </c>
      <c r="M209" s="103" t="n">
        <v>20</v>
      </c>
      <c r="N209" s="103" t="n">
        <v>40</v>
      </c>
      <c r="O209" s="103" t="n">
        <v>0</v>
      </c>
      <c r="P209" s="103" t="n">
        <v>0</v>
      </c>
      <c r="Q209" s="103" t="n">
        <v>0</v>
      </c>
      <c r="R209" s="103" t="n">
        <v>0</v>
      </c>
      <c r="S209" s="103"/>
      <c r="T209" s="103" t="n">
        <v>60</v>
      </c>
      <c r="U209" s="103" t="s">
        <v>177</v>
      </c>
      <c r="V209" s="103" t="n">
        <v>500</v>
      </c>
      <c r="W209" s="103" t="n">
        <f aca="false">DATA_PIPELINE!$K209</f>
        <v>500</v>
      </c>
      <c r="X209" s="103" t="n">
        <f aca="false">DATA_PIPELINE!$V209-DATA_PIPELINE!$W209</f>
        <v>0</v>
      </c>
      <c r="Y209" s="103" t="str">
        <f aca="false">IF(DATA_PIPELINE!$X209=0,"Paid",IF(DATA_PIPELINE!$W209=0,"Unpaid","Partly Paid"))</f>
        <v>Paid</v>
      </c>
    </row>
    <row r="210" customFormat="false" ht="15" hidden="false" customHeight="true" outlineLevel="0" collapsed="false">
      <c r="A210" s="103" t="n">
        <v>205</v>
      </c>
      <c r="B210" s="103" t="s">
        <v>763</v>
      </c>
      <c r="C210" s="103" t="s">
        <v>764</v>
      </c>
      <c r="D210" s="103" t="s">
        <v>420</v>
      </c>
      <c r="E210" s="103" t="s">
        <v>765</v>
      </c>
      <c r="F210" s="103" t="n">
        <v>779415879</v>
      </c>
      <c r="G210" s="103" t="s">
        <v>417</v>
      </c>
      <c r="H210" s="103" t="s">
        <v>174</v>
      </c>
      <c r="I210" s="103"/>
      <c r="J210" s="103" t="s">
        <v>175</v>
      </c>
      <c r="K210" s="103" t="n">
        <v>0</v>
      </c>
      <c r="L210" s="103" t="n">
        <v>0</v>
      </c>
      <c r="M210" s="103" t="n">
        <v>0</v>
      </c>
      <c r="N210" s="103" t="n">
        <v>30</v>
      </c>
      <c r="O210" s="103" t="n">
        <v>3372.78</v>
      </c>
      <c r="P210" s="103" t="n">
        <v>0</v>
      </c>
      <c r="Q210" s="103" t="n">
        <v>0</v>
      </c>
      <c r="R210" s="103" t="n">
        <v>3372.78</v>
      </c>
      <c r="S210" s="103" t="s">
        <v>176</v>
      </c>
      <c r="T210" s="103" t="n">
        <v>30</v>
      </c>
      <c r="U210" s="103" t="s">
        <v>177</v>
      </c>
      <c r="V210" s="103" t="n">
        <v>500</v>
      </c>
      <c r="W210" s="103" t="n">
        <f aca="false">DATA_PIPELINE!$K210</f>
        <v>0</v>
      </c>
      <c r="X210" s="103" t="n">
        <f aca="false">DATA_PIPELINE!$V210-DATA_PIPELINE!$W210</f>
        <v>500</v>
      </c>
      <c r="Y210" s="103" t="str">
        <f aca="false">IF(DATA_PIPELINE!$X210=0,"Paid",IF(DATA_PIPELINE!$W210=0,"Unpaid","Partly Paid"))</f>
        <v>Unpaid</v>
      </c>
    </row>
    <row r="211" customFormat="false" ht="15" hidden="false" customHeight="true" outlineLevel="0" collapsed="false">
      <c r="A211" s="103" t="n">
        <v>206</v>
      </c>
      <c r="B211" s="103" t="s">
        <v>766</v>
      </c>
      <c r="C211" s="103" t="s">
        <v>767</v>
      </c>
      <c r="D211" s="107" t="s">
        <v>358</v>
      </c>
      <c r="E211" s="103" t="s">
        <v>768</v>
      </c>
      <c r="F211" s="103" t="n">
        <v>774117214</v>
      </c>
      <c r="G211" s="103" t="s">
        <v>533</v>
      </c>
      <c r="H211" s="103" t="s">
        <v>174</v>
      </c>
      <c r="I211" s="103"/>
      <c r="J211" s="103" t="s">
        <v>175</v>
      </c>
      <c r="K211" s="103" t="n">
        <v>100</v>
      </c>
      <c r="L211" s="103" t="n">
        <v>400</v>
      </c>
      <c r="M211" s="103" t="n">
        <v>0</v>
      </c>
      <c r="N211" s="103" t="n">
        <v>150</v>
      </c>
      <c r="O211" s="103" t="n">
        <v>37208.91</v>
      </c>
      <c r="P211" s="103" t="n">
        <v>0</v>
      </c>
      <c r="Q211" s="103" t="n">
        <v>0</v>
      </c>
      <c r="R211" s="103" t="n">
        <v>37208.91</v>
      </c>
      <c r="S211" s="103" t="s">
        <v>176</v>
      </c>
      <c r="T211" s="103" t="n">
        <v>150</v>
      </c>
      <c r="U211" s="103" t="s">
        <v>177</v>
      </c>
      <c r="V211" s="103" t="n">
        <v>500</v>
      </c>
      <c r="W211" s="103" t="n">
        <f aca="false">DATA_PIPELINE!$K211</f>
        <v>100</v>
      </c>
      <c r="X211" s="103" t="n">
        <f aca="false">DATA_PIPELINE!$V211-DATA_PIPELINE!$W211</f>
        <v>400</v>
      </c>
      <c r="Y211" s="103" t="str">
        <f aca="false">IF(DATA_PIPELINE!$X211=0,"Paid",IF(DATA_PIPELINE!$W211=0,"Unpaid","Partly Paid"))</f>
        <v>Partly Paid</v>
      </c>
    </row>
    <row r="212" customFormat="false" ht="15" hidden="false" customHeight="true" outlineLevel="0" collapsed="false">
      <c r="A212" s="103" t="n">
        <v>207</v>
      </c>
      <c r="B212" s="103" t="s">
        <v>769</v>
      </c>
      <c r="C212" s="103" t="s">
        <v>770</v>
      </c>
      <c r="D212" s="107" t="s">
        <v>358</v>
      </c>
      <c r="E212" s="103" t="s">
        <v>771</v>
      </c>
      <c r="F212" s="103" t="n">
        <v>773650650</v>
      </c>
      <c r="G212" s="103" t="s">
        <v>533</v>
      </c>
      <c r="H212" s="103" t="s">
        <v>174</v>
      </c>
      <c r="I212" s="103" t="n">
        <v>16</v>
      </c>
      <c r="J212" s="103" t="s">
        <v>175</v>
      </c>
      <c r="K212" s="103" t="n">
        <v>1000</v>
      </c>
      <c r="L212" s="103" t="n">
        <v>0</v>
      </c>
      <c r="M212" s="103" t="n">
        <v>0</v>
      </c>
      <c r="N212" s="103" t="n">
        <v>600</v>
      </c>
      <c r="O212" s="103" t="n">
        <v>102935.35</v>
      </c>
      <c r="P212" s="103" t="n">
        <v>0</v>
      </c>
      <c r="Q212" s="103" t="n">
        <v>0</v>
      </c>
      <c r="R212" s="103" t="n">
        <v>102935.35</v>
      </c>
      <c r="S212" s="103" t="s">
        <v>176</v>
      </c>
      <c r="T212" s="103" t="n">
        <v>600</v>
      </c>
      <c r="U212" s="103" t="s">
        <v>247</v>
      </c>
      <c r="V212" s="103" t="n">
        <v>1000</v>
      </c>
      <c r="W212" s="103" t="n">
        <f aca="false">DATA_PIPELINE!$K212</f>
        <v>1000</v>
      </c>
      <c r="X212" s="103" t="n">
        <f aca="false">DATA_PIPELINE!$V212-DATA_PIPELINE!$W212</f>
        <v>0</v>
      </c>
      <c r="Y212" s="103" t="str">
        <f aca="false">IF(DATA_PIPELINE!$X212=0,"Paid",IF(DATA_PIPELINE!$W212=0,"Unpaid","Partly Paid"))</f>
        <v>Paid</v>
      </c>
    </row>
    <row r="213" customFormat="false" ht="15" hidden="false" customHeight="true" outlineLevel="0" collapsed="false">
      <c r="A213" s="103" t="n">
        <v>208</v>
      </c>
      <c r="B213" s="103" t="s">
        <v>772</v>
      </c>
      <c r="C213" s="103" t="s">
        <v>773</v>
      </c>
      <c r="D213" s="107" t="s">
        <v>358</v>
      </c>
      <c r="E213" s="103" t="s">
        <v>774</v>
      </c>
      <c r="F213" s="103" t="n">
        <v>719758445</v>
      </c>
      <c r="G213" s="103" t="s">
        <v>533</v>
      </c>
      <c r="H213" s="103" t="s">
        <v>174</v>
      </c>
      <c r="I213" s="103" t="n">
        <v>16</v>
      </c>
      <c r="J213" s="103" t="s">
        <v>175</v>
      </c>
      <c r="K213" s="103" t="n">
        <v>0</v>
      </c>
      <c r="L213" s="103" t="n">
        <v>0</v>
      </c>
      <c r="M213" s="103" t="n">
        <v>0</v>
      </c>
      <c r="N213" s="103" t="n">
        <v>80</v>
      </c>
      <c r="O213" s="103" t="n">
        <v>14151.59</v>
      </c>
      <c r="P213" s="103" t="n">
        <v>0</v>
      </c>
      <c r="Q213" s="103" t="n">
        <v>0</v>
      </c>
      <c r="R213" s="103" t="n">
        <v>14151.59</v>
      </c>
      <c r="S213" s="103" t="s">
        <v>176</v>
      </c>
      <c r="T213" s="103" t="n">
        <v>80</v>
      </c>
      <c r="U213" s="103" t="s">
        <v>177</v>
      </c>
      <c r="V213" s="103" t="n">
        <v>500</v>
      </c>
      <c r="W213" s="103" t="n">
        <f aca="false">DATA_PIPELINE!$K213</f>
        <v>0</v>
      </c>
      <c r="X213" s="103" t="n">
        <f aca="false">DATA_PIPELINE!$V213-DATA_PIPELINE!$W213</f>
        <v>500</v>
      </c>
      <c r="Y213" s="103" t="str">
        <f aca="false">IF(DATA_PIPELINE!$X213=0,"Paid",IF(DATA_PIPELINE!$W213=0,"Unpaid","Partly Paid"))</f>
        <v>Unpaid</v>
      </c>
    </row>
    <row r="214" customFormat="false" ht="15" hidden="false" customHeight="true" outlineLevel="0" collapsed="false">
      <c r="A214" s="103" t="n">
        <v>209</v>
      </c>
      <c r="B214" s="103" t="s">
        <v>775</v>
      </c>
      <c r="C214" s="103" t="s">
        <v>776</v>
      </c>
      <c r="D214" s="107" t="s">
        <v>358</v>
      </c>
      <c r="E214" s="103" t="s">
        <v>777</v>
      </c>
      <c r="F214" s="103" t="n">
        <v>775349889</v>
      </c>
      <c r="G214" s="103" t="s">
        <v>533</v>
      </c>
      <c r="H214" s="103" t="s">
        <v>174</v>
      </c>
      <c r="I214" s="103" t="n">
        <v>1</v>
      </c>
      <c r="J214" s="103" t="s">
        <v>175</v>
      </c>
      <c r="K214" s="103" t="n">
        <v>0</v>
      </c>
      <c r="L214" s="103" t="n">
        <v>0</v>
      </c>
      <c r="M214" s="103" t="n">
        <v>0</v>
      </c>
      <c r="N214" s="103" t="n">
        <v>10</v>
      </c>
      <c r="O214" s="103" t="n">
        <v>2654.16</v>
      </c>
      <c r="P214" s="103" t="n">
        <v>0</v>
      </c>
      <c r="Q214" s="103" t="n">
        <v>0</v>
      </c>
      <c r="R214" s="103" t="n">
        <v>2654.16</v>
      </c>
      <c r="S214" s="103" t="s">
        <v>176</v>
      </c>
      <c r="T214" s="103" t="n">
        <v>10</v>
      </c>
      <c r="U214" s="103" t="s">
        <v>177</v>
      </c>
      <c r="V214" s="103" t="n">
        <v>500</v>
      </c>
      <c r="W214" s="103" t="n">
        <f aca="false">DATA_PIPELINE!$K214</f>
        <v>0</v>
      </c>
      <c r="X214" s="103" t="n">
        <f aca="false">DATA_PIPELINE!$V214-DATA_PIPELINE!$W214</f>
        <v>500</v>
      </c>
      <c r="Y214" s="103" t="str">
        <f aca="false">IF(DATA_PIPELINE!$X214=0,"Paid",IF(DATA_PIPELINE!$W214=0,"Unpaid","Partly Paid"))</f>
        <v>Unpaid</v>
      </c>
    </row>
    <row r="215" customFormat="false" ht="15" hidden="false" customHeight="true" outlineLevel="0" collapsed="false">
      <c r="A215" s="103" t="n">
        <v>210</v>
      </c>
      <c r="B215" s="103" t="s">
        <v>778</v>
      </c>
      <c r="C215" s="103" t="s">
        <v>779</v>
      </c>
      <c r="D215" s="107" t="s">
        <v>358</v>
      </c>
      <c r="E215" s="103" t="s">
        <v>780</v>
      </c>
      <c r="F215" s="103" t="n">
        <v>786975541</v>
      </c>
      <c r="G215" s="103" t="s">
        <v>533</v>
      </c>
      <c r="H215" s="103" t="s">
        <v>174</v>
      </c>
      <c r="I215" s="103" t="n">
        <v>16</v>
      </c>
      <c r="J215" s="103" t="s">
        <v>175</v>
      </c>
      <c r="K215" s="103" t="n">
        <v>0</v>
      </c>
      <c r="L215" s="103" t="n">
        <v>0</v>
      </c>
      <c r="M215" s="103" t="n">
        <v>0</v>
      </c>
      <c r="N215" s="103" t="n">
        <v>40</v>
      </c>
      <c r="O215" s="103" t="n">
        <v>7958.72</v>
      </c>
      <c r="P215" s="103" t="n">
        <v>0</v>
      </c>
      <c r="Q215" s="103" t="n">
        <v>0</v>
      </c>
      <c r="R215" s="103" t="n">
        <v>7958.72</v>
      </c>
      <c r="S215" s="103" t="s">
        <v>176</v>
      </c>
      <c r="T215" s="103" t="n">
        <v>40</v>
      </c>
      <c r="U215" s="103" t="s">
        <v>177</v>
      </c>
      <c r="V215" s="103" t="n">
        <v>500</v>
      </c>
      <c r="W215" s="103" t="n">
        <f aca="false">DATA_PIPELINE!$K215</f>
        <v>0</v>
      </c>
      <c r="X215" s="103" t="n">
        <f aca="false">DATA_PIPELINE!$V215-DATA_PIPELINE!$W215</f>
        <v>500</v>
      </c>
      <c r="Y215" s="103" t="str">
        <f aca="false">IF(DATA_PIPELINE!$X215=0,"Paid",IF(DATA_PIPELINE!$W215=0,"Unpaid","Partly Paid"))</f>
        <v>Unpaid</v>
      </c>
    </row>
    <row r="216" customFormat="false" ht="15" hidden="false" customHeight="true" outlineLevel="0" collapsed="false">
      <c r="A216" s="103" t="n">
        <v>211</v>
      </c>
      <c r="B216" s="103" t="s">
        <v>781</v>
      </c>
      <c r="C216" s="103" t="s">
        <v>782</v>
      </c>
      <c r="D216" s="107" t="s">
        <v>358</v>
      </c>
      <c r="E216" s="103" t="s">
        <v>783</v>
      </c>
      <c r="F216" s="103" t="n">
        <v>779287795</v>
      </c>
      <c r="G216" s="103" t="s">
        <v>533</v>
      </c>
      <c r="H216" s="103" t="s">
        <v>174</v>
      </c>
      <c r="I216" s="103" t="n">
        <v>16</v>
      </c>
      <c r="J216" s="103" t="s">
        <v>175</v>
      </c>
      <c r="K216" s="103" t="n">
        <v>0</v>
      </c>
      <c r="L216" s="103" t="n">
        <v>0</v>
      </c>
      <c r="M216" s="103" t="n">
        <v>0</v>
      </c>
      <c r="N216" s="103" t="n">
        <v>40</v>
      </c>
      <c r="O216" s="103" t="n">
        <v>7660.93</v>
      </c>
      <c r="P216" s="103" t="n">
        <v>0</v>
      </c>
      <c r="Q216" s="103" t="n">
        <v>0</v>
      </c>
      <c r="R216" s="103" t="n">
        <v>7660.93</v>
      </c>
      <c r="S216" s="103" t="s">
        <v>176</v>
      </c>
      <c r="T216" s="103" t="n">
        <v>40</v>
      </c>
      <c r="U216" s="103" t="s">
        <v>177</v>
      </c>
      <c r="V216" s="103" t="n">
        <v>500</v>
      </c>
      <c r="W216" s="103" t="n">
        <f aca="false">DATA_PIPELINE!$K216</f>
        <v>0</v>
      </c>
      <c r="X216" s="103" t="n">
        <f aca="false">DATA_PIPELINE!$V216-DATA_PIPELINE!$W216</f>
        <v>500</v>
      </c>
      <c r="Y216" s="103" t="str">
        <f aca="false">IF(DATA_PIPELINE!$X216=0,"Paid",IF(DATA_PIPELINE!$W216=0,"Unpaid","Partly Paid"))</f>
        <v>Unpaid</v>
      </c>
    </row>
    <row r="217" customFormat="false" ht="15" hidden="false" customHeight="true" outlineLevel="0" collapsed="false">
      <c r="A217" s="103" t="n">
        <v>212</v>
      </c>
      <c r="B217" s="103" t="s">
        <v>784</v>
      </c>
      <c r="C217" s="103" t="s">
        <v>785</v>
      </c>
      <c r="D217" s="107" t="s">
        <v>358</v>
      </c>
      <c r="E217" s="103" t="s">
        <v>786</v>
      </c>
      <c r="F217" s="103" t="n">
        <v>783813207</v>
      </c>
      <c r="G217" s="103" t="s">
        <v>533</v>
      </c>
      <c r="H217" s="103" t="s">
        <v>174</v>
      </c>
      <c r="I217" s="103" t="n">
        <v>16</v>
      </c>
      <c r="J217" s="103" t="s">
        <v>175</v>
      </c>
      <c r="K217" s="103" t="n">
        <v>0</v>
      </c>
      <c r="L217" s="103" t="n">
        <v>0</v>
      </c>
      <c r="M217" s="103" t="n">
        <v>0</v>
      </c>
      <c r="N217" s="103" t="n">
        <v>30</v>
      </c>
      <c r="O217" s="103" t="n">
        <v>7917.2</v>
      </c>
      <c r="P217" s="103" t="n">
        <v>0</v>
      </c>
      <c r="Q217" s="103" t="n">
        <v>0</v>
      </c>
      <c r="R217" s="103" t="n">
        <v>7917.2</v>
      </c>
      <c r="S217" s="103" t="s">
        <v>176</v>
      </c>
      <c r="T217" s="103" t="n">
        <v>30</v>
      </c>
      <c r="U217" s="103" t="s">
        <v>177</v>
      </c>
      <c r="V217" s="103" t="n">
        <v>500</v>
      </c>
      <c r="W217" s="103" t="n">
        <f aca="false">DATA_PIPELINE!$K217</f>
        <v>0</v>
      </c>
      <c r="X217" s="103" t="n">
        <f aca="false">DATA_PIPELINE!$V217-DATA_PIPELINE!$W217</f>
        <v>500</v>
      </c>
      <c r="Y217" s="103" t="str">
        <f aca="false">IF(DATA_PIPELINE!$X217=0,"Paid",IF(DATA_PIPELINE!$W217=0,"Unpaid","Partly Paid"))</f>
        <v>Unpaid</v>
      </c>
    </row>
    <row r="218" customFormat="false" ht="15" hidden="false" customHeight="true" outlineLevel="0" collapsed="false">
      <c r="A218" s="103" t="n">
        <v>213</v>
      </c>
      <c r="B218" s="103" t="s">
        <v>787</v>
      </c>
      <c r="C218" s="103" t="s">
        <v>788</v>
      </c>
      <c r="D218" s="107" t="s">
        <v>358</v>
      </c>
      <c r="E218" s="103" t="s">
        <v>789</v>
      </c>
      <c r="F218" s="103" t="n">
        <v>774826705</v>
      </c>
      <c r="G218" s="103" t="s">
        <v>533</v>
      </c>
      <c r="H218" s="103" t="s">
        <v>174</v>
      </c>
      <c r="I218" s="103" t="n">
        <v>16</v>
      </c>
      <c r="J218" s="103" t="s">
        <v>175</v>
      </c>
      <c r="K218" s="103" t="n">
        <v>0</v>
      </c>
      <c r="L218" s="103" t="n">
        <v>0</v>
      </c>
      <c r="M218" s="103" t="n">
        <v>0</v>
      </c>
      <c r="N218" s="103" t="n">
        <v>60</v>
      </c>
      <c r="O218" s="103" t="n">
        <v>7304.01</v>
      </c>
      <c r="P218" s="103" t="n">
        <v>0</v>
      </c>
      <c r="Q218" s="103" t="n">
        <v>0</v>
      </c>
      <c r="R218" s="103" t="n">
        <v>7304.01</v>
      </c>
      <c r="S218" s="103" t="s">
        <v>176</v>
      </c>
      <c r="T218" s="103" t="n">
        <v>60</v>
      </c>
      <c r="U218" s="103" t="s">
        <v>177</v>
      </c>
      <c r="V218" s="103" t="n">
        <v>500</v>
      </c>
      <c r="W218" s="103" t="n">
        <f aca="false">DATA_PIPELINE!$K218</f>
        <v>0</v>
      </c>
      <c r="X218" s="103" t="n">
        <f aca="false">DATA_PIPELINE!$V218-DATA_PIPELINE!$W218</f>
        <v>500</v>
      </c>
      <c r="Y218" s="103" t="str">
        <f aca="false">IF(DATA_PIPELINE!$X218=0,"Paid",IF(DATA_PIPELINE!$W218=0,"Unpaid","Partly Paid"))</f>
        <v>Unpaid</v>
      </c>
    </row>
    <row r="219" customFormat="false" ht="15" hidden="false" customHeight="true" outlineLevel="0" collapsed="false">
      <c r="A219" s="103" t="n">
        <v>214</v>
      </c>
      <c r="B219" s="103" t="s">
        <v>790</v>
      </c>
      <c r="C219" s="103" t="s">
        <v>791</v>
      </c>
      <c r="D219" s="107" t="s">
        <v>358</v>
      </c>
      <c r="E219" s="103" t="s">
        <v>792</v>
      </c>
      <c r="F219" s="103" t="n">
        <v>772410657</v>
      </c>
      <c r="G219" s="103" t="s">
        <v>533</v>
      </c>
      <c r="H219" s="103" t="s">
        <v>174</v>
      </c>
      <c r="I219" s="103" t="n">
        <v>16</v>
      </c>
      <c r="J219" s="103" t="s">
        <v>175</v>
      </c>
      <c r="K219" s="103" t="n">
        <v>500</v>
      </c>
      <c r="L219" s="103" t="n">
        <v>0</v>
      </c>
      <c r="M219" s="103" t="n">
        <v>0</v>
      </c>
      <c r="N219" s="103" t="n">
        <v>30</v>
      </c>
      <c r="O219" s="103" t="n">
        <v>6376.04</v>
      </c>
      <c r="P219" s="103" t="n">
        <v>0</v>
      </c>
      <c r="Q219" s="103" t="n">
        <v>0</v>
      </c>
      <c r="R219" s="103" t="n">
        <v>6376.04</v>
      </c>
      <c r="S219" s="103" t="s">
        <v>176</v>
      </c>
      <c r="T219" s="103" t="n">
        <v>30</v>
      </c>
      <c r="U219" s="103" t="s">
        <v>177</v>
      </c>
      <c r="V219" s="103" t="n">
        <v>500</v>
      </c>
      <c r="W219" s="103" t="n">
        <f aca="false">DATA_PIPELINE!$K219</f>
        <v>500</v>
      </c>
      <c r="X219" s="103" t="n">
        <f aca="false">DATA_PIPELINE!$V219-DATA_PIPELINE!$W219</f>
        <v>0</v>
      </c>
      <c r="Y219" s="103" t="str">
        <f aca="false">IF(DATA_PIPELINE!$X219=0,"Paid",IF(DATA_PIPELINE!$W219=0,"Unpaid","Partly Paid"))</f>
        <v>Paid</v>
      </c>
    </row>
    <row r="220" customFormat="false" ht="15" hidden="false" customHeight="true" outlineLevel="0" collapsed="false">
      <c r="A220" s="103" t="n">
        <v>215</v>
      </c>
      <c r="B220" s="103" t="s">
        <v>793</v>
      </c>
      <c r="C220" s="103" t="s">
        <v>794</v>
      </c>
      <c r="D220" s="107" t="s">
        <v>358</v>
      </c>
      <c r="E220" s="103" t="s">
        <v>795</v>
      </c>
      <c r="F220" s="103" t="n">
        <v>773474408</v>
      </c>
      <c r="G220" s="103" t="s">
        <v>533</v>
      </c>
      <c r="H220" s="103" t="s">
        <v>174</v>
      </c>
      <c r="I220" s="103" t="n">
        <v>16</v>
      </c>
      <c r="J220" s="103" t="s">
        <v>175</v>
      </c>
      <c r="K220" s="103" t="n">
        <v>0</v>
      </c>
      <c r="L220" s="103" t="n">
        <v>0</v>
      </c>
      <c r="M220" s="103" t="n">
        <v>0</v>
      </c>
      <c r="N220" s="103" t="n">
        <v>20</v>
      </c>
      <c r="O220" s="103" t="n">
        <v>3724.71</v>
      </c>
      <c r="P220" s="103" t="n">
        <v>0</v>
      </c>
      <c r="Q220" s="103" t="n">
        <v>0</v>
      </c>
      <c r="R220" s="103" t="n">
        <v>3724.71</v>
      </c>
      <c r="S220" s="103" t="s">
        <v>176</v>
      </c>
      <c r="T220" s="103" t="n">
        <v>20</v>
      </c>
      <c r="U220" s="103" t="s">
        <v>177</v>
      </c>
      <c r="V220" s="103" t="n">
        <v>500</v>
      </c>
      <c r="W220" s="103" t="n">
        <f aca="false">DATA_PIPELINE!$K220</f>
        <v>0</v>
      </c>
      <c r="X220" s="103" t="n">
        <f aca="false">DATA_PIPELINE!$V220-DATA_PIPELINE!$W220</f>
        <v>500</v>
      </c>
      <c r="Y220" s="103" t="str">
        <f aca="false">IF(DATA_PIPELINE!$X220=0,"Paid",IF(DATA_PIPELINE!$W220=0,"Unpaid","Partly Paid"))</f>
        <v>Unpaid</v>
      </c>
    </row>
    <row r="221" customFormat="false" ht="15" hidden="false" customHeight="true" outlineLevel="0" collapsed="false">
      <c r="A221" s="103" t="n">
        <v>216</v>
      </c>
      <c r="B221" s="103" t="s">
        <v>796</v>
      </c>
      <c r="C221" s="103"/>
      <c r="D221" s="107" t="s">
        <v>358</v>
      </c>
      <c r="E221" s="103" t="s">
        <v>797</v>
      </c>
      <c r="F221" s="103" t="n">
        <v>763813130</v>
      </c>
      <c r="G221" s="103" t="s">
        <v>533</v>
      </c>
      <c r="H221" s="103" t="s">
        <v>174</v>
      </c>
      <c r="I221" s="103" t="n">
        <v>16</v>
      </c>
      <c r="J221" s="103" t="s">
        <v>175</v>
      </c>
      <c r="K221" s="103" t="n">
        <v>0</v>
      </c>
      <c r="L221" s="103" t="n">
        <v>0</v>
      </c>
      <c r="M221" s="103" t="n">
        <v>0</v>
      </c>
      <c r="N221" s="103" t="n">
        <v>50</v>
      </c>
      <c r="O221" s="103" t="n">
        <v>6031.86</v>
      </c>
      <c r="P221" s="103" t="n">
        <v>0</v>
      </c>
      <c r="Q221" s="103" t="n">
        <v>0</v>
      </c>
      <c r="R221" s="103" t="n">
        <v>6031.86</v>
      </c>
      <c r="S221" s="103" t="s">
        <v>176</v>
      </c>
      <c r="T221" s="103" t="n">
        <v>50</v>
      </c>
      <c r="U221" s="103" t="s">
        <v>177</v>
      </c>
      <c r="V221" s="103" t="n">
        <v>500</v>
      </c>
      <c r="W221" s="103" t="n">
        <f aca="false">DATA_PIPELINE!$K221</f>
        <v>0</v>
      </c>
      <c r="X221" s="103" t="n">
        <f aca="false">DATA_PIPELINE!$V221-DATA_PIPELINE!$W221</f>
        <v>500</v>
      </c>
      <c r="Y221" s="103" t="str">
        <f aca="false">IF(DATA_PIPELINE!$X221=0,"Paid",IF(DATA_PIPELINE!$W221=0,"Unpaid","Partly Paid"))</f>
        <v>Unpaid</v>
      </c>
    </row>
    <row r="222" customFormat="false" ht="15" hidden="false" customHeight="true" outlineLevel="0" collapsed="false">
      <c r="A222" s="103" t="n">
        <v>217</v>
      </c>
      <c r="B222" s="103" t="s">
        <v>798</v>
      </c>
      <c r="C222" s="103" t="s">
        <v>799</v>
      </c>
      <c r="D222" s="107" t="s">
        <v>358</v>
      </c>
      <c r="E222" s="103" t="s">
        <v>800</v>
      </c>
      <c r="F222" s="103" t="n">
        <v>774531845</v>
      </c>
      <c r="G222" s="103" t="s">
        <v>533</v>
      </c>
      <c r="H222" s="103" t="s">
        <v>174</v>
      </c>
      <c r="I222" s="103" t="n">
        <v>16</v>
      </c>
      <c r="J222" s="103" t="s">
        <v>175</v>
      </c>
      <c r="K222" s="103" t="n">
        <v>0</v>
      </c>
      <c r="L222" s="103" t="n">
        <v>0</v>
      </c>
      <c r="M222" s="103" t="n">
        <v>7</v>
      </c>
      <c r="N222" s="103" t="n">
        <v>30</v>
      </c>
      <c r="O222" s="103" t="n">
        <v>4528.59</v>
      </c>
      <c r="P222" s="103" t="n">
        <v>0</v>
      </c>
      <c r="Q222" s="103" t="n">
        <v>0</v>
      </c>
      <c r="R222" s="103" t="n">
        <v>4528.59</v>
      </c>
      <c r="S222" s="103" t="s">
        <v>176</v>
      </c>
      <c r="T222" s="103" t="n">
        <v>37</v>
      </c>
      <c r="U222" s="103" t="s">
        <v>177</v>
      </c>
      <c r="V222" s="103" t="n">
        <v>500</v>
      </c>
      <c r="W222" s="103" t="n">
        <f aca="false">DATA_PIPELINE!$K222</f>
        <v>0</v>
      </c>
      <c r="X222" s="103" t="n">
        <f aca="false">DATA_PIPELINE!$V222-DATA_PIPELINE!$W222</f>
        <v>500</v>
      </c>
      <c r="Y222" s="103" t="str">
        <f aca="false">IF(DATA_PIPELINE!$X222=0,"Paid",IF(DATA_PIPELINE!$W222=0,"Unpaid","Partly Paid"))</f>
        <v>Unpaid</v>
      </c>
    </row>
    <row r="223" customFormat="false" ht="15" hidden="false" customHeight="true" outlineLevel="0" collapsed="false">
      <c r="A223" s="103" t="n">
        <v>218</v>
      </c>
      <c r="B223" s="103" t="s">
        <v>801</v>
      </c>
      <c r="C223" s="103" t="s">
        <v>802</v>
      </c>
      <c r="D223" s="103" t="s">
        <v>803</v>
      </c>
      <c r="E223" s="103" t="s">
        <v>804</v>
      </c>
      <c r="F223" s="103" t="n">
        <v>772248011</v>
      </c>
      <c r="G223" s="103" t="s">
        <v>533</v>
      </c>
      <c r="H223" s="103" t="s">
        <v>174</v>
      </c>
      <c r="I223" s="103" t="n">
        <v>10</v>
      </c>
      <c r="J223" s="103" t="s">
        <v>175</v>
      </c>
      <c r="K223" s="103" t="n">
        <v>500</v>
      </c>
      <c r="L223" s="103" t="n">
        <v>0</v>
      </c>
      <c r="M223" s="103" t="n">
        <v>0</v>
      </c>
      <c r="N223" s="103" t="n">
        <v>60</v>
      </c>
      <c r="O223" s="103" t="n">
        <v>17013.9</v>
      </c>
      <c r="P223" s="103" t="n">
        <v>0</v>
      </c>
      <c r="Q223" s="103" t="n">
        <v>0</v>
      </c>
      <c r="R223" s="103" t="n">
        <v>17013.9</v>
      </c>
      <c r="S223" s="103" t="s">
        <v>176</v>
      </c>
      <c r="T223" s="103" t="n">
        <v>60</v>
      </c>
      <c r="U223" s="103" t="s">
        <v>177</v>
      </c>
      <c r="V223" s="103" t="n">
        <v>500</v>
      </c>
      <c r="W223" s="103" t="n">
        <f aca="false">DATA_PIPELINE!$K223</f>
        <v>500</v>
      </c>
      <c r="X223" s="103" t="n">
        <f aca="false">DATA_PIPELINE!$V223-DATA_PIPELINE!$W223</f>
        <v>0</v>
      </c>
      <c r="Y223" s="103" t="str">
        <f aca="false">IF(DATA_PIPELINE!$X223=0,"Paid",IF(DATA_PIPELINE!$W223=0,"Unpaid","Partly Paid"))</f>
        <v>Paid</v>
      </c>
    </row>
    <row r="224" customFormat="false" ht="15" hidden="false" customHeight="true" outlineLevel="0" collapsed="false">
      <c r="A224" s="103" t="n">
        <v>219</v>
      </c>
      <c r="B224" s="103" t="s">
        <v>805</v>
      </c>
      <c r="C224" s="103" t="s">
        <v>806</v>
      </c>
      <c r="D224" s="103" t="s">
        <v>803</v>
      </c>
      <c r="E224" s="103" t="s">
        <v>807</v>
      </c>
      <c r="F224" s="103" t="n">
        <v>772341337</v>
      </c>
      <c r="G224" s="103" t="s">
        <v>533</v>
      </c>
      <c r="H224" s="103" t="s">
        <v>174</v>
      </c>
      <c r="I224" s="103" t="n">
        <v>10</v>
      </c>
      <c r="J224" s="103" t="s">
        <v>175</v>
      </c>
      <c r="K224" s="103" t="n">
        <v>200</v>
      </c>
      <c r="L224" s="103" t="n">
        <v>300</v>
      </c>
      <c r="M224" s="103" t="n">
        <v>0</v>
      </c>
      <c r="N224" s="103" t="n">
        <v>100</v>
      </c>
      <c r="O224" s="103" t="n">
        <v>15568.17</v>
      </c>
      <c r="P224" s="103" t="n">
        <v>0</v>
      </c>
      <c r="Q224" s="103" t="n">
        <v>0</v>
      </c>
      <c r="R224" s="103" t="n">
        <v>15568.17</v>
      </c>
      <c r="S224" s="103" t="s">
        <v>176</v>
      </c>
      <c r="T224" s="103" t="n">
        <v>100</v>
      </c>
      <c r="U224" s="103" t="s">
        <v>177</v>
      </c>
      <c r="V224" s="103" t="n">
        <v>500</v>
      </c>
      <c r="W224" s="103" t="n">
        <f aca="false">DATA_PIPELINE!$K224</f>
        <v>200</v>
      </c>
      <c r="X224" s="103" t="n">
        <f aca="false">DATA_PIPELINE!$V224-DATA_PIPELINE!$W224</f>
        <v>300</v>
      </c>
      <c r="Y224" s="103" t="str">
        <f aca="false">IF(DATA_PIPELINE!$X224=0,"Paid",IF(DATA_PIPELINE!$W224=0,"Unpaid","Partly Paid"))</f>
        <v>Partly Paid</v>
      </c>
    </row>
    <row r="225" customFormat="false" ht="15" hidden="false" customHeight="true" outlineLevel="0" collapsed="false">
      <c r="A225" s="103" t="n">
        <v>220</v>
      </c>
      <c r="B225" s="103" t="s">
        <v>808</v>
      </c>
      <c r="C225" s="103" t="s">
        <v>809</v>
      </c>
      <c r="D225" s="103" t="s">
        <v>803</v>
      </c>
      <c r="E225" s="103" t="s">
        <v>810</v>
      </c>
      <c r="F225" s="103" t="n">
        <v>772927647</v>
      </c>
      <c r="G225" s="103" t="s">
        <v>533</v>
      </c>
      <c r="H225" s="103" t="s">
        <v>174</v>
      </c>
      <c r="I225" s="103" t="n">
        <v>10</v>
      </c>
      <c r="J225" s="103" t="s">
        <v>175</v>
      </c>
      <c r="K225" s="103" t="n">
        <v>0</v>
      </c>
      <c r="L225" s="103" t="n">
        <v>0</v>
      </c>
      <c r="M225" s="103" t="n">
        <v>0</v>
      </c>
      <c r="N225" s="103" t="n">
        <v>150</v>
      </c>
      <c r="O225" s="103" t="n">
        <v>110156.3</v>
      </c>
      <c r="P225" s="103" t="n">
        <v>0</v>
      </c>
      <c r="Q225" s="103" t="n">
        <v>0</v>
      </c>
      <c r="R225" s="103" t="n">
        <v>110156.3</v>
      </c>
      <c r="S225" s="103" t="s">
        <v>176</v>
      </c>
      <c r="T225" s="103" t="n">
        <v>150</v>
      </c>
      <c r="U225" s="103" t="s">
        <v>177</v>
      </c>
      <c r="V225" s="103" t="n">
        <v>500</v>
      </c>
      <c r="W225" s="103" t="n">
        <f aca="false">DATA_PIPELINE!$K225</f>
        <v>0</v>
      </c>
      <c r="X225" s="103" t="n">
        <f aca="false">DATA_PIPELINE!$V225-DATA_PIPELINE!$W225</f>
        <v>500</v>
      </c>
      <c r="Y225" s="103" t="str">
        <f aca="false">IF(DATA_PIPELINE!$X225=0,"Paid",IF(DATA_PIPELINE!$W225=0,"Unpaid","Partly Paid"))</f>
        <v>Unpaid</v>
      </c>
    </row>
    <row r="226" customFormat="false" ht="15" hidden="false" customHeight="true" outlineLevel="0" collapsed="false">
      <c r="A226" s="103" t="n">
        <v>221</v>
      </c>
      <c r="B226" s="103" t="s">
        <v>811</v>
      </c>
      <c r="C226" s="103" t="s">
        <v>812</v>
      </c>
      <c r="D226" s="103" t="s">
        <v>803</v>
      </c>
      <c r="E226" s="103" t="s">
        <v>813</v>
      </c>
      <c r="F226" s="103" t="n">
        <v>715053775</v>
      </c>
      <c r="G226" s="103" t="s">
        <v>533</v>
      </c>
      <c r="H226" s="103" t="s">
        <v>174</v>
      </c>
      <c r="I226" s="103" t="n">
        <v>2</v>
      </c>
      <c r="J226" s="103" t="s">
        <v>175</v>
      </c>
      <c r="K226" s="103" t="n">
        <v>0</v>
      </c>
      <c r="L226" s="103" t="n">
        <v>0</v>
      </c>
      <c r="M226" s="103" t="n">
        <v>0</v>
      </c>
      <c r="N226" s="103" t="n">
        <v>40</v>
      </c>
      <c r="O226" s="103" t="n">
        <v>6588.75</v>
      </c>
      <c r="P226" s="103" t="n">
        <v>0</v>
      </c>
      <c r="Q226" s="103" t="n">
        <v>0</v>
      </c>
      <c r="R226" s="103" t="n">
        <v>6588.75</v>
      </c>
      <c r="S226" s="103" t="s">
        <v>176</v>
      </c>
      <c r="T226" s="103" t="n">
        <v>40</v>
      </c>
      <c r="U226" s="103" t="s">
        <v>177</v>
      </c>
      <c r="V226" s="103" t="n">
        <v>500</v>
      </c>
      <c r="W226" s="103" t="n">
        <f aca="false">DATA_PIPELINE!$K226</f>
        <v>0</v>
      </c>
      <c r="X226" s="103" t="n">
        <f aca="false">DATA_PIPELINE!$V226-DATA_PIPELINE!$W226</f>
        <v>500</v>
      </c>
      <c r="Y226" s="103" t="str">
        <f aca="false">IF(DATA_PIPELINE!$X226=0,"Paid",IF(DATA_PIPELINE!$W226=0,"Unpaid","Partly Paid"))</f>
        <v>Unpaid</v>
      </c>
    </row>
    <row r="227" customFormat="false" ht="15" hidden="false" customHeight="true" outlineLevel="0" collapsed="false">
      <c r="A227" s="103" t="n">
        <v>222</v>
      </c>
      <c r="B227" s="103" t="s">
        <v>814</v>
      </c>
      <c r="C227" s="103" t="s">
        <v>815</v>
      </c>
      <c r="D227" s="103" t="s">
        <v>803</v>
      </c>
      <c r="E227" s="103" t="s">
        <v>816</v>
      </c>
      <c r="F227" s="103" t="s">
        <v>817</v>
      </c>
      <c r="G227" s="103" t="s">
        <v>533</v>
      </c>
      <c r="H227" s="103" t="s">
        <v>174</v>
      </c>
      <c r="I227" s="103" t="n">
        <v>10</v>
      </c>
      <c r="J227" s="103" t="s">
        <v>175</v>
      </c>
      <c r="K227" s="103" t="n">
        <v>100</v>
      </c>
      <c r="L227" s="103" t="n">
        <v>400</v>
      </c>
      <c r="M227" s="103" t="n">
        <v>5</v>
      </c>
      <c r="N227" s="103" t="n">
        <v>20</v>
      </c>
      <c r="O227" s="103" t="n">
        <v>3943.71</v>
      </c>
      <c r="P227" s="103" t="n">
        <v>0</v>
      </c>
      <c r="Q227" s="103" t="n">
        <v>0</v>
      </c>
      <c r="R227" s="103" t="n">
        <v>3943.71</v>
      </c>
      <c r="S227" s="103" t="s">
        <v>176</v>
      </c>
      <c r="T227" s="103" t="n">
        <v>20</v>
      </c>
      <c r="U227" s="103" t="s">
        <v>177</v>
      </c>
      <c r="V227" s="103" t="n">
        <v>500</v>
      </c>
      <c r="W227" s="103" t="n">
        <f aca="false">DATA_PIPELINE!$K227</f>
        <v>100</v>
      </c>
      <c r="X227" s="103" t="n">
        <f aca="false">DATA_PIPELINE!$V227-DATA_PIPELINE!$W227</f>
        <v>400</v>
      </c>
      <c r="Y227" s="103" t="str">
        <f aca="false">IF(DATA_PIPELINE!$X227=0,"Paid",IF(DATA_PIPELINE!$W227=0,"Unpaid","Partly Paid"))</f>
        <v>Partly Paid</v>
      </c>
    </row>
    <row r="228" customFormat="false" ht="15" hidden="false" customHeight="true" outlineLevel="0" collapsed="false">
      <c r="A228" s="103" t="n">
        <v>223</v>
      </c>
      <c r="B228" s="103" t="s">
        <v>818</v>
      </c>
      <c r="C228" s="103" t="s">
        <v>819</v>
      </c>
      <c r="D228" s="103" t="s">
        <v>803</v>
      </c>
      <c r="E228" s="103" t="s">
        <v>820</v>
      </c>
      <c r="F228" s="103" t="n">
        <v>772994831</v>
      </c>
      <c r="G228" s="103" t="s">
        <v>533</v>
      </c>
      <c r="H228" s="103" t="s">
        <v>174</v>
      </c>
      <c r="I228" s="103" t="n">
        <v>10</v>
      </c>
      <c r="J228" s="103" t="s">
        <v>175</v>
      </c>
      <c r="K228" s="103" t="n">
        <v>100</v>
      </c>
      <c r="L228" s="103" t="n">
        <v>400</v>
      </c>
      <c r="M228" s="103" t="n">
        <v>0</v>
      </c>
      <c r="N228" s="103" t="n">
        <v>30</v>
      </c>
      <c r="O228" s="103" t="n">
        <v>11846.36</v>
      </c>
      <c r="P228" s="103" t="n">
        <v>21.78</v>
      </c>
      <c r="Q228" s="103" t="n">
        <v>7944.26</v>
      </c>
      <c r="R228" s="103" t="n">
        <v>3902.1</v>
      </c>
      <c r="S228" s="103" t="n">
        <v>67.06</v>
      </c>
      <c r="T228" s="103" t="n">
        <v>30</v>
      </c>
      <c r="U228" s="103" t="s">
        <v>177</v>
      </c>
      <c r="V228" s="103" t="n">
        <v>500</v>
      </c>
      <c r="W228" s="103" t="n">
        <f aca="false">DATA_PIPELINE!$K228</f>
        <v>100</v>
      </c>
      <c r="X228" s="103" t="n">
        <f aca="false">DATA_PIPELINE!$V228-DATA_PIPELINE!$W228</f>
        <v>400</v>
      </c>
      <c r="Y228" s="103" t="str">
        <f aca="false">IF(DATA_PIPELINE!$X228=0,"Paid",IF(DATA_PIPELINE!$W228=0,"Unpaid","Partly Paid"))</f>
        <v>Partly Paid</v>
      </c>
    </row>
    <row r="229" customFormat="false" ht="15" hidden="false" customHeight="true" outlineLevel="0" collapsed="false">
      <c r="A229" s="103" t="n">
        <v>224</v>
      </c>
      <c r="B229" s="103" t="s">
        <v>821</v>
      </c>
      <c r="C229" s="103" t="s">
        <v>822</v>
      </c>
      <c r="D229" s="103" t="s">
        <v>803</v>
      </c>
      <c r="E229" s="103" t="s">
        <v>823</v>
      </c>
      <c r="F229" s="103" t="n">
        <v>772322792</v>
      </c>
      <c r="G229" s="103" t="s">
        <v>533</v>
      </c>
      <c r="H229" s="103" t="s">
        <v>174</v>
      </c>
      <c r="I229" s="103" t="n">
        <v>10</v>
      </c>
      <c r="J229" s="103" t="s">
        <v>175</v>
      </c>
      <c r="K229" s="103" t="n">
        <v>0</v>
      </c>
      <c r="L229" s="103" t="n">
        <v>0</v>
      </c>
      <c r="M229" s="103" t="n">
        <v>0</v>
      </c>
      <c r="N229" s="103" t="n">
        <v>0</v>
      </c>
      <c r="O229" s="103" t="n">
        <v>3098.55</v>
      </c>
      <c r="P229" s="103" t="n">
        <v>0</v>
      </c>
      <c r="Q229" s="103" t="n">
        <v>0</v>
      </c>
      <c r="R229" s="103" t="n">
        <v>3098.55</v>
      </c>
      <c r="S229" s="103" t="s">
        <v>176</v>
      </c>
      <c r="T229" s="103" t="n">
        <v>0</v>
      </c>
      <c r="U229" s="103" t="s">
        <v>177</v>
      </c>
      <c r="V229" s="103" t="n">
        <v>500</v>
      </c>
      <c r="W229" s="103" t="n">
        <f aca="false">DATA_PIPELINE!$K229</f>
        <v>0</v>
      </c>
      <c r="X229" s="103" t="n">
        <f aca="false">DATA_PIPELINE!$V229-DATA_PIPELINE!$W229</f>
        <v>500</v>
      </c>
      <c r="Y229" s="103" t="str">
        <f aca="false">IF(DATA_PIPELINE!$X229=0,"Paid",IF(DATA_PIPELINE!$W229=0,"Unpaid","Partly Paid"))</f>
        <v>Unpaid</v>
      </c>
    </row>
    <row r="230" customFormat="false" ht="15" hidden="false" customHeight="true" outlineLevel="0" collapsed="false">
      <c r="A230" s="103" t="n">
        <v>225</v>
      </c>
      <c r="B230" s="103" t="s">
        <v>824</v>
      </c>
      <c r="C230" s="103" t="s">
        <v>802</v>
      </c>
      <c r="D230" s="103" t="s">
        <v>803</v>
      </c>
      <c r="E230" s="103" t="s">
        <v>825</v>
      </c>
      <c r="F230" s="103" t="n">
        <v>773773146</v>
      </c>
      <c r="G230" s="103" t="s">
        <v>533</v>
      </c>
      <c r="H230" s="103" t="s">
        <v>174</v>
      </c>
      <c r="I230" s="103" t="n">
        <v>10</v>
      </c>
      <c r="J230" s="103" t="s">
        <v>175</v>
      </c>
      <c r="K230" s="103" t="n">
        <v>0</v>
      </c>
      <c r="L230" s="103" t="n">
        <v>0</v>
      </c>
      <c r="M230" s="103" t="n">
        <v>0</v>
      </c>
      <c r="N230" s="103" t="n">
        <v>50</v>
      </c>
      <c r="O230" s="103" t="n">
        <v>5852.14</v>
      </c>
      <c r="P230" s="103" t="n">
        <v>0</v>
      </c>
      <c r="Q230" s="103" t="n">
        <v>0</v>
      </c>
      <c r="R230" s="103" t="n">
        <v>5852.14</v>
      </c>
      <c r="S230" s="103" t="s">
        <v>176</v>
      </c>
      <c r="T230" s="103" t="n">
        <v>50</v>
      </c>
      <c r="U230" s="103" t="s">
        <v>177</v>
      </c>
      <c r="V230" s="103" t="n">
        <v>500</v>
      </c>
      <c r="W230" s="103" t="n">
        <f aca="false">DATA_PIPELINE!$K230</f>
        <v>0</v>
      </c>
      <c r="X230" s="103" t="n">
        <f aca="false">DATA_PIPELINE!$V230-DATA_PIPELINE!$W230</f>
        <v>500</v>
      </c>
      <c r="Y230" s="103" t="str">
        <f aca="false">IF(DATA_PIPELINE!$X230=0,"Paid",IF(DATA_PIPELINE!$W230=0,"Unpaid","Partly Paid"))</f>
        <v>Unpaid</v>
      </c>
    </row>
    <row r="231" customFormat="false" ht="15" hidden="false" customHeight="true" outlineLevel="0" collapsed="false">
      <c r="A231" s="103" t="n">
        <v>226</v>
      </c>
      <c r="B231" s="103" t="s">
        <v>826</v>
      </c>
      <c r="C231" s="103" t="s">
        <v>827</v>
      </c>
      <c r="D231" s="103" t="s">
        <v>803</v>
      </c>
      <c r="E231" s="103" t="s">
        <v>828</v>
      </c>
      <c r="F231" s="103" t="n">
        <v>716845740</v>
      </c>
      <c r="G231" s="103" t="s">
        <v>533</v>
      </c>
      <c r="H231" s="103" t="s">
        <v>174</v>
      </c>
      <c r="I231" s="103" t="n">
        <v>10</v>
      </c>
      <c r="J231" s="103" t="s">
        <v>175</v>
      </c>
      <c r="K231" s="103" t="n">
        <v>0</v>
      </c>
      <c r="L231" s="103" t="n">
        <v>0</v>
      </c>
      <c r="M231" s="103" t="n">
        <v>0</v>
      </c>
      <c r="N231" s="103" t="n">
        <v>100</v>
      </c>
      <c r="O231" s="103" t="n">
        <v>16479.99</v>
      </c>
      <c r="P231" s="103" t="n">
        <v>0</v>
      </c>
      <c r="Q231" s="103" t="n">
        <v>0</v>
      </c>
      <c r="R231" s="103" t="n">
        <v>16479.99</v>
      </c>
      <c r="S231" s="103" t="s">
        <v>176</v>
      </c>
      <c r="T231" s="103" t="n">
        <v>100</v>
      </c>
      <c r="U231" s="103" t="s">
        <v>177</v>
      </c>
      <c r="V231" s="103" t="n">
        <v>500</v>
      </c>
      <c r="W231" s="103" t="n">
        <f aca="false">DATA_PIPELINE!$K231</f>
        <v>0</v>
      </c>
      <c r="X231" s="103" t="n">
        <f aca="false">DATA_PIPELINE!$V231-DATA_PIPELINE!$W231</f>
        <v>500</v>
      </c>
      <c r="Y231" s="103" t="str">
        <f aca="false">IF(DATA_PIPELINE!$X231=0,"Paid",IF(DATA_PIPELINE!$W231=0,"Unpaid","Partly Paid"))</f>
        <v>Unpaid</v>
      </c>
    </row>
    <row r="232" customFormat="false" ht="15" hidden="false" customHeight="true" outlineLevel="0" collapsed="false">
      <c r="A232" s="103" t="n">
        <v>227</v>
      </c>
      <c r="B232" s="103" t="s">
        <v>829</v>
      </c>
      <c r="C232" s="103" t="s">
        <v>830</v>
      </c>
      <c r="D232" s="103" t="s">
        <v>803</v>
      </c>
      <c r="E232" s="103" t="s">
        <v>831</v>
      </c>
      <c r="F232" s="103"/>
      <c r="G232" s="103" t="s">
        <v>533</v>
      </c>
      <c r="H232" s="103" t="s">
        <v>174</v>
      </c>
      <c r="I232" s="103" t="n">
        <v>16</v>
      </c>
      <c r="J232" s="103" t="s">
        <v>175</v>
      </c>
      <c r="K232" s="103" t="n">
        <v>0</v>
      </c>
      <c r="L232" s="103" t="n">
        <v>0</v>
      </c>
      <c r="M232" s="103" t="n">
        <v>0</v>
      </c>
      <c r="N232" s="103" t="n">
        <v>20</v>
      </c>
      <c r="O232" s="103" t="n">
        <v>8780.1</v>
      </c>
      <c r="P232" s="103" t="n">
        <v>0</v>
      </c>
      <c r="Q232" s="103" t="n">
        <v>0</v>
      </c>
      <c r="R232" s="103" t="n">
        <v>8780.1</v>
      </c>
      <c r="S232" s="103" t="s">
        <v>176</v>
      </c>
      <c r="T232" s="103" t="n">
        <v>20</v>
      </c>
      <c r="U232" s="103" t="s">
        <v>177</v>
      </c>
      <c r="V232" s="103" t="n">
        <v>500</v>
      </c>
      <c r="W232" s="103" t="n">
        <f aca="false">DATA_PIPELINE!$K232</f>
        <v>0</v>
      </c>
      <c r="X232" s="103" t="n">
        <f aca="false">DATA_PIPELINE!$V232-DATA_PIPELINE!$W232</f>
        <v>500</v>
      </c>
      <c r="Y232" s="103" t="str">
        <f aca="false">IF(DATA_PIPELINE!$X232=0,"Paid",IF(DATA_PIPELINE!$W232=0,"Unpaid","Partly Paid"))</f>
        <v>Unpaid</v>
      </c>
    </row>
    <row r="233" customFormat="false" ht="15" hidden="false" customHeight="true" outlineLevel="0" collapsed="false">
      <c r="A233" s="103" t="n">
        <v>228</v>
      </c>
      <c r="B233" s="103" t="s">
        <v>832</v>
      </c>
      <c r="C233" s="103" t="s">
        <v>833</v>
      </c>
      <c r="D233" s="103" t="s">
        <v>803</v>
      </c>
      <c r="E233" s="103" t="s">
        <v>834</v>
      </c>
      <c r="F233" s="103" t="n">
        <v>772362934</v>
      </c>
      <c r="G233" s="103" t="s">
        <v>533</v>
      </c>
      <c r="H233" s="103" t="s">
        <v>174</v>
      </c>
      <c r="I233" s="103" t="n">
        <v>10</v>
      </c>
      <c r="J233" s="103" t="s">
        <v>175</v>
      </c>
      <c r="K233" s="103" t="n">
        <v>0</v>
      </c>
      <c r="L233" s="103" t="n">
        <v>0</v>
      </c>
      <c r="M233" s="103" t="n">
        <v>0</v>
      </c>
      <c r="N233" s="103" t="n">
        <v>25</v>
      </c>
      <c r="O233" s="103" t="n">
        <v>6726.63</v>
      </c>
      <c r="P233" s="103" t="n">
        <v>0</v>
      </c>
      <c r="Q233" s="103" t="n">
        <v>0</v>
      </c>
      <c r="R233" s="103" t="n">
        <v>6726.63</v>
      </c>
      <c r="S233" s="103" t="s">
        <v>176</v>
      </c>
      <c r="T233" s="103" t="n">
        <v>25</v>
      </c>
      <c r="U233" s="103" t="s">
        <v>177</v>
      </c>
      <c r="V233" s="103" t="n">
        <v>500</v>
      </c>
      <c r="W233" s="103" t="n">
        <f aca="false">DATA_PIPELINE!$K233</f>
        <v>0</v>
      </c>
      <c r="X233" s="103" t="n">
        <f aca="false">DATA_PIPELINE!$V233-DATA_PIPELINE!$W233</f>
        <v>500</v>
      </c>
      <c r="Y233" s="103" t="str">
        <f aca="false">IF(DATA_PIPELINE!$X233=0,"Paid",IF(DATA_PIPELINE!$W233=0,"Unpaid","Partly Paid"))</f>
        <v>Unpaid</v>
      </c>
    </row>
    <row r="234" customFormat="false" ht="15" hidden="false" customHeight="true" outlineLevel="0" collapsed="false">
      <c r="A234" s="103" t="n">
        <v>229</v>
      </c>
      <c r="B234" s="103" t="s">
        <v>835</v>
      </c>
      <c r="C234" s="103" t="s">
        <v>833</v>
      </c>
      <c r="D234" s="103" t="s">
        <v>803</v>
      </c>
      <c r="E234" s="103" t="s">
        <v>836</v>
      </c>
      <c r="F234" s="103" t="n">
        <v>772967100</v>
      </c>
      <c r="G234" s="103" t="s">
        <v>533</v>
      </c>
      <c r="H234" s="103" t="s">
        <v>174</v>
      </c>
      <c r="I234" s="103" t="n">
        <v>10</v>
      </c>
      <c r="J234" s="103" t="s">
        <v>175</v>
      </c>
      <c r="K234" s="103" t="n">
        <v>100</v>
      </c>
      <c r="L234" s="103" t="n">
        <v>400</v>
      </c>
      <c r="M234" s="103" t="n">
        <v>0</v>
      </c>
      <c r="N234" s="103" t="n">
        <v>30</v>
      </c>
      <c r="O234" s="103" t="n">
        <v>5988.89</v>
      </c>
      <c r="P234" s="103" t="n">
        <v>0</v>
      </c>
      <c r="Q234" s="103" t="n">
        <v>0</v>
      </c>
      <c r="R234" s="103" t="n">
        <v>5988.89</v>
      </c>
      <c r="S234" s="103" t="s">
        <v>176</v>
      </c>
      <c r="T234" s="103" t="n">
        <v>20</v>
      </c>
      <c r="U234" s="103" t="s">
        <v>177</v>
      </c>
      <c r="V234" s="103" t="n">
        <v>500</v>
      </c>
      <c r="W234" s="103" t="n">
        <f aca="false">DATA_PIPELINE!$K234</f>
        <v>100</v>
      </c>
      <c r="X234" s="103" t="n">
        <f aca="false">DATA_PIPELINE!$V234-DATA_PIPELINE!$W234</f>
        <v>400</v>
      </c>
      <c r="Y234" s="103" t="str">
        <f aca="false">IF(DATA_PIPELINE!$X234=0,"Paid",IF(DATA_PIPELINE!$W234=0,"Unpaid","Partly Paid"))</f>
        <v>Partly Paid</v>
      </c>
    </row>
    <row r="235" customFormat="false" ht="15" hidden="false" customHeight="true" outlineLevel="0" collapsed="false">
      <c r="A235" s="103" t="n">
        <v>230</v>
      </c>
      <c r="B235" s="103" t="s">
        <v>837</v>
      </c>
      <c r="C235" s="103" t="s">
        <v>838</v>
      </c>
      <c r="D235" s="103" t="s">
        <v>803</v>
      </c>
      <c r="E235" s="103" t="s">
        <v>839</v>
      </c>
      <c r="F235" s="103" t="n">
        <v>773825154</v>
      </c>
      <c r="G235" s="103" t="s">
        <v>533</v>
      </c>
      <c r="H235" s="103" t="s">
        <v>174</v>
      </c>
      <c r="I235" s="103" t="n">
        <v>2</v>
      </c>
      <c r="J235" s="103" t="s">
        <v>175</v>
      </c>
      <c r="K235" s="103" t="n">
        <v>50</v>
      </c>
      <c r="L235" s="103" t="n">
        <v>450</v>
      </c>
      <c r="M235" s="103" t="n">
        <v>0</v>
      </c>
      <c r="N235" s="103" t="n">
        <v>30</v>
      </c>
      <c r="O235" s="103" t="n">
        <v>3052.74</v>
      </c>
      <c r="P235" s="103" t="n">
        <v>3.197</v>
      </c>
      <c r="Q235" s="103" t="n">
        <v>1166.11</v>
      </c>
      <c r="R235" s="103" t="n">
        <v>1886.64</v>
      </c>
      <c r="S235" s="103" t="n">
        <v>38.2</v>
      </c>
      <c r="T235" s="103" t="n">
        <v>30</v>
      </c>
      <c r="U235" s="103" t="s">
        <v>177</v>
      </c>
      <c r="V235" s="103" t="n">
        <v>500</v>
      </c>
      <c r="W235" s="103" t="n">
        <f aca="false">DATA_PIPELINE!$K235</f>
        <v>50</v>
      </c>
      <c r="X235" s="103" t="n">
        <f aca="false">DATA_PIPELINE!$V235-DATA_PIPELINE!$W235</f>
        <v>450</v>
      </c>
      <c r="Y235" s="103" t="str">
        <f aca="false">IF(DATA_PIPELINE!$X235=0,"Paid",IF(DATA_PIPELINE!$W235=0,"Unpaid","Partly Paid"))</f>
        <v>Partly Paid</v>
      </c>
    </row>
    <row r="236" customFormat="false" ht="15" hidden="false" customHeight="true" outlineLevel="0" collapsed="false">
      <c r="A236" s="103" t="n">
        <v>231</v>
      </c>
      <c r="B236" s="103" t="s">
        <v>840</v>
      </c>
      <c r="C236" s="103" t="s">
        <v>841</v>
      </c>
      <c r="D236" s="103" t="s">
        <v>803</v>
      </c>
      <c r="E236" s="103" t="s">
        <v>842</v>
      </c>
      <c r="F236" s="103" t="n">
        <v>772271868</v>
      </c>
      <c r="G236" s="103" t="s">
        <v>533</v>
      </c>
      <c r="H236" s="103" t="s">
        <v>174</v>
      </c>
      <c r="I236" s="103" t="n">
        <v>10</v>
      </c>
      <c r="J236" s="103" t="s">
        <v>175</v>
      </c>
      <c r="K236" s="103" t="n">
        <v>0</v>
      </c>
      <c r="L236" s="103" t="n">
        <v>0</v>
      </c>
      <c r="M236" s="103" t="n">
        <v>0</v>
      </c>
      <c r="N236" s="103" t="n">
        <v>30</v>
      </c>
      <c r="O236" s="103" t="n">
        <v>15492.07</v>
      </c>
      <c r="P236" s="103" t="n">
        <v>0</v>
      </c>
      <c r="Q236" s="103" t="n">
        <v>0</v>
      </c>
      <c r="R236" s="103" t="n">
        <v>15492.07</v>
      </c>
      <c r="S236" s="103" t="s">
        <v>176</v>
      </c>
      <c r="T236" s="103" t="n">
        <v>30</v>
      </c>
      <c r="U236" s="103" t="s">
        <v>177</v>
      </c>
      <c r="V236" s="103" t="n">
        <v>500</v>
      </c>
      <c r="W236" s="103" t="n">
        <f aca="false">DATA_PIPELINE!$K236</f>
        <v>0</v>
      </c>
      <c r="X236" s="103" t="n">
        <f aca="false">DATA_PIPELINE!$V236-DATA_PIPELINE!$W236</f>
        <v>500</v>
      </c>
      <c r="Y236" s="103" t="str">
        <f aca="false">IF(DATA_PIPELINE!$X236=0,"Paid",IF(DATA_PIPELINE!$W236=0,"Unpaid","Partly Paid"))</f>
        <v>Unpaid</v>
      </c>
    </row>
    <row r="237" customFormat="false" ht="15" hidden="false" customHeight="true" outlineLevel="0" collapsed="false">
      <c r="A237" s="103" t="n">
        <v>232</v>
      </c>
      <c r="B237" s="103" t="s">
        <v>843</v>
      </c>
      <c r="C237" s="103" t="s">
        <v>844</v>
      </c>
      <c r="D237" s="103" t="s">
        <v>803</v>
      </c>
      <c r="E237" s="103" t="s">
        <v>845</v>
      </c>
      <c r="F237" s="103" t="n">
        <v>773495260</v>
      </c>
      <c r="G237" s="103" t="s">
        <v>533</v>
      </c>
      <c r="H237" s="103" t="s">
        <v>174</v>
      </c>
      <c r="I237" s="103" t="n">
        <v>10</v>
      </c>
      <c r="J237" s="103" t="s">
        <v>175</v>
      </c>
      <c r="K237" s="103" t="n">
        <v>0</v>
      </c>
      <c r="L237" s="103" t="n">
        <v>0</v>
      </c>
      <c r="M237" s="103" t="n">
        <v>0</v>
      </c>
      <c r="N237" s="103" t="n">
        <v>15</v>
      </c>
      <c r="O237" s="103" t="n">
        <v>3085.39</v>
      </c>
      <c r="P237" s="103" t="n">
        <v>0</v>
      </c>
      <c r="Q237" s="103" t="n">
        <v>0</v>
      </c>
      <c r="R237" s="103" t="n">
        <v>3085.39</v>
      </c>
      <c r="S237" s="103" t="s">
        <v>176</v>
      </c>
      <c r="T237" s="103" t="n">
        <v>15</v>
      </c>
      <c r="U237" s="103" t="s">
        <v>177</v>
      </c>
      <c r="V237" s="103" t="n">
        <v>500</v>
      </c>
      <c r="W237" s="103" t="n">
        <f aca="false">DATA_PIPELINE!$K237</f>
        <v>0</v>
      </c>
      <c r="X237" s="103" t="n">
        <f aca="false">DATA_PIPELINE!$V237-DATA_PIPELINE!$W237</f>
        <v>500</v>
      </c>
      <c r="Y237" s="103" t="str">
        <f aca="false">IF(DATA_PIPELINE!$X237=0,"Paid",IF(DATA_PIPELINE!$W237=0,"Unpaid","Partly Paid"))</f>
        <v>Unpaid</v>
      </c>
    </row>
    <row r="238" customFormat="false" ht="15" hidden="false" customHeight="true" outlineLevel="0" collapsed="false">
      <c r="A238" s="103" t="n">
        <v>233</v>
      </c>
      <c r="B238" s="103" t="s">
        <v>846</v>
      </c>
      <c r="C238" s="103" t="s">
        <v>847</v>
      </c>
      <c r="D238" s="103" t="s">
        <v>803</v>
      </c>
      <c r="E238" s="103" t="s">
        <v>848</v>
      </c>
      <c r="F238" s="103" t="n">
        <v>772662165</v>
      </c>
      <c r="G238" s="103" t="s">
        <v>533</v>
      </c>
      <c r="H238" s="103" t="s">
        <v>174</v>
      </c>
      <c r="I238" s="103" t="n">
        <v>10</v>
      </c>
      <c r="J238" s="103" t="s">
        <v>175</v>
      </c>
      <c r="K238" s="103" t="n">
        <v>0</v>
      </c>
      <c r="L238" s="103" t="n">
        <v>0</v>
      </c>
      <c r="M238" s="103" t="n">
        <v>0</v>
      </c>
      <c r="N238" s="103" t="n">
        <v>100</v>
      </c>
      <c r="O238" s="103" t="n">
        <v>5657.01</v>
      </c>
      <c r="P238" s="103" t="n">
        <v>10.669</v>
      </c>
      <c r="Q238" s="103" t="n">
        <v>3891.52</v>
      </c>
      <c r="R238" s="103" t="n">
        <v>1765.49</v>
      </c>
      <c r="S238" s="103" t="n">
        <v>68.79</v>
      </c>
      <c r="T238" s="103" t="n">
        <v>100</v>
      </c>
      <c r="U238" s="103" t="s">
        <v>177</v>
      </c>
      <c r="V238" s="103" t="n">
        <v>500</v>
      </c>
      <c r="W238" s="103" t="n">
        <f aca="false">DATA_PIPELINE!$K238</f>
        <v>0</v>
      </c>
      <c r="X238" s="103" t="n">
        <f aca="false">DATA_PIPELINE!$V238-DATA_PIPELINE!$W238</f>
        <v>500</v>
      </c>
      <c r="Y238" s="103" t="str">
        <f aca="false">IF(DATA_PIPELINE!$X238=0,"Paid",IF(DATA_PIPELINE!$W238=0,"Unpaid","Partly Paid"))</f>
        <v>Unpaid</v>
      </c>
    </row>
    <row r="239" customFormat="false" ht="15" hidden="false" customHeight="true" outlineLevel="0" collapsed="false">
      <c r="A239" s="103" t="n">
        <v>234</v>
      </c>
      <c r="B239" s="103" t="s">
        <v>849</v>
      </c>
      <c r="C239" s="103" t="s">
        <v>850</v>
      </c>
      <c r="D239" s="103" t="s">
        <v>803</v>
      </c>
      <c r="E239" s="103" t="s">
        <v>851</v>
      </c>
      <c r="F239" s="103" t="n">
        <v>772307644</v>
      </c>
      <c r="G239" s="103" t="s">
        <v>533</v>
      </c>
      <c r="H239" s="103" t="s">
        <v>174</v>
      </c>
      <c r="I239" s="103" t="n">
        <v>2</v>
      </c>
      <c r="J239" s="103" t="s">
        <v>175</v>
      </c>
      <c r="K239" s="103" t="n">
        <v>0</v>
      </c>
      <c r="L239" s="103" t="n">
        <v>0</v>
      </c>
      <c r="M239" s="103" t="n">
        <v>0</v>
      </c>
      <c r="N239" s="103" t="n">
        <v>0</v>
      </c>
      <c r="O239" s="103" t="n">
        <v>3627.87</v>
      </c>
      <c r="P239" s="103" t="n">
        <v>0</v>
      </c>
      <c r="Q239" s="103" t="n">
        <v>0</v>
      </c>
      <c r="R239" s="103" t="n">
        <v>3627.87</v>
      </c>
      <c r="S239" s="103" t="s">
        <v>176</v>
      </c>
      <c r="T239" s="103" t="n">
        <v>0</v>
      </c>
      <c r="U239" s="103" t="s">
        <v>177</v>
      </c>
      <c r="V239" s="103" t="n">
        <v>500</v>
      </c>
      <c r="W239" s="103" t="n">
        <f aca="false">DATA_PIPELINE!$K239</f>
        <v>0</v>
      </c>
      <c r="X239" s="103" t="n">
        <f aca="false">DATA_PIPELINE!$V239-DATA_PIPELINE!$W239</f>
        <v>500</v>
      </c>
      <c r="Y239" s="103" t="str">
        <f aca="false">IF(DATA_PIPELINE!$X239=0,"Paid",IF(DATA_PIPELINE!$W239=0,"Unpaid","Partly Paid"))</f>
        <v>Unpaid</v>
      </c>
    </row>
    <row r="240" customFormat="false" ht="15" hidden="false" customHeight="true" outlineLevel="0" collapsed="false">
      <c r="A240" s="103" t="n">
        <v>235</v>
      </c>
      <c r="B240" s="103" t="s">
        <v>852</v>
      </c>
      <c r="C240" s="103" t="s">
        <v>819</v>
      </c>
      <c r="D240" s="103" t="s">
        <v>803</v>
      </c>
      <c r="E240" s="103" t="s">
        <v>853</v>
      </c>
      <c r="F240" s="103" t="n">
        <v>786591840</v>
      </c>
      <c r="G240" s="103" t="s">
        <v>533</v>
      </c>
      <c r="H240" s="103" t="s">
        <v>174</v>
      </c>
      <c r="I240" s="103" t="n">
        <v>10</v>
      </c>
      <c r="J240" s="103" t="s">
        <v>175</v>
      </c>
      <c r="K240" s="103" t="n">
        <v>500</v>
      </c>
      <c r="L240" s="103" t="n">
        <v>0</v>
      </c>
      <c r="M240" s="103" t="n">
        <v>0</v>
      </c>
      <c r="N240" s="103" t="n">
        <v>30</v>
      </c>
      <c r="O240" s="103" t="n">
        <v>6192.57</v>
      </c>
      <c r="P240" s="103" t="n">
        <v>0</v>
      </c>
      <c r="Q240" s="103" t="n">
        <v>0</v>
      </c>
      <c r="R240" s="103" t="n">
        <v>6192.57</v>
      </c>
      <c r="S240" s="103" t="s">
        <v>176</v>
      </c>
      <c r="T240" s="103" t="n">
        <v>30</v>
      </c>
      <c r="U240" s="103" t="s">
        <v>177</v>
      </c>
      <c r="V240" s="103" t="n">
        <v>500</v>
      </c>
      <c r="W240" s="103" t="n">
        <f aca="false">DATA_PIPELINE!$K240</f>
        <v>500</v>
      </c>
      <c r="X240" s="103" t="n">
        <f aca="false">DATA_PIPELINE!$V240-DATA_PIPELINE!$W240</f>
        <v>0</v>
      </c>
      <c r="Y240" s="103" t="str">
        <f aca="false">IF(DATA_PIPELINE!$X240=0,"Paid",IF(DATA_PIPELINE!$W240=0,"Unpaid","Partly Paid"))</f>
        <v>Paid</v>
      </c>
    </row>
    <row r="241" customFormat="false" ht="15" hidden="false" customHeight="true" outlineLevel="0" collapsed="false">
      <c r="A241" s="103" t="n">
        <v>236</v>
      </c>
      <c r="B241" s="103" t="s">
        <v>854</v>
      </c>
      <c r="C241" s="103" t="s">
        <v>855</v>
      </c>
      <c r="D241" s="103" t="s">
        <v>803</v>
      </c>
      <c r="E241" s="103" t="s">
        <v>856</v>
      </c>
      <c r="F241" s="103" t="n">
        <v>772798686</v>
      </c>
      <c r="G241" s="103" t="s">
        <v>533</v>
      </c>
      <c r="H241" s="103" t="s">
        <v>174</v>
      </c>
      <c r="I241" s="103" t="n">
        <v>10</v>
      </c>
      <c r="J241" s="103" t="s">
        <v>175</v>
      </c>
      <c r="K241" s="103" t="n">
        <v>0</v>
      </c>
      <c r="L241" s="103" t="n">
        <v>0</v>
      </c>
      <c r="M241" s="103" t="n">
        <v>0</v>
      </c>
      <c r="N241" s="103" t="n">
        <v>30</v>
      </c>
      <c r="O241" s="103" t="n">
        <v>5460.93</v>
      </c>
      <c r="P241" s="103" t="n">
        <v>0</v>
      </c>
      <c r="Q241" s="103" t="n">
        <v>0</v>
      </c>
      <c r="R241" s="103" t="n">
        <v>5460.93</v>
      </c>
      <c r="S241" s="103" t="s">
        <v>176</v>
      </c>
      <c r="T241" s="103" t="n">
        <v>30</v>
      </c>
      <c r="U241" s="103" t="s">
        <v>177</v>
      </c>
      <c r="V241" s="103" t="n">
        <v>500</v>
      </c>
      <c r="W241" s="103" t="n">
        <f aca="false">DATA_PIPELINE!$K241</f>
        <v>0</v>
      </c>
      <c r="X241" s="103" t="n">
        <f aca="false">DATA_PIPELINE!$V241-DATA_PIPELINE!$W241</f>
        <v>500</v>
      </c>
      <c r="Y241" s="103" t="str">
        <f aca="false">IF(DATA_PIPELINE!$X241=0,"Paid",IF(DATA_PIPELINE!$W241=0,"Unpaid","Partly Paid"))</f>
        <v>Unpaid</v>
      </c>
    </row>
    <row r="242" customFormat="false" ht="15" hidden="false" customHeight="true" outlineLevel="0" collapsed="false">
      <c r="A242" s="103" t="n">
        <v>237</v>
      </c>
      <c r="B242" s="103" t="s">
        <v>857</v>
      </c>
      <c r="C242" s="103" t="s">
        <v>858</v>
      </c>
      <c r="D242" s="103" t="s">
        <v>803</v>
      </c>
      <c r="E242" s="103" t="s">
        <v>859</v>
      </c>
      <c r="F242" s="103" t="n">
        <v>772960180</v>
      </c>
      <c r="G242" s="103" t="s">
        <v>533</v>
      </c>
      <c r="H242" s="103" t="s">
        <v>174</v>
      </c>
      <c r="I242" s="103" t="n">
        <v>10</v>
      </c>
      <c r="J242" s="103" t="s">
        <v>175</v>
      </c>
      <c r="K242" s="103" t="n">
        <v>100</v>
      </c>
      <c r="L242" s="103" t="n">
        <v>400</v>
      </c>
      <c r="M242" s="103" t="n">
        <v>0</v>
      </c>
      <c r="N242" s="103" t="n">
        <v>20</v>
      </c>
      <c r="O242" s="103" t="n">
        <v>7552.84</v>
      </c>
      <c r="P242" s="103" t="n">
        <v>0</v>
      </c>
      <c r="Q242" s="103" t="n">
        <v>0</v>
      </c>
      <c r="R242" s="103" t="n">
        <v>7552.84</v>
      </c>
      <c r="S242" s="103" t="s">
        <v>176</v>
      </c>
      <c r="T242" s="103" t="n">
        <v>20</v>
      </c>
      <c r="U242" s="103" t="s">
        <v>177</v>
      </c>
      <c r="V242" s="103" t="n">
        <v>500</v>
      </c>
      <c r="W242" s="103" t="n">
        <f aca="false">DATA_PIPELINE!$K242</f>
        <v>100</v>
      </c>
      <c r="X242" s="103" t="n">
        <f aca="false">DATA_PIPELINE!$V242-DATA_PIPELINE!$W242</f>
        <v>400</v>
      </c>
      <c r="Y242" s="103" t="str">
        <f aca="false">IF(DATA_PIPELINE!$X242=0,"Paid",IF(DATA_PIPELINE!$W242=0,"Unpaid","Partly Paid"))</f>
        <v>Partly Paid</v>
      </c>
    </row>
    <row r="243" customFormat="false" ht="15" hidden="false" customHeight="true" outlineLevel="0" collapsed="false">
      <c r="A243" s="103" t="n">
        <v>238</v>
      </c>
      <c r="B243" s="103" t="s">
        <v>860</v>
      </c>
      <c r="C243" s="103" t="s">
        <v>861</v>
      </c>
      <c r="D243" s="103" t="s">
        <v>803</v>
      </c>
      <c r="E243" s="103" t="s">
        <v>862</v>
      </c>
      <c r="F243" s="103" t="n">
        <v>783700309</v>
      </c>
      <c r="G243" s="103" t="s">
        <v>533</v>
      </c>
      <c r="H243" s="103" t="s">
        <v>174</v>
      </c>
      <c r="I243" s="103" t="n">
        <v>10</v>
      </c>
      <c r="J243" s="103" t="s">
        <v>175</v>
      </c>
      <c r="K243" s="103" t="n">
        <v>0</v>
      </c>
      <c r="L243" s="103" t="n">
        <v>0</v>
      </c>
      <c r="M243" s="103" t="n">
        <v>0</v>
      </c>
      <c r="N243" s="103" t="n">
        <v>10</v>
      </c>
      <c r="O243" s="103" t="n">
        <v>1640.73</v>
      </c>
      <c r="P243" s="103" t="n">
        <v>0</v>
      </c>
      <c r="Q243" s="103" t="n">
        <v>0</v>
      </c>
      <c r="R243" s="103" t="n">
        <v>1640.73</v>
      </c>
      <c r="S243" s="103" t="s">
        <v>176</v>
      </c>
      <c r="T243" s="103" t="n">
        <v>10</v>
      </c>
      <c r="U243" s="103" t="s">
        <v>177</v>
      </c>
      <c r="V243" s="103" t="n">
        <v>500</v>
      </c>
      <c r="W243" s="103" t="n">
        <f aca="false">DATA_PIPELINE!$K243</f>
        <v>0</v>
      </c>
      <c r="X243" s="103" t="n">
        <f aca="false">DATA_PIPELINE!$V243-DATA_PIPELINE!$W243</f>
        <v>500</v>
      </c>
      <c r="Y243" s="103" t="str">
        <f aca="false">IF(DATA_PIPELINE!$X243=0,"Paid",IF(DATA_PIPELINE!$W243=0,"Unpaid","Partly Paid"))</f>
        <v>Unpaid</v>
      </c>
    </row>
    <row r="244" customFormat="false" ht="15" hidden="false" customHeight="true" outlineLevel="0" collapsed="false">
      <c r="A244" s="103" t="n">
        <v>239</v>
      </c>
      <c r="B244" s="103" t="s">
        <v>863</v>
      </c>
      <c r="C244" s="103" t="s">
        <v>864</v>
      </c>
      <c r="D244" s="103" t="s">
        <v>803</v>
      </c>
      <c r="E244" s="103" t="s">
        <v>865</v>
      </c>
      <c r="F244" s="103" t="n">
        <v>771309693</v>
      </c>
      <c r="G244" s="103" t="s">
        <v>533</v>
      </c>
      <c r="H244" s="103" t="s">
        <v>174</v>
      </c>
      <c r="I244" s="103" t="n">
        <v>10</v>
      </c>
      <c r="J244" s="103" t="s">
        <v>175</v>
      </c>
      <c r="K244" s="103" t="n">
        <v>0</v>
      </c>
      <c r="L244" s="103" t="n">
        <v>0</v>
      </c>
      <c r="M244" s="103" t="n">
        <v>0</v>
      </c>
      <c r="N244" s="103" t="n">
        <v>10</v>
      </c>
      <c r="O244" s="103" t="n">
        <v>2488.21</v>
      </c>
      <c r="P244" s="103" t="n">
        <v>0</v>
      </c>
      <c r="Q244" s="103" t="n">
        <v>0</v>
      </c>
      <c r="R244" s="103" t="n">
        <v>2488.21</v>
      </c>
      <c r="S244" s="103" t="s">
        <v>176</v>
      </c>
      <c r="T244" s="103" t="n">
        <v>10</v>
      </c>
      <c r="U244" s="103" t="s">
        <v>177</v>
      </c>
      <c r="V244" s="103" t="n">
        <v>500</v>
      </c>
      <c r="W244" s="103" t="n">
        <f aca="false">DATA_PIPELINE!$K244</f>
        <v>0</v>
      </c>
      <c r="X244" s="103" t="n">
        <f aca="false">DATA_PIPELINE!$V244-DATA_PIPELINE!$W244</f>
        <v>500</v>
      </c>
      <c r="Y244" s="103" t="str">
        <f aca="false">IF(DATA_PIPELINE!$X244=0,"Paid",IF(DATA_PIPELINE!$W244=0,"Unpaid","Partly Paid"))</f>
        <v>Unpaid</v>
      </c>
    </row>
    <row r="245" customFormat="false" ht="15" hidden="false" customHeight="true" outlineLevel="0" collapsed="false">
      <c r="A245" s="103" t="n">
        <v>240</v>
      </c>
      <c r="B245" s="103" t="s">
        <v>866</v>
      </c>
      <c r="C245" s="103" t="s">
        <v>867</v>
      </c>
      <c r="D245" s="103" t="s">
        <v>803</v>
      </c>
      <c r="E245" s="103" t="s">
        <v>868</v>
      </c>
      <c r="F245" s="103" t="n">
        <v>773919371</v>
      </c>
      <c r="G245" s="103" t="s">
        <v>533</v>
      </c>
      <c r="H245" s="103" t="s">
        <v>174</v>
      </c>
      <c r="I245" s="103" t="n">
        <v>10</v>
      </c>
      <c r="J245" s="103" t="s">
        <v>175</v>
      </c>
      <c r="K245" s="103" t="n">
        <v>100</v>
      </c>
      <c r="L245" s="103" t="n">
        <v>400</v>
      </c>
      <c r="M245" s="103" t="n">
        <v>0</v>
      </c>
      <c r="N245" s="103" t="n">
        <v>40</v>
      </c>
      <c r="O245" s="103" t="n">
        <v>8138.9</v>
      </c>
      <c r="P245" s="103" t="n">
        <v>1.088</v>
      </c>
      <c r="Q245" s="103" t="n">
        <v>396.85</v>
      </c>
      <c r="R245" s="103" t="n">
        <v>7742.06</v>
      </c>
      <c r="S245" s="103" t="n">
        <v>4.88</v>
      </c>
      <c r="T245" s="103" t="n">
        <v>40</v>
      </c>
      <c r="U245" s="103" t="s">
        <v>177</v>
      </c>
      <c r="V245" s="103" t="n">
        <v>500</v>
      </c>
      <c r="W245" s="103" t="n">
        <f aca="false">DATA_PIPELINE!$K245</f>
        <v>100</v>
      </c>
      <c r="X245" s="103" t="n">
        <f aca="false">DATA_PIPELINE!$V245-DATA_PIPELINE!$W245</f>
        <v>400</v>
      </c>
      <c r="Y245" s="103" t="str">
        <f aca="false">IF(DATA_PIPELINE!$X245=0,"Paid",IF(DATA_PIPELINE!$W245=0,"Unpaid","Partly Paid"))</f>
        <v>Partly Paid</v>
      </c>
    </row>
    <row r="246" customFormat="false" ht="15" hidden="false" customHeight="true" outlineLevel="0" collapsed="false">
      <c r="A246" s="103" t="n">
        <v>241</v>
      </c>
      <c r="B246" s="103" t="s">
        <v>869</v>
      </c>
      <c r="C246" s="103" t="s">
        <v>870</v>
      </c>
      <c r="D246" s="103" t="s">
        <v>803</v>
      </c>
      <c r="E246" s="103" t="s">
        <v>871</v>
      </c>
      <c r="F246" s="103" t="n">
        <v>763762090</v>
      </c>
      <c r="G246" s="103" t="s">
        <v>533</v>
      </c>
      <c r="H246" s="103" t="s">
        <v>174</v>
      </c>
      <c r="I246" s="103" t="n">
        <v>10</v>
      </c>
      <c r="J246" s="103" t="s">
        <v>175</v>
      </c>
      <c r="K246" s="103" t="n">
        <v>0</v>
      </c>
      <c r="L246" s="103" t="n">
        <v>0</v>
      </c>
      <c r="M246" s="103" t="n">
        <v>0</v>
      </c>
      <c r="N246" s="103" t="n">
        <v>30</v>
      </c>
      <c r="O246" s="103" t="n">
        <v>3694.4</v>
      </c>
      <c r="P246" s="103" t="n">
        <v>0</v>
      </c>
      <c r="Q246" s="103" t="n">
        <v>0</v>
      </c>
      <c r="R246" s="103" t="n">
        <v>3694.4</v>
      </c>
      <c r="S246" s="103" t="s">
        <v>176</v>
      </c>
      <c r="T246" s="103" t="n">
        <v>30</v>
      </c>
      <c r="U246" s="103" t="s">
        <v>177</v>
      </c>
      <c r="V246" s="103" t="n">
        <v>500</v>
      </c>
      <c r="W246" s="103" t="n">
        <f aca="false">DATA_PIPELINE!$K246</f>
        <v>0</v>
      </c>
      <c r="X246" s="103" t="n">
        <f aca="false">DATA_PIPELINE!$V246-DATA_PIPELINE!$W246</f>
        <v>500</v>
      </c>
      <c r="Y246" s="103" t="str">
        <f aca="false">IF(DATA_PIPELINE!$X246=0,"Paid",IF(DATA_PIPELINE!$W246=0,"Unpaid","Partly Paid"))</f>
        <v>Unpaid</v>
      </c>
    </row>
    <row r="247" customFormat="false" ht="15" hidden="false" customHeight="true" outlineLevel="0" collapsed="false">
      <c r="A247" s="103" t="n">
        <v>242</v>
      </c>
      <c r="B247" s="103" t="s">
        <v>872</v>
      </c>
      <c r="C247" s="103" t="s">
        <v>873</v>
      </c>
      <c r="D247" s="103" t="s">
        <v>803</v>
      </c>
      <c r="E247" s="103" t="s">
        <v>874</v>
      </c>
      <c r="F247" s="103" t="n">
        <v>763736570</v>
      </c>
      <c r="G247" s="103" t="s">
        <v>533</v>
      </c>
      <c r="H247" s="103" t="s">
        <v>174</v>
      </c>
      <c r="I247" s="103" t="n">
        <v>10</v>
      </c>
      <c r="J247" s="103" t="s">
        <v>175</v>
      </c>
      <c r="K247" s="103" t="n">
        <v>100</v>
      </c>
      <c r="L247" s="103" t="n">
        <v>400</v>
      </c>
      <c r="M247" s="103" t="n">
        <v>20</v>
      </c>
      <c r="N247" s="103" t="n">
        <v>40</v>
      </c>
      <c r="O247" s="103" t="n">
        <v>5833.31</v>
      </c>
      <c r="P247" s="103" t="n">
        <v>0</v>
      </c>
      <c r="Q247" s="103" t="n">
        <v>0</v>
      </c>
      <c r="R247" s="103" t="n">
        <v>5833.31</v>
      </c>
      <c r="S247" s="103" t="s">
        <v>176</v>
      </c>
      <c r="T247" s="103" t="n">
        <v>60</v>
      </c>
      <c r="U247" s="103" t="s">
        <v>177</v>
      </c>
      <c r="V247" s="103" t="n">
        <v>500</v>
      </c>
      <c r="W247" s="103" t="n">
        <f aca="false">DATA_PIPELINE!$K247</f>
        <v>100</v>
      </c>
      <c r="X247" s="103" t="n">
        <f aca="false">DATA_PIPELINE!$V247-DATA_PIPELINE!$W247</f>
        <v>400</v>
      </c>
      <c r="Y247" s="103" t="str">
        <f aca="false">IF(DATA_PIPELINE!$X247=0,"Paid",IF(DATA_PIPELINE!$W247=0,"Unpaid","Partly Paid"))</f>
        <v>Partly Paid</v>
      </c>
    </row>
    <row r="248" customFormat="false" ht="15" hidden="false" customHeight="true" outlineLevel="0" collapsed="false">
      <c r="A248" s="103" t="n">
        <v>243</v>
      </c>
      <c r="B248" s="103" t="s">
        <v>875</v>
      </c>
      <c r="C248" s="103" t="s">
        <v>876</v>
      </c>
      <c r="D248" s="103" t="s">
        <v>803</v>
      </c>
      <c r="E248" s="103" t="s">
        <v>877</v>
      </c>
      <c r="F248" s="103" t="n">
        <v>712289971</v>
      </c>
      <c r="G248" s="103" t="s">
        <v>533</v>
      </c>
      <c r="H248" s="103" t="s">
        <v>174</v>
      </c>
      <c r="I248" s="103" t="n">
        <v>10</v>
      </c>
      <c r="J248" s="103" t="s">
        <v>175</v>
      </c>
      <c r="K248" s="103" t="n">
        <v>0</v>
      </c>
      <c r="L248" s="103" t="n">
        <v>0</v>
      </c>
      <c r="M248" s="103" t="n">
        <v>0</v>
      </c>
      <c r="N248" s="103" t="n">
        <v>20</v>
      </c>
      <c r="O248" s="103" t="n">
        <v>2716.64</v>
      </c>
      <c r="P248" s="103" t="n">
        <v>0</v>
      </c>
      <c r="Q248" s="103" t="n">
        <v>0</v>
      </c>
      <c r="R248" s="103" t="n">
        <v>2716.64</v>
      </c>
      <c r="S248" s="103" t="s">
        <v>176</v>
      </c>
      <c r="T248" s="103" t="n">
        <v>20</v>
      </c>
      <c r="U248" s="103" t="s">
        <v>177</v>
      </c>
      <c r="V248" s="103" t="n">
        <v>500</v>
      </c>
      <c r="W248" s="103" t="n">
        <f aca="false">DATA_PIPELINE!$K248</f>
        <v>0</v>
      </c>
      <c r="X248" s="103" t="n">
        <f aca="false">DATA_PIPELINE!$V248-DATA_PIPELINE!$W248</f>
        <v>500</v>
      </c>
      <c r="Y248" s="103" t="str">
        <f aca="false">IF(DATA_PIPELINE!$X248=0,"Paid",IF(DATA_PIPELINE!$W248=0,"Unpaid","Partly Paid"))</f>
        <v>Unpaid</v>
      </c>
    </row>
    <row r="249" customFormat="false" ht="15" hidden="false" customHeight="true" outlineLevel="0" collapsed="false">
      <c r="A249" s="103" t="n">
        <v>244</v>
      </c>
      <c r="B249" s="103" t="s">
        <v>878</v>
      </c>
      <c r="C249" s="103" t="s">
        <v>879</v>
      </c>
      <c r="D249" s="103" t="s">
        <v>803</v>
      </c>
      <c r="E249" s="103" t="s">
        <v>880</v>
      </c>
      <c r="F249" s="103" t="n">
        <v>717274727</v>
      </c>
      <c r="G249" s="103" t="s">
        <v>533</v>
      </c>
      <c r="H249" s="103" t="s">
        <v>174</v>
      </c>
      <c r="I249" s="103" t="n">
        <v>2</v>
      </c>
      <c r="J249" s="103" t="s">
        <v>175</v>
      </c>
      <c r="K249" s="103" t="n">
        <v>100</v>
      </c>
      <c r="L249" s="103" t="n">
        <v>400</v>
      </c>
      <c r="M249" s="103" t="n">
        <v>10</v>
      </c>
      <c r="N249" s="103" t="n">
        <v>20</v>
      </c>
      <c r="O249" s="103" t="n">
        <v>11518.16</v>
      </c>
      <c r="P249" s="103" t="n">
        <v>0</v>
      </c>
      <c r="Q249" s="103" t="n">
        <v>0</v>
      </c>
      <c r="R249" s="103" t="n">
        <v>11518.16</v>
      </c>
      <c r="S249" s="103" t="s">
        <v>176</v>
      </c>
      <c r="T249" s="103" t="n">
        <v>30</v>
      </c>
      <c r="U249" s="103" t="s">
        <v>177</v>
      </c>
      <c r="V249" s="103" t="n">
        <v>500</v>
      </c>
      <c r="W249" s="103" t="n">
        <f aca="false">DATA_PIPELINE!$K249</f>
        <v>100</v>
      </c>
      <c r="X249" s="103" t="n">
        <f aca="false">DATA_PIPELINE!$V249-DATA_PIPELINE!$W249</f>
        <v>400</v>
      </c>
      <c r="Y249" s="103" t="str">
        <f aca="false">IF(DATA_PIPELINE!$X249=0,"Paid",IF(DATA_PIPELINE!$W249=0,"Unpaid","Partly Paid"))</f>
        <v>Partly Paid</v>
      </c>
    </row>
    <row r="250" customFormat="false" ht="15" hidden="false" customHeight="true" outlineLevel="0" collapsed="false">
      <c r="A250" s="103" t="n">
        <v>245</v>
      </c>
      <c r="B250" s="103" t="s">
        <v>881</v>
      </c>
      <c r="C250" s="103" t="s">
        <v>882</v>
      </c>
      <c r="D250" s="103" t="s">
        <v>803</v>
      </c>
      <c r="E250" s="103" t="s">
        <v>883</v>
      </c>
      <c r="F250" s="103" t="n">
        <v>772428425</v>
      </c>
      <c r="G250" s="103" t="s">
        <v>533</v>
      </c>
      <c r="H250" s="103" t="s">
        <v>174</v>
      </c>
      <c r="I250" s="103" t="n">
        <v>10</v>
      </c>
      <c r="J250" s="103" t="s">
        <v>175</v>
      </c>
      <c r="K250" s="103" t="n">
        <v>0</v>
      </c>
      <c r="L250" s="103" t="n">
        <v>0</v>
      </c>
      <c r="M250" s="103" t="n">
        <v>20</v>
      </c>
      <c r="N250" s="103" t="n">
        <v>40</v>
      </c>
      <c r="O250" s="103" t="n">
        <v>11189.25</v>
      </c>
      <c r="P250" s="103" t="n">
        <v>0</v>
      </c>
      <c r="Q250" s="103" t="n">
        <v>0</v>
      </c>
      <c r="R250" s="103" t="n">
        <v>11189.25</v>
      </c>
      <c r="S250" s="103" t="s">
        <v>176</v>
      </c>
      <c r="T250" s="103" t="n">
        <v>60</v>
      </c>
      <c r="U250" s="103" t="s">
        <v>177</v>
      </c>
      <c r="V250" s="103" t="n">
        <v>500</v>
      </c>
      <c r="W250" s="103" t="n">
        <f aca="false">DATA_PIPELINE!$K250</f>
        <v>0</v>
      </c>
      <c r="X250" s="103" t="n">
        <f aca="false">DATA_PIPELINE!$V250-DATA_PIPELINE!$W250</f>
        <v>500</v>
      </c>
      <c r="Y250" s="103" t="str">
        <f aca="false">IF(DATA_PIPELINE!$X250=0,"Paid",IF(DATA_PIPELINE!$W250=0,"Unpaid","Partly Paid"))</f>
        <v>Unpaid</v>
      </c>
    </row>
    <row r="251" customFormat="false" ht="15" hidden="false" customHeight="true" outlineLevel="0" collapsed="false">
      <c r="A251" s="103" t="n">
        <v>246</v>
      </c>
      <c r="B251" s="103" t="s">
        <v>884</v>
      </c>
      <c r="C251" s="103" t="s">
        <v>885</v>
      </c>
      <c r="D251" s="103" t="s">
        <v>803</v>
      </c>
      <c r="E251" s="103" t="s">
        <v>886</v>
      </c>
      <c r="F251" s="103" t="n">
        <v>719516922</v>
      </c>
      <c r="G251" s="103" t="s">
        <v>533</v>
      </c>
      <c r="H251" s="103" t="s">
        <v>174</v>
      </c>
      <c r="I251" s="103" t="n">
        <v>10</v>
      </c>
      <c r="J251" s="103" t="s">
        <v>175</v>
      </c>
      <c r="K251" s="103" t="n">
        <v>0</v>
      </c>
      <c r="L251" s="103" t="n">
        <v>0</v>
      </c>
      <c r="M251" s="103" t="n">
        <v>0</v>
      </c>
      <c r="N251" s="103" t="n">
        <v>20</v>
      </c>
      <c r="O251" s="103" t="n">
        <v>4841.99</v>
      </c>
      <c r="P251" s="103" t="n">
        <v>0</v>
      </c>
      <c r="Q251" s="103" t="n">
        <v>0</v>
      </c>
      <c r="R251" s="103" t="n">
        <v>4841.99</v>
      </c>
      <c r="S251" s="103" t="s">
        <v>176</v>
      </c>
      <c r="T251" s="103" t="n">
        <v>20</v>
      </c>
      <c r="U251" s="103" t="s">
        <v>177</v>
      </c>
      <c r="V251" s="103" t="n">
        <v>500</v>
      </c>
      <c r="W251" s="103" t="n">
        <f aca="false">DATA_PIPELINE!$K251</f>
        <v>0</v>
      </c>
      <c r="X251" s="103" t="n">
        <f aca="false">DATA_PIPELINE!$V251-DATA_PIPELINE!$W251</f>
        <v>500</v>
      </c>
      <c r="Y251" s="103" t="str">
        <f aca="false">IF(DATA_PIPELINE!$X251=0,"Paid",IF(DATA_PIPELINE!$W251=0,"Unpaid","Partly Paid"))</f>
        <v>Unpaid</v>
      </c>
    </row>
    <row r="252" customFormat="false" ht="15" hidden="false" customHeight="true" outlineLevel="0" collapsed="false">
      <c r="A252" s="103" t="n">
        <v>247</v>
      </c>
      <c r="B252" s="103" t="s">
        <v>887</v>
      </c>
      <c r="C252" s="103" t="s">
        <v>888</v>
      </c>
      <c r="D252" s="103" t="s">
        <v>803</v>
      </c>
      <c r="E252" s="103" t="s">
        <v>889</v>
      </c>
      <c r="F252" s="103" t="n">
        <v>713845037</v>
      </c>
      <c r="G252" s="103" t="s">
        <v>533</v>
      </c>
      <c r="H252" s="103" t="s">
        <v>174</v>
      </c>
      <c r="I252" s="103" t="n">
        <v>10</v>
      </c>
      <c r="J252" s="103" t="s">
        <v>175</v>
      </c>
      <c r="K252" s="103" t="n">
        <v>0</v>
      </c>
      <c r="L252" s="103" t="n">
        <v>0</v>
      </c>
      <c r="M252" s="103" t="n">
        <v>0</v>
      </c>
      <c r="N252" s="103" t="n">
        <v>100</v>
      </c>
      <c r="O252" s="103" t="n">
        <v>15302.15</v>
      </c>
      <c r="P252" s="103" t="n">
        <v>0</v>
      </c>
      <c r="Q252" s="103" t="n">
        <v>0</v>
      </c>
      <c r="R252" s="103" t="n">
        <v>15302.15</v>
      </c>
      <c r="S252" s="103" t="s">
        <v>176</v>
      </c>
      <c r="T252" s="103" t="n">
        <v>100</v>
      </c>
      <c r="U252" s="103" t="s">
        <v>177</v>
      </c>
      <c r="V252" s="103" t="n">
        <v>500</v>
      </c>
      <c r="W252" s="103" t="n">
        <f aca="false">DATA_PIPELINE!$K252</f>
        <v>0</v>
      </c>
      <c r="X252" s="103" t="n">
        <f aca="false">DATA_PIPELINE!$V252-DATA_PIPELINE!$W252</f>
        <v>500</v>
      </c>
      <c r="Y252" s="103" t="str">
        <f aca="false">IF(DATA_PIPELINE!$X252=0,"Paid",IF(DATA_PIPELINE!$W252=0,"Unpaid","Partly Paid"))</f>
        <v>Unpaid</v>
      </c>
    </row>
    <row r="253" customFormat="false" ht="15" hidden="false" customHeight="true" outlineLevel="0" collapsed="false">
      <c r="A253" s="103" t="n">
        <v>248</v>
      </c>
      <c r="B253" s="103" t="s">
        <v>890</v>
      </c>
      <c r="C253" s="103" t="s">
        <v>891</v>
      </c>
      <c r="D253" s="103" t="s">
        <v>803</v>
      </c>
      <c r="E253" s="103" t="s">
        <v>892</v>
      </c>
      <c r="F253" s="103" t="n">
        <v>778180832</v>
      </c>
      <c r="G253" s="103" t="s">
        <v>533</v>
      </c>
      <c r="H253" s="103" t="s">
        <v>174</v>
      </c>
      <c r="I253" s="103" t="n">
        <v>10</v>
      </c>
      <c r="J253" s="103" t="s">
        <v>350</v>
      </c>
      <c r="K253" s="103" t="n">
        <v>0</v>
      </c>
      <c r="L253" s="103" t="n">
        <v>0</v>
      </c>
      <c r="M253" s="103" t="n">
        <v>0</v>
      </c>
      <c r="N253" s="103" t="n">
        <v>15</v>
      </c>
      <c r="O253" s="103" t="n">
        <v>0</v>
      </c>
      <c r="P253" s="103" t="n">
        <v>0</v>
      </c>
      <c r="Q253" s="103" t="n">
        <v>0</v>
      </c>
      <c r="R253" s="103" t="n">
        <v>0</v>
      </c>
      <c r="S253" s="103"/>
      <c r="T253" s="103" t="n">
        <v>15</v>
      </c>
      <c r="U253" s="103" t="s">
        <v>177</v>
      </c>
      <c r="V253" s="103" t="n">
        <v>500</v>
      </c>
      <c r="W253" s="103" t="n">
        <f aca="false">DATA_PIPELINE!$K253</f>
        <v>0</v>
      </c>
      <c r="X253" s="103" t="n">
        <f aca="false">DATA_PIPELINE!$V253-DATA_PIPELINE!$W253</f>
        <v>500</v>
      </c>
      <c r="Y253" s="103" t="str">
        <f aca="false">IF(DATA_PIPELINE!$X253=0,"Paid",IF(DATA_PIPELINE!$W253=0,"Unpaid","Partly Paid"))</f>
        <v>Unpaid</v>
      </c>
    </row>
    <row r="254" customFormat="false" ht="15" hidden="false" customHeight="true" outlineLevel="0" collapsed="false">
      <c r="A254" s="103" t="n">
        <v>249</v>
      </c>
      <c r="B254" s="103" t="s">
        <v>893</v>
      </c>
      <c r="C254" s="103" t="s">
        <v>894</v>
      </c>
      <c r="D254" s="103" t="s">
        <v>803</v>
      </c>
      <c r="E254" s="103" t="s">
        <v>895</v>
      </c>
      <c r="F254" s="103" t="n">
        <v>772397337</v>
      </c>
      <c r="G254" s="103" t="s">
        <v>533</v>
      </c>
      <c r="H254" s="103" t="s">
        <v>174</v>
      </c>
      <c r="I254" s="103" t="n">
        <v>10</v>
      </c>
      <c r="J254" s="103" t="s">
        <v>175</v>
      </c>
      <c r="K254" s="103" t="n">
        <v>0</v>
      </c>
      <c r="L254" s="103" t="n">
        <v>0</v>
      </c>
      <c r="M254" s="103" t="n">
        <v>0</v>
      </c>
      <c r="N254" s="103" t="n">
        <v>30</v>
      </c>
      <c r="O254" s="103" t="n">
        <v>1277.64</v>
      </c>
      <c r="P254" s="103" t="n">
        <v>0</v>
      </c>
      <c r="Q254" s="103" t="n">
        <v>0</v>
      </c>
      <c r="R254" s="103" t="n">
        <v>1277.64</v>
      </c>
      <c r="S254" s="103" t="s">
        <v>176</v>
      </c>
      <c r="T254" s="103" t="n">
        <v>30</v>
      </c>
      <c r="U254" s="103" t="s">
        <v>177</v>
      </c>
      <c r="V254" s="103" t="n">
        <v>500</v>
      </c>
      <c r="W254" s="103" t="n">
        <f aca="false">DATA_PIPELINE!$K254</f>
        <v>0</v>
      </c>
      <c r="X254" s="103" t="n">
        <f aca="false">DATA_PIPELINE!$V254-DATA_PIPELINE!$W254</f>
        <v>500</v>
      </c>
      <c r="Y254" s="103" t="str">
        <f aca="false">IF(DATA_PIPELINE!$X254=0,"Paid",IF(DATA_PIPELINE!$W254=0,"Unpaid","Partly Paid"))</f>
        <v>Unpaid</v>
      </c>
    </row>
    <row r="255" customFormat="false" ht="15" hidden="false" customHeight="true" outlineLevel="0" collapsed="false">
      <c r="A255" s="103" t="n">
        <v>250</v>
      </c>
      <c r="B255" s="103" t="s">
        <v>896</v>
      </c>
      <c r="C255" s="103" t="s">
        <v>897</v>
      </c>
      <c r="D255" s="103" t="s">
        <v>803</v>
      </c>
      <c r="E255" s="103" t="s">
        <v>898</v>
      </c>
      <c r="F255" s="103" t="n">
        <v>713808271</v>
      </c>
      <c r="G255" s="103" t="s">
        <v>533</v>
      </c>
      <c r="H255" s="103" t="s">
        <v>174</v>
      </c>
      <c r="I255" s="103" t="n">
        <v>4</v>
      </c>
      <c r="J255" s="103" t="s">
        <v>350</v>
      </c>
      <c r="K255" s="103" t="n">
        <v>0</v>
      </c>
      <c r="L255" s="103" t="n">
        <v>0</v>
      </c>
      <c r="M255" s="103" t="n">
        <v>0</v>
      </c>
      <c r="N255" s="103" t="n">
        <v>15</v>
      </c>
      <c r="O255" s="103" t="n">
        <v>0</v>
      </c>
      <c r="P255" s="103" t="n">
        <v>0</v>
      </c>
      <c r="Q255" s="103" t="n">
        <v>0</v>
      </c>
      <c r="R255" s="103" t="n">
        <v>0</v>
      </c>
      <c r="S255" s="103"/>
      <c r="T255" s="103" t="n">
        <v>15</v>
      </c>
      <c r="U255" s="103" t="s">
        <v>177</v>
      </c>
      <c r="V255" s="103" t="n">
        <v>500</v>
      </c>
      <c r="W255" s="103" t="n">
        <f aca="false">DATA_PIPELINE!$K255</f>
        <v>0</v>
      </c>
      <c r="X255" s="103" t="n">
        <f aca="false">DATA_PIPELINE!$V255-DATA_PIPELINE!$W255</f>
        <v>500</v>
      </c>
      <c r="Y255" s="103" t="str">
        <f aca="false">IF(DATA_PIPELINE!$X255=0,"Paid",IF(DATA_PIPELINE!$W255=0,"Unpaid","Partly Paid"))</f>
        <v>Unpaid</v>
      </c>
    </row>
    <row r="256" customFormat="false" ht="15" hidden="false" customHeight="true" outlineLevel="0" collapsed="false">
      <c r="A256" s="103" t="n">
        <v>251</v>
      </c>
      <c r="B256" s="103" t="s">
        <v>899</v>
      </c>
      <c r="C256" s="103" t="s">
        <v>900</v>
      </c>
      <c r="D256" s="103" t="s">
        <v>803</v>
      </c>
      <c r="E256" s="103" t="s">
        <v>901</v>
      </c>
      <c r="F256" s="103" t="n">
        <v>773202681</v>
      </c>
      <c r="G256" s="103" t="s">
        <v>533</v>
      </c>
      <c r="H256" s="103" t="s">
        <v>174</v>
      </c>
      <c r="I256" s="103" t="n">
        <v>1</v>
      </c>
      <c r="J256" s="103" t="s">
        <v>350</v>
      </c>
      <c r="K256" s="103" t="n">
        <v>100</v>
      </c>
      <c r="L256" s="103" t="n">
        <v>400</v>
      </c>
      <c r="M256" s="103" t="n">
        <v>0</v>
      </c>
      <c r="N256" s="103" t="n">
        <v>20</v>
      </c>
      <c r="O256" s="103" t="n">
        <v>0</v>
      </c>
      <c r="P256" s="103" t="n">
        <v>0</v>
      </c>
      <c r="Q256" s="103" t="n">
        <v>0</v>
      </c>
      <c r="R256" s="103" t="n">
        <v>0</v>
      </c>
      <c r="S256" s="103"/>
      <c r="T256" s="103" t="n">
        <v>20</v>
      </c>
      <c r="U256" s="103" t="s">
        <v>177</v>
      </c>
      <c r="V256" s="103" t="n">
        <v>500</v>
      </c>
      <c r="W256" s="103" t="n">
        <f aca="false">DATA_PIPELINE!$K256</f>
        <v>100</v>
      </c>
      <c r="X256" s="103" t="n">
        <f aca="false">DATA_PIPELINE!$V256-DATA_PIPELINE!$W256</f>
        <v>400</v>
      </c>
      <c r="Y256" s="103" t="str">
        <f aca="false">IF(DATA_PIPELINE!$X256=0,"Paid",IF(DATA_PIPELINE!$W256=0,"Unpaid","Partly Paid"))</f>
        <v>Partly Paid</v>
      </c>
    </row>
    <row r="257" customFormat="false" ht="15" hidden="false" customHeight="true" outlineLevel="0" collapsed="false">
      <c r="A257" s="103" t="n">
        <v>252</v>
      </c>
      <c r="B257" s="103" t="s">
        <v>902</v>
      </c>
      <c r="C257" s="103" t="s">
        <v>903</v>
      </c>
      <c r="D257" s="103" t="s">
        <v>803</v>
      </c>
      <c r="E257" s="103" t="s">
        <v>904</v>
      </c>
      <c r="F257" s="103" t="n">
        <v>772587151</v>
      </c>
      <c r="G257" s="103" t="s">
        <v>533</v>
      </c>
      <c r="H257" s="103" t="s">
        <v>174</v>
      </c>
      <c r="I257" s="103" t="n">
        <v>10</v>
      </c>
      <c r="J257" s="103" t="s">
        <v>350</v>
      </c>
      <c r="K257" s="103" t="n">
        <v>0</v>
      </c>
      <c r="L257" s="103" t="n">
        <v>0</v>
      </c>
      <c r="M257" s="103" t="n">
        <v>0</v>
      </c>
      <c r="N257" s="103" t="n">
        <v>100</v>
      </c>
      <c r="O257" s="103" t="n">
        <v>0</v>
      </c>
      <c r="P257" s="103" t="n">
        <v>0</v>
      </c>
      <c r="Q257" s="103" t="n">
        <v>0</v>
      </c>
      <c r="R257" s="103" t="n">
        <v>0</v>
      </c>
      <c r="S257" s="103"/>
      <c r="T257" s="103" t="n">
        <v>100</v>
      </c>
      <c r="U257" s="103" t="s">
        <v>177</v>
      </c>
      <c r="V257" s="103" t="n">
        <v>500</v>
      </c>
      <c r="W257" s="103" t="n">
        <f aca="false">DATA_PIPELINE!$K257</f>
        <v>0</v>
      </c>
      <c r="X257" s="103" t="n">
        <f aca="false">DATA_PIPELINE!$V257-DATA_PIPELINE!$W257</f>
        <v>500</v>
      </c>
      <c r="Y257" s="103" t="str">
        <f aca="false">IF(DATA_PIPELINE!$X257=0,"Paid",IF(DATA_PIPELINE!$W257=0,"Unpaid","Partly Paid"))</f>
        <v>Unpaid</v>
      </c>
    </row>
    <row r="258" customFormat="false" ht="15" hidden="false" customHeight="true" outlineLevel="0" collapsed="false">
      <c r="A258" s="103" t="n">
        <v>253</v>
      </c>
      <c r="B258" s="103" t="s">
        <v>905</v>
      </c>
      <c r="C258" s="103" t="s">
        <v>906</v>
      </c>
      <c r="D258" s="103" t="s">
        <v>803</v>
      </c>
      <c r="E258" s="103" t="s">
        <v>907</v>
      </c>
      <c r="F258" s="103" t="n">
        <v>773479661</v>
      </c>
      <c r="G258" s="103" t="s">
        <v>533</v>
      </c>
      <c r="H258" s="103" t="s">
        <v>174</v>
      </c>
      <c r="I258" s="103" t="n">
        <v>2</v>
      </c>
      <c r="J258" s="103" t="s">
        <v>350</v>
      </c>
      <c r="K258" s="103" t="n">
        <v>0</v>
      </c>
      <c r="L258" s="103" t="n">
        <v>0</v>
      </c>
      <c r="M258" s="103" t="n">
        <v>6</v>
      </c>
      <c r="N258" s="103" t="n">
        <v>20</v>
      </c>
      <c r="O258" s="103" t="n">
        <v>0</v>
      </c>
      <c r="P258" s="103" t="n">
        <v>0</v>
      </c>
      <c r="Q258" s="103" t="n">
        <v>0</v>
      </c>
      <c r="R258" s="103" t="n">
        <v>0</v>
      </c>
      <c r="S258" s="103"/>
      <c r="T258" s="103" t="n">
        <v>26</v>
      </c>
      <c r="U258" s="103" t="s">
        <v>177</v>
      </c>
      <c r="V258" s="103" t="n">
        <v>500</v>
      </c>
      <c r="W258" s="103" t="n">
        <f aca="false">DATA_PIPELINE!$K258</f>
        <v>0</v>
      </c>
      <c r="X258" s="103" t="n">
        <f aca="false">DATA_PIPELINE!$V258-DATA_PIPELINE!$W258</f>
        <v>500</v>
      </c>
      <c r="Y258" s="103" t="str">
        <f aca="false">IF(DATA_PIPELINE!$X258=0,"Paid",IF(DATA_PIPELINE!$W258=0,"Unpaid","Partly Paid"))</f>
        <v>Unpaid</v>
      </c>
    </row>
    <row r="259" customFormat="false" ht="15" hidden="false" customHeight="true" outlineLevel="0" collapsed="false">
      <c r="A259" s="103" t="n">
        <v>254</v>
      </c>
      <c r="B259" s="103" t="s">
        <v>908</v>
      </c>
      <c r="C259" s="103" t="s">
        <v>847</v>
      </c>
      <c r="D259" s="103" t="s">
        <v>803</v>
      </c>
      <c r="E259" s="103" t="s">
        <v>909</v>
      </c>
      <c r="F259" s="103" t="n">
        <v>772871999</v>
      </c>
      <c r="G259" s="103" t="s">
        <v>533</v>
      </c>
      <c r="H259" s="103" t="s">
        <v>174</v>
      </c>
      <c r="I259" s="103" t="n">
        <v>10</v>
      </c>
      <c r="J259" s="103" t="s">
        <v>350</v>
      </c>
      <c r="K259" s="103" t="n">
        <v>0</v>
      </c>
      <c r="L259" s="103" t="n">
        <v>0</v>
      </c>
      <c r="M259" s="103" t="n">
        <v>0</v>
      </c>
      <c r="N259" s="103" t="n">
        <v>60</v>
      </c>
      <c r="O259" s="103" t="n">
        <v>0</v>
      </c>
      <c r="P259" s="103" t="n">
        <v>0</v>
      </c>
      <c r="Q259" s="103" t="n">
        <v>0</v>
      </c>
      <c r="R259" s="103" t="n">
        <v>0</v>
      </c>
      <c r="S259" s="103"/>
      <c r="T259" s="103" t="n">
        <v>60</v>
      </c>
      <c r="U259" s="103" t="s">
        <v>177</v>
      </c>
      <c r="V259" s="103" t="n">
        <v>500</v>
      </c>
      <c r="W259" s="103" t="n">
        <f aca="false">DATA_PIPELINE!$K259</f>
        <v>0</v>
      </c>
      <c r="X259" s="103" t="n">
        <f aca="false">DATA_PIPELINE!$V259-DATA_PIPELINE!$W259</f>
        <v>500</v>
      </c>
      <c r="Y259" s="103" t="str">
        <f aca="false">IF(DATA_PIPELINE!$X259=0,"Paid",IF(DATA_PIPELINE!$W259=0,"Unpaid","Partly Paid"))</f>
        <v>Unpaid</v>
      </c>
    </row>
    <row r="260" customFormat="false" ht="15" hidden="false" customHeight="true" outlineLevel="0" collapsed="false">
      <c r="A260" s="103" t="n">
        <v>255</v>
      </c>
      <c r="B260" s="103" t="s">
        <v>910</v>
      </c>
      <c r="C260" s="103" t="s">
        <v>911</v>
      </c>
      <c r="D260" s="103" t="s">
        <v>803</v>
      </c>
      <c r="E260" s="103" t="s">
        <v>912</v>
      </c>
      <c r="F260" s="103" t="n">
        <v>714457635</v>
      </c>
      <c r="G260" s="103" t="s">
        <v>533</v>
      </c>
      <c r="H260" s="103" t="s">
        <v>174</v>
      </c>
      <c r="I260" s="103" t="n">
        <v>10</v>
      </c>
      <c r="J260" s="103" t="s">
        <v>350</v>
      </c>
      <c r="K260" s="103" t="n">
        <v>0</v>
      </c>
      <c r="L260" s="103" t="n">
        <v>0</v>
      </c>
      <c r="M260" s="103" t="n">
        <v>0</v>
      </c>
      <c r="N260" s="103" t="n">
        <v>15</v>
      </c>
      <c r="O260" s="103" t="n">
        <v>0</v>
      </c>
      <c r="P260" s="103" t="n">
        <v>0</v>
      </c>
      <c r="Q260" s="103" t="n">
        <v>0</v>
      </c>
      <c r="R260" s="103" t="n">
        <v>0</v>
      </c>
      <c r="S260" s="103"/>
      <c r="T260" s="103" t="n">
        <v>15</v>
      </c>
      <c r="U260" s="103" t="s">
        <v>177</v>
      </c>
      <c r="V260" s="103" t="n">
        <v>500</v>
      </c>
      <c r="W260" s="103" t="n">
        <f aca="false">DATA_PIPELINE!$K260</f>
        <v>0</v>
      </c>
      <c r="X260" s="103" t="n">
        <f aca="false">DATA_PIPELINE!$V260-DATA_PIPELINE!$W260</f>
        <v>500</v>
      </c>
      <c r="Y260" s="103" t="str">
        <f aca="false">IF(DATA_PIPELINE!$X260=0,"Paid",IF(DATA_PIPELINE!$W260=0,"Unpaid","Partly Paid"))</f>
        <v>Unpaid</v>
      </c>
    </row>
    <row r="261" customFormat="false" ht="15" hidden="false" customHeight="true" outlineLevel="0" collapsed="false">
      <c r="A261" s="103" t="n">
        <v>256</v>
      </c>
      <c r="B261" s="103" t="s">
        <v>913</v>
      </c>
      <c r="C261" s="103" t="s">
        <v>767</v>
      </c>
      <c r="D261" s="107" t="s">
        <v>914</v>
      </c>
      <c r="E261" s="103" t="s">
        <v>915</v>
      </c>
      <c r="F261" s="103" t="n">
        <v>771621600</v>
      </c>
      <c r="G261" s="103" t="s">
        <v>533</v>
      </c>
      <c r="H261" s="103" t="s">
        <v>174</v>
      </c>
      <c r="I261" s="103" t="n">
        <v>11</v>
      </c>
      <c r="J261" s="103" t="s">
        <v>350</v>
      </c>
      <c r="K261" s="103" t="n">
        <v>0</v>
      </c>
      <c r="L261" s="103" t="n">
        <v>0</v>
      </c>
      <c r="M261" s="103" t="n">
        <v>0</v>
      </c>
      <c r="N261" s="103" t="n">
        <v>50</v>
      </c>
      <c r="O261" s="103" t="n">
        <v>0</v>
      </c>
      <c r="P261" s="103" t="n">
        <v>0</v>
      </c>
      <c r="Q261" s="103" t="n">
        <v>0</v>
      </c>
      <c r="R261" s="103" t="n">
        <v>0</v>
      </c>
      <c r="S261" s="103"/>
      <c r="T261" s="103" t="n">
        <v>50</v>
      </c>
      <c r="U261" s="103" t="s">
        <v>177</v>
      </c>
      <c r="V261" s="103" t="n">
        <v>500</v>
      </c>
      <c r="W261" s="103" t="n">
        <f aca="false">DATA_PIPELINE!$K261</f>
        <v>0</v>
      </c>
      <c r="X261" s="103" t="n">
        <f aca="false">DATA_PIPELINE!$V261-DATA_PIPELINE!$W261</f>
        <v>500</v>
      </c>
      <c r="Y261" s="103" t="str">
        <f aca="false">IF(DATA_PIPELINE!$X261=0,"Paid",IF(DATA_PIPELINE!$W261=0,"Unpaid","Partly Paid"))</f>
        <v>Unpaid</v>
      </c>
    </row>
    <row r="262" customFormat="false" ht="15" hidden="false" customHeight="true" outlineLevel="0" collapsed="false">
      <c r="A262" s="103" t="n">
        <v>257</v>
      </c>
      <c r="B262" s="103" t="s">
        <v>916</v>
      </c>
      <c r="C262" s="103" t="s">
        <v>917</v>
      </c>
      <c r="D262" s="107" t="s">
        <v>918</v>
      </c>
      <c r="E262" s="103" t="s">
        <v>919</v>
      </c>
      <c r="F262" s="103" t="n">
        <v>710260507</v>
      </c>
      <c r="G262" s="103" t="s">
        <v>533</v>
      </c>
      <c r="H262" s="103" t="s">
        <v>174</v>
      </c>
      <c r="I262" s="103" t="n">
        <v>4</v>
      </c>
      <c r="J262" s="103" t="s">
        <v>175</v>
      </c>
      <c r="K262" s="103" t="n">
        <v>0</v>
      </c>
      <c r="L262" s="103" t="n">
        <v>0</v>
      </c>
      <c r="M262" s="103" t="n">
        <v>0</v>
      </c>
      <c r="N262" s="103" t="n">
        <v>100</v>
      </c>
      <c r="O262" s="103" t="n">
        <v>26297.02</v>
      </c>
      <c r="P262" s="103" t="n">
        <v>0</v>
      </c>
      <c r="Q262" s="103" t="n">
        <v>0</v>
      </c>
      <c r="R262" s="103" t="n">
        <v>26297.02</v>
      </c>
      <c r="S262" s="103" t="s">
        <v>176</v>
      </c>
      <c r="T262" s="103" t="n">
        <v>100</v>
      </c>
      <c r="U262" s="103" t="s">
        <v>177</v>
      </c>
      <c r="V262" s="103" t="n">
        <v>500</v>
      </c>
      <c r="W262" s="103" t="n">
        <f aca="false">DATA_PIPELINE!$K262</f>
        <v>0</v>
      </c>
      <c r="X262" s="103" t="n">
        <f aca="false">DATA_PIPELINE!$V262-DATA_PIPELINE!$W262</f>
        <v>500</v>
      </c>
      <c r="Y262" s="103" t="str">
        <f aca="false">IF(DATA_PIPELINE!$X262=0,"Paid",IF(DATA_PIPELINE!$W262=0,"Unpaid","Partly Paid"))</f>
        <v>Unpaid</v>
      </c>
    </row>
    <row r="263" customFormat="false" ht="15" hidden="false" customHeight="true" outlineLevel="0" collapsed="false">
      <c r="A263" s="103" t="n">
        <v>258</v>
      </c>
      <c r="B263" s="103" t="s">
        <v>920</v>
      </c>
      <c r="C263" s="103" t="s">
        <v>921</v>
      </c>
      <c r="D263" s="107" t="s">
        <v>918</v>
      </c>
      <c r="E263" s="103" t="s">
        <v>922</v>
      </c>
      <c r="F263" s="103" t="n">
        <v>773151409</v>
      </c>
      <c r="G263" s="103" t="s">
        <v>533</v>
      </c>
      <c r="H263" s="103" t="s">
        <v>174</v>
      </c>
      <c r="I263" s="103" t="n">
        <v>4</v>
      </c>
      <c r="J263" s="103" t="s">
        <v>175</v>
      </c>
      <c r="K263" s="103" t="n">
        <v>0</v>
      </c>
      <c r="L263" s="103" t="n">
        <v>0</v>
      </c>
      <c r="M263" s="103" t="n">
        <v>0</v>
      </c>
      <c r="N263" s="103" t="n">
        <v>20</v>
      </c>
      <c r="O263" s="103" t="n">
        <v>5038.33</v>
      </c>
      <c r="P263" s="103" t="n">
        <v>0</v>
      </c>
      <c r="Q263" s="103" t="n">
        <v>0</v>
      </c>
      <c r="R263" s="103" t="n">
        <v>5038.33</v>
      </c>
      <c r="S263" s="103" t="s">
        <v>176</v>
      </c>
      <c r="T263" s="103" t="n">
        <v>20</v>
      </c>
      <c r="U263" s="103" t="s">
        <v>177</v>
      </c>
      <c r="V263" s="103" t="n">
        <v>500</v>
      </c>
      <c r="W263" s="103" t="n">
        <f aca="false">DATA_PIPELINE!$K263</f>
        <v>0</v>
      </c>
      <c r="X263" s="103" t="n">
        <f aca="false">DATA_PIPELINE!$V263-DATA_PIPELINE!$W263</f>
        <v>500</v>
      </c>
      <c r="Y263" s="103" t="str">
        <f aca="false">IF(DATA_PIPELINE!$X263=0,"Paid",IF(DATA_PIPELINE!$W263=0,"Unpaid","Partly Paid"))</f>
        <v>Unpaid</v>
      </c>
    </row>
    <row r="264" customFormat="false" ht="15" hidden="false" customHeight="true" outlineLevel="0" collapsed="false">
      <c r="A264" s="103" t="n">
        <v>259</v>
      </c>
      <c r="B264" s="103" t="s">
        <v>923</v>
      </c>
      <c r="C264" s="103" t="s">
        <v>924</v>
      </c>
      <c r="D264" s="107" t="s">
        <v>918</v>
      </c>
      <c r="E264" s="103" t="s">
        <v>925</v>
      </c>
      <c r="F264" s="103" t="n">
        <v>772854689</v>
      </c>
      <c r="G264" s="103" t="s">
        <v>533</v>
      </c>
      <c r="H264" s="103" t="s">
        <v>174</v>
      </c>
      <c r="I264" s="103" t="n">
        <v>4</v>
      </c>
      <c r="J264" s="103" t="s">
        <v>175</v>
      </c>
      <c r="K264" s="103" t="n">
        <v>0</v>
      </c>
      <c r="L264" s="103" t="n">
        <v>0</v>
      </c>
      <c r="M264" s="103" t="n">
        <v>0</v>
      </c>
      <c r="N264" s="103" t="n">
        <v>80</v>
      </c>
      <c r="O264" s="103" t="n">
        <v>6586.54</v>
      </c>
      <c r="P264" s="103" t="n">
        <v>0</v>
      </c>
      <c r="Q264" s="103" t="n">
        <v>0</v>
      </c>
      <c r="R264" s="103" t="n">
        <v>6586.54</v>
      </c>
      <c r="S264" s="103" t="s">
        <v>176</v>
      </c>
      <c r="T264" s="103" t="n">
        <v>80</v>
      </c>
      <c r="U264" s="103" t="s">
        <v>177</v>
      </c>
      <c r="V264" s="103" t="n">
        <v>500</v>
      </c>
      <c r="W264" s="103" t="n">
        <f aca="false">DATA_PIPELINE!$K264</f>
        <v>0</v>
      </c>
      <c r="X264" s="103" t="n">
        <f aca="false">DATA_PIPELINE!$V264-DATA_PIPELINE!$W264</f>
        <v>500</v>
      </c>
      <c r="Y264" s="103" t="str">
        <f aca="false">IF(DATA_PIPELINE!$X264=0,"Paid",IF(DATA_PIPELINE!$W264=0,"Unpaid","Partly Paid"))</f>
        <v>Unpaid</v>
      </c>
    </row>
    <row r="265" customFormat="false" ht="15" hidden="false" customHeight="true" outlineLevel="0" collapsed="false">
      <c r="A265" s="103" t="n">
        <v>260</v>
      </c>
      <c r="B265" s="103" t="s">
        <v>926</v>
      </c>
      <c r="C265" s="103" t="s">
        <v>927</v>
      </c>
      <c r="D265" s="107" t="s">
        <v>918</v>
      </c>
      <c r="E265" s="103" t="s">
        <v>928</v>
      </c>
      <c r="F265" s="103" t="n">
        <v>772332050</v>
      </c>
      <c r="G265" s="103" t="s">
        <v>533</v>
      </c>
      <c r="H265" s="103" t="s">
        <v>174</v>
      </c>
      <c r="I265" s="103" t="n">
        <v>4</v>
      </c>
      <c r="J265" s="103" t="s">
        <v>175</v>
      </c>
      <c r="K265" s="103" t="n">
        <v>0</v>
      </c>
      <c r="L265" s="103" t="n">
        <v>0</v>
      </c>
      <c r="M265" s="103" t="n">
        <v>0</v>
      </c>
      <c r="N265" s="103" t="n">
        <v>120</v>
      </c>
      <c r="O265" s="103" t="n">
        <v>24457.07</v>
      </c>
      <c r="P265" s="103" t="n">
        <v>30</v>
      </c>
      <c r="Q265" s="103" t="n">
        <v>10942.5</v>
      </c>
      <c r="R265" s="103" t="n">
        <v>13514.57</v>
      </c>
      <c r="S265" s="103" t="n">
        <v>44.74</v>
      </c>
      <c r="T265" s="103" t="n">
        <v>120</v>
      </c>
      <c r="U265" s="103" t="s">
        <v>177</v>
      </c>
      <c r="V265" s="103" t="n">
        <v>500</v>
      </c>
      <c r="W265" s="103" t="n">
        <f aca="false">DATA_PIPELINE!$K265</f>
        <v>0</v>
      </c>
      <c r="X265" s="103" t="n">
        <f aca="false">DATA_PIPELINE!$V265-DATA_PIPELINE!$W265</f>
        <v>500</v>
      </c>
      <c r="Y265" s="103" t="str">
        <f aca="false">IF(DATA_PIPELINE!$X265=0,"Paid",IF(DATA_PIPELINE!$W265=0,"Unpaid","Partly Paid"))</f>
        <v>Unpaid</v>
      </c>
    </row>
    <row r="266" customFormat="false" ht="15" hidden="false" customHeight="true" outlineLevel="0" collapsed="false">
      <c r="A266" s="103" t="n">
        <v>261</v>
      </c>
      <c r="B266" s="103" t="s">
        <v>929</v>
      </c>
      <c r="C266" s="103" t="s">
        <v>930</v>
      </c>
      <c r="D266" s="107" t="s">
        <v>918</v>
      </c>
      <c r="E266" s="103" t="s">
        <v>931</v>
      </c>
      <c r="F266" s="103" t="n">
        <v>714532678</v>
      </c>
      <c r="G266" s="103" t="s">
        <v>533</v>
      </c>
      <c r="H266" s="103" t="s">
        <v>174</v>
      </c>
      <c r="I266" s="103" t="n">
        <v>4</v>
      </c>
      <c r="J266" s="103" t="s">
        <v>175</v>
      </c>
      <c r="K266" s="103" t="n">
        <v>0</v>
      </c>
      <c r="L266" s="103" t="n">
        <v>0</v>
      </c>
      <c r="M266" s="103" t="n">
        <v>0</v>
      </c>
      <c r="N266" s="103" t="n">
        <v>150</v>
      </c>
      <c r="O266" s="103" t="n">
        <v>26056.51</v>
      </c>
      <c r="P266" s="103" t="n">
        <v>56.1</v>
      </c>
      <c r="Q266" s="103" t="n">
        <v>20462.48</v>
      </c>
      <c r="R266" s="103" t="n">
        <v>5594.04</v>
      </c>
      <c r="S266" s="103" t="n">
        <v>78.53</v>
      </c>
      <c r="T266" s="103" t="n">
        <v>150</v>
      </c>
      <c r="U266" s="103" t="s">
        <v>177</v>
      </c>
      <c r="V266" s="103" t="n">
        <v>500</v>
      </c>
      <c r="W266" s="103" t="n">
        <f aca="false">DATA_PIPELINE!$K266</f>
        <v>0</v>
      </c>
      <c r="X266" s="103" t="n">
        <f aca="false">DATA_PIPELINE!$V266-DATA_PIPELINE!$W266</f>
        <v>500</v>
      </c>
      <c r="Y266" s="103" t="str">
        <f aca="false">IF(DATA_PIPELINE!$X266=0,"Paid",IF(DATA_PIPELINE!$W266=0,"Unpaid","Partly Paid"))</f>
        <v>Unpaid</v>
      </c>
    </row>
    <row r="267" customFormat="false" ht="15" hidden="false" customHeight="true" outlineLevel="0" collapsed="false">
      <c r="A267" s="103" t="n">
        <v>262</v>
      </c>
      <c r="B267" s="103" t="s">
        <v>932</v>
      </c>
      <c r="C267" s="103" t="s">
        <v>933</v>
      </c>
      <c r="D267" s="107" t="s">
        <v>918</v>
      </c>
      <c r="E267" s="103" t="s">
        <v>934</v>
      </c>
      <c r="F267" s="103" t="n">
        <v>772671912</v>
      </c>
      <c r="G267" s="103" t="s">
        <v>533</v>
      </c>
      <c r="H267" s="103" t="s">
        <v>174</v>
      </c>
      <c r="I267" s="103" t="n">
        <v>4</v>
      </c>
      <c r="J267" s="103" t="s">
        <v>175</v>
      </c>
      <c r="K267" s="103" t="n">
        <v>0</v>
      </c>
      <c r="L267" s="103" t="n">
        <v>0</v>
      </c>
      <c r="M267" s="103" t="n">
        <v>0</v>
      </c>
      <c r="N267" s="103" t="n">
        <v>200</v>
      </c>
      <c r="O267" s="103" t="n">
        <v>16566.64</v>
      </c>
      <c r="P267" s="103" t="n">
        <v>0</v>
      </c>
      <c r="Q267" s="103" t="n">
        <v>0</v>
      </c>
      <c r="R267" s="103" t="n">
        <v>16566.64</v>
      </c>
      <c r="S267" s="103" t="s">
        <v>176</v>
      </c>
      <c r="T267" s="103" t="n">
        <v>200</v>
      </c>
      <c r="U267" s="103" t="s">
        <v>247</v>
      </c>
      <c r="V267" s="103" t="n">
        <v>1000</v>
      </c>
      <c r="W267" s="103" t="n">
        <f aca="false">DATA_PIPELINE!$K267</f>
        <v>0</v>
      </c>
      <c r="X267" s="103" t="n">
        <f aca="false">DATA_PIPELINE!$V267-DATA_PIPELINE!$W267</f>
        <v>1000</v>
      </c>
      <c r="Y267" s="103" t="str">
        <f aca="false">IF(DATA_PIPELINE!$X267=0,"Paid",IF(DATA_PIPELINE!$W267=0,"Unpaid","Partly Paid"))</f>
        <v>Unpaid</v>
      </c>
    </row>
    <row r="268" customFormat="false" ht="15" hidden="false" customHeight="true" outlineLevel="0" collapsed="false">
      <c r="A268" s="103" t="n">
        <v>263</v>
      </c>
      <c r="B268" s="103" t="s">
        <v>935</v>
      </c>
      <c r="C268" s="103" t="s">
        <v>927</v>
      </c>
      <c r="D268" s="107" t="s">
        <v>358</v>
      </c>
      <c r="E268" s="103" t="s">
        <v>936</v>
      </c>
      <c r="F268" s="103" t="n">
        <v>714691535</v>
      </c>
      <c r="G268" s="103" t="s">
        <v>533</v>
      </c>
      <c r="H268" s="103" t="s">
        <v>174</v>
      </c>
      <c r="I268" s="103" t="n">
        <v>4</v>
      </c>
      <c r="J268" s="103" t="s">
        <v>175</v>
      </c>
      <c r="K268" s="103" t="n">
        <v>0</v>
      </c>
      <c r="L268" s="103" t="n">
        <v>0</v>
      </c>
      <c r="M268" s="103" t="n">
        <v>0</v>
      </c>
      <c r="N268" s="103" t="n">
        <v>40</v>
      </c>
      <c r="O268" s="103" t="n">
        <v>8810.91</v>
      </c>
      <c r="P268" s="103" t="n">
        <v>0</v>
      </c>
      <c r="Q268" s="103" t="n">
        <v>0</v>
      </c>
      <c r="R268" s="103" t="n">
        <v>8810.91</v>
      </c>
      <c r="S268" s="103" t="s">
        <v>176</v>
      </c>
      <c r="T268" s="103" t="n">
        <v>20</v>
      </c>
      <c r="U268" s="103" t="s">
        <v>177</v>
      </c>
      <c r="V268" s="103" t="n">
        <v>500</v>
      </c>
      <c r="W268" s="103" t="n">
        <f aca="false">DATA_PIPELINE!$K268</f>
        <v>0</v>
      </c>
      <c r="X268" s="103" t="n">
        <f aca="false">DATA_PIPELINE!$V268-DATA_PIPELINE!$W268</f>
        <v>500</v>
      </c>
      <c r="Y268" s="103" t="str">
        <f aca="false">IF(DATA_PIPELINE!$X268=0,"Paid",IF(DATA_PIPELINE!$W268=0,"Unpaid","Partly Paid"))</f>
        <v>Unpaid</v>
      </c>
    </row>
    <row r="269" customFormat="false" ht="15" hidden="false" customHeight="true" outlineLevel="0" collapsed="false">
      <c r="A269" s="103" t="n">
        <v>264</v>
      </c>
      <c r="B269" s="103" t="s">
        <v>937</v>
      </c>
      <c r="C269" s="103" t="s">
        <v>938</v>
      </c>
      <c r="D269" s="107" t="s">
        <v>918</v>
      </c>
      <c r="E269" s="103" t="s">
        <v>939</v>
      </c>
      <c r="F269" s="103" t="n">
        <v>773918523</v>
      </c>
      <c r="G269" s="103" t="s">
        <v>533</v>
      </c>
      <c r="H269" s="103" t="s">
        <v>174</v>
      </c>
      <c r="I269" s="103" t="n">
        <v>4</v>
      </c>
      <c r="J269" s="103" t="s">
        <v>175</v>
      </c>
      <c r="K269" s="103" t="n">
        <v>0</v>
      </c>
      <c r="L269" s="103" t="n">
        <v>0</v>
      </c>
      <c r="M269" s="103" t="n">
        <v>0</v>
      </c>
      <c r="N269" s="103" t="n">
        <v>20</v>
      </c>
      <c r="O269" s="103" t="n">
        <v>2522.03</v>
      </c>
      <c r="P269" s="103" t="n">
        <v>0</v>
      </c>
      <c r="Q269" s="103" t="n">
        <v>0</v>
      </c>
      <c r="R269" s="103" t="n">
        <v>2522.03</v>
      </c>
      <c r="S269" s="103" t="s">
        <v>176</v>
      </c>
      <c r="T269" s="103" t="n">
        <v>20</v>
      </c>
      <c r="U269" s="103" t="s">
        <v>177</v>
      </c>
      <c r="V269" s="103" t="n">
        <v>500</v>
      </c>
      <c r="W269" s="103" t="n">
        <f aca="false">DATA_PIPELINE!$K269</f>
        <v>0</v>
      </c>
      <c r="X269" s="103" t="n">
        <f aca="false">DATA_PIPELINE!$V269-DATA_PIPELINE!$W269</f>
        <v>500</v>
      </c>
      <c r="Y269" s="103" t="str">
        <f aca="false">IF(DATA_PIPELINE!$X269=0,"Paid",IF(DATA_PIPELINE!$W269=0,"Unpaid","Partly Paid"))</f>
        <v>Unpaid</v>
      </c>
    </row>
    <row r="270" customFormat="false" ht="15" hidden="false" customHeight="true" outlineLevel="0" collapsed="false">
      <c r="A270" s="103" t="n">
        <v>265</v>
      </c>
      <c r="B270" s="103" t="s">
        <v>940</v>
      </c>
      <c r="C270" s="103" t="s">
        <v>941</v>
      </c>
      <c r="D270" s="107" t="s">
        <v>918</v>
      </c>
      <c r="E270" s="103" t="s">
        <v>942</v>
      </c>
      <c r="F270" s="103" t="n">
        <v>772887155</v>
      </c>
      <c r="G270" s="103" t="s">
        <v>533</v>
      </c>
      <c r="H270" s="103" t="s">
        <v>174</v>
      </c>
      <c r="I270" s="103" t="n">
        <v>4</v>
      </c>
      <c r="J270" s="103" t="s">
        <v>175</v>
      </c>
      <c r="K270" s="103" t="n">
        <v>0</v>
      </c>
      <c r="L270" s="103" t="n">
        <v>0</v>
      </c>
      <c r="M270" s="103" t="n">
        <v>0</v>
      </c>
      <c r="N270" s="103" t="n">
        <v>30</v>
      </c>
      <c r="O270" s="103" t="n">
        <v>6414.03</v>
      </c>
      <c r="P270" s="103" t="n">
        <v>18.415</v>
      </c>
      <c r="Q270" s="103" t="n">
        <v>6716.87</v>
      </c>
      <c r="R270" s="103" t="n">
        <v>-302.84</v>
      </c>
      <c r="S270" s="103" t="n">
        <v>104.72</v>
      </c>
      <c r="T270" s="103" t="n">
        <v>30</v>
      </c>
      <c r="U270" s="103" t="s">
        <v>177</v>
      </c>
      <c r="V270" s="103" t="n">
        <v>500</v>
      </c>
      <c r="W270" s="103" t="n">
        <f aca="false">DATA_PIPELINE!$K270</f>
        <v>0</v>
      </c>
      <c r="X270" s="103" t="n">
        <f aca="false">DATA_PIPELINE!$V270-DATA_PIPELINE!$W270</f>
        <v>500</v>
      </c>
      <c r="Y270" s="103" t="str">
        <f aca="false">IF(DATA_PIPELINE!$X270=0,"Paid",IF(DATA_PIPELINE!$W270=0,"Unpaid","Partly Paid"))</f>
        <v>Unpaid</v>
      </c>
    </row>
    <row r="271" customFormat="false" ht="15" hidden="false" customHeight="true" outlineLevel="0" collapsed="false">
      <c r="A271" s="103" t="n">
        <v>266</v>
      </c>
      <c r="B271" s="103" t="s">
        <v>943</v>
      </c>
      <c r="C271" s="103" t="s">
        <v>944</v>
      </c>
      <c r="D271" s="107" t="s">
        <v>918</v>
      </c>
      <c r="E271" s="103" t="s">
        <v>945</v>
      </c>
      <c r="F271" s="103" t="n">
        <v>778169436</v>
      </c>
      <c r="G271" s="103" t="s">
        <v>533</v>
      </c>
      <c r="H271" s="103" t="s">
        <v>174</v>
      </c>
      <c r="I271" s="103" t="n">
        <v>4</v>
      </c>
      <c r="J271" s="103" t="s">
        <v>175</v>
      </c>
      <c r="K271" s="103" t="n">
        <v>0</v>
      </c>
      <c r="L271" s="103" t="n">
        <v>0</v>
      </c>
      <c r="M271" s="103" t="n">
        <v>0</v>
      </c>
      <c r="N271" s="103" t="n">
        <v>50</v>
      </c>
      <c r="O271" s="103" t="n">
        <v>6120.4</v>
      </c>
      <c r="P271" s="103" t="n">
        <v>0</v>
      </c>
      <c r="Q271" s="103" t="n">
        <v>0</v>
      </c>
      <c r="R271" s="103" t="n">
        <v>6120.4</v>
      </c>
      <c r="S271" s="103" t="s">
        <v>176</v>
      </c>
      <c r="T271" s="103" t="n">
        <v>50</v>
      </c>
      <c r="U271" s="103" t="s">
        <v>177</v>
      </c>
      <c r="V271" s="103" t="n">
        <v>500</v>
      </c>
      <c r="W271" s="103" t="n">
        <f aca="false">DATA_PIPELINE!$K271</f>
        <v>0</v>
      </c>
      <c r="X271" s="103" t="n">
        <f aca="false">DATA_PIPELINE!$V271-DATA_PIPELINE!$W271</f>
        <v>500</v>
      </c>
      <c r="Y271" s="103" t="str">
        <f aca="false">IF(DATA_PIPELINE!$X271=0,"Paid",IF(DATA_PIPELINE!$W271=0,"Unpaid","Partly Paid"))</f>
        <v>Unpaid</v>
      </c>
    </row>
    <row r="272" customFormat="false" ht="15" hidden="false" customHeight="true" outlineLevel="0" collapsed="false">
      <c r="A272" s="103" t="n">
        <v>267</v>
      </c>
      <c r="B272" s="103" t="s">
        <v>946</v>
      </c>
      <c r="C272" s="103" t="s">
        <v>947</v>
      </c>
      <c r="D272" s="107" t="s">
        <v>918</v>
      </c>
      <c r="E272" s="103" t="s">
        <v>948</v>
      </c>
      <c r="F272" s="103" t="n">
        <v>716572636</v>
      </c>
      <c r="G272" s="103" t="s">
        <v>533</v>
      </c>
      <c r="H272" s="103" t="s">
        <v>174</v>
      </c>
      <c r="I272" s="103" t="n">
        <v>4</v>
      </c>
      <c r="J272" s="103" t="s">
        <v>175</v>
      </c>
      <c r="K272" s="103" t="n">
        <v>0</v>
      </c>
      <c r="L272" s="103" t="n">
        <v>0</v>
      </c>
      <c r="M272" s="103" t="n">
        <v>0</v>
      </c>
      <c r="N272" s="103" t="n">
        <v>10</v>
      </c>
      <c r="O272" s="103" t="n">
        <v>2743.16</v>
      </c>
      <c r="P272" s="103" t="n">
        <v>0</v>
      </c>
      <c r="Q272" s="103" t="n">
        <v>0</v>
      </c>
      <c r="R272" s="103" t="n">
        <v>2743.16</v>
      </c>
      <c r="S272" s="103" t="s">
        <v>176</v>
      </c>
      <c r="T272" s="103" t="n">
        <v>10</v>
      </c>
      <c r="U272" s="103" t="s">
        <v>177</v>
      </c>
      <c r="V272" s="103" t="n">
        <v>500</v>
      </c>
      <c r="W272" s="103" t="n">
        <f aca="false">DATA_PIPELINE!$K272</f>
        <v>0</v>
      </c>
      <c r="X272" s="103" t="n">
        <f aca="false">DATA_PIPELINE!$V272-DATA_PIPELINE!$W272</f>
        <v>500</v>
      </c>
      <c r="Y272" s="103" t="str">
        <f aca="false">IF(DATA_PIPELINE!$X272=0,"Paid",IF(DATA_PIPELINE!$W272=0,"Unpaid","Partly Paid"))</f>
        <v>Unpaid</v>
      </c>
    </row>
    <row r="273" customFormat="false" ht="15" hidden="false" customHeight="true" outlineLevel="0" collapsed="false">
      <c r="A273" s="103" t="n">
        <v>268</v>
      </c>
      <c r="B273" s="103" t="s">
        <v>949</v>
      </c>
      <c r="C273" s="103" t="s">
        <v>950</v>
      </c>
      <c r="D273" s="107" t="s">
        <v>918</v>
      </c>
      <c r="E273" s="103" t="s">
        <v>951</v>
      </c>
      <c r="F273" s="103"/>
      <c r="G273" s="103" t="s">
        <v>533</v>
      </c>
      <c r="H273" s="103" t="s">
        <v>174</v>
      </c>
      <c r="I273" s="103" t="n">
        <v>4</v>
      </c>
      <c r="J273" s="103" t="s">
        <v>175</v>
      </c>
      <c r="K273" s="103" t="n">
        <v>0</v>
      </c>
      <c r="L273" s="103" t="n">
        <v>0</v>
      </c>
      <c r="M273" s="103" t="n">
        <v>0</v>
      </c>
      <c r="N273" s="103" t="n">
        <v>40</v>
      </c>
      <c r="O273" s="103" t="n">
        <v>8302.7</v>
      </c>
      <c r="P273" s="103" t="n">
        <v>0</v>
      </c>
      <c r="Q273" s="103" t="n">
        <v>0</v>
      </c>
      <c r="R273" s="103" t="n">
        <v>8302.7</v>
      </c>
      <c r="S273" s="103" t="s">
        <v>176</v>
      </c>
      <c r="T273" s="103" t="n">
        <v>40</v>
      </c>
      <c r="U273" s="103" t="s">
        <v>177</v>
      </c>
      <c r="V273" s="103" t="n">
        <v>500</v>
      </c>
      <c r="W273" s="103" t="n">
        <f aca="false">DATA_PIPELINE!$K273</f>
        <v>0</v>
      </c>
      <c r="X273" s="103" t="n">
        <f aca="false">DATA_PIPELINE!$V273-DATA_PIPELINE!$W273</f>
        <v>500</v>
      </c>
      <c r="Y273" s="103" t="str">
        <f aca="false">IF(DATA_PIPELINE!$X273=0,"Paid",IF(DATA_PIPELINE!$W273=0,"Unpaid","Partly Paid"))</f>
        <v>Unpaid</v>
      </c>
    </row>
    <row r="274" customFormat="false" ht="15" hidden="false" customHeight="true" outlineLevel="0" collapsed="false">
      <c r="A274" s="103" t="n">
        <v>269</v>
      </c>
      <c r="B274" s="103" t="s">
        <v>952</v>
      </c>
      <c r="C274" s="103" t="s">
        <v>953</v>
      </c>
      <c r="D274" s="107" t="s">
        <v>918</v>
      </c>
      <c r="E274" s="103" t="s">
        <v>954</v>
      </c>
      <c r="F274" s="103" t="n">
        <v>713028726</v>
      </c>
      <c r="G274" s="103" t="s">
        <v>533</v>
      </c>
      <c r="H274" s="103" t="s">
        <v>174</v>
      </c>
      <c r="I274" s="103" t="n">
        <v>4</v>
      </c>
      <c r="J274" s="103" t="s">
        <v>175</v>
      </c>
      <c r="K274" s="103" t="n">
        <v>0</v>
      </c>
      <c r="L274" s="103" t="n">
        <v>0</v>
      </c>
      <c r="M274" s="103" t="n">
        <v>0</v>
      </c>
      <c r="N274" s="103" t="n">
        <v>40</v>
      </c>
      <c r="O274" s="103" t="n">
        <v>7873.9</v>
      </c>
      <c r="P274" s="103" t="n">
        <v>0</v>
      </c>
      <c r="Q274" s="103" t="n">
        <v>0</v>
      </c>
      <c r="R274" s="103" t="n">
        <v>7873.9</v>
      </c>
      <c r="S274" s="103" t="s">
        <v>176</v>
      </c>
      <c r="T274" s="103" t="n">
        <v>40</v>
      </c>
      <c r="U274" s="103" t="s">
        <v>177</v>
      </c>
      <c r="V274" s="103" t="n">
        <v>500</v>
      </c>
      <c r="W274" s="103" t="n">
        <f aca="false">DATA_PIPELINE!$K274</f>
        <v>0</v>
      </c>
      <c r="X274" s="103" t="n">
        <f aca="false">DATA_PIPELINE!$V274-DATA_PIPELINE!$W274</f>
        <v>500</v>
      </c>
      <c r="Y274" s="103" t="str">
        <f aca="false">IF(DATA_PIPELINE!$X274=0,"Paid",IF(DATA_PIPELINE!$W274=0,"Unpaid","Partly Paid"))</f>
        <v>Unpaid</v>
      </c>
    </row>
    <row r="275" customFormat="false" ht="15" hidden="false" customHeight="true" outlineLevel="0" collapsed="false">
      <c r="A275" s="103" t="n">
        <v>270</v>
      </c>
      <c r="B275" s="103" t="s">
        <v>955</v>
      </c>
      <c r="C275" s="103" t="s">
        <v>956</v>
      </c>
      <c r="D275" s="107" t="s">
        <v>918</v>
      </c>
      <c r="E275" s="103" t="s">
        <v>957</v>
      </c>
      <c r="F275" s="103" t="n">
        <v>774324248</v>
      </c>
      <c r="G275" s="103" t="s">
        <v>533</v>
      </c>
      <c r="H275" s="103" t="s">
        <v>174</v>
      </c>
      <c r="I275" s="103" t="n">
        <v>4</v>
      </c>
      <c r="J275" s="103" t="s">
        <v>175</v>
      </c>
      <c r="K275" s="103" t="n">
        <v>0</v>
      </c>
      <c r="L275" s="103" t="n">
        <v>0</v>
      </c>
      <c r="M275" s="103" t="n">
        <v>0</v>
      </c>
      <c r="N275" s="103" t="n">
        <v>20</v>
      </c>
      <c r="O275" s="103" t="n">
        <v>4956.7</v>
      </c>
      <c r="P275" s="103" t="n">
        <v>0</v>
      </c>
      <c r="Q275" s="103" t="n">
        <v>0</v>
      </c>
      <c r="R275" s="103" t="n">
        <v>4956.7</v>
      </c>
      <c r="S275" s="103" t="s">
        <v>176</v>
      </c>
      <c r="T275" s="103" t="n">
        <v>20</v>
      </c>
      <c r="U275" s="103" t="s">
        <v>177</v>
      </c>
      <c r="V275" s="103" t="n">
        <v>500</v>
      </c>
      <c r="W275" s="103" t="n">
        <f aca="false">DATA_PIPELINE!$K275</f>
        <v>0</v>
      </c>
      <c r="X275" s="103" t="n">
        <f aca="false">DATA_PIPELINE!$V275-DATA_PIPELINE!$W275</f>
        <v>500</v>
      </c>
      <c r="Y275" s="103" t="str">
        <f aca="false">IF(DATA_PIPELINE!$X275=0,"Paid",IF(DATA_PIPELINE!$W275=0,"Unpaid","Partly Paid"))</f>
        <v>Unpaid</v>
      </c>
    </row>
    <row r="276" customFormat="false" ht="15" hidden="false" customHeight="true" outlineLevel="0" collapsed="false">
      <c r="A276" s="103" t="n">
        <v>271</v>
      </c>
      <c r="B276" s="103" t="s">
        <v>958</v>
      </c>
      <c r="C276" s="103" t="s">
        <v>959</v>
      </c>
      <c r="D276" s="107" t="s">
        <v>918</v>
      </c>
      <c r="E276" s="103" t="s">
        <v>960</v>
      </c>
      <c r="F276" s="103" t="n">
        <v>783323853</v>
      </c>
      <c r="G276" s="103" t="s">
        <v>533</v>
      </c>
      <c r="H276" s="103" t="s">
        <v>174</v>
      </c>
      <c r="I276" s="103" t="n">
        <v>4</v>
      </c>
      <c r="J276" s="103" t="s">
        <v>175</v>
      </c>
      <c r="K276" s="103" t="n">
        <v>0</v>
      </c>
      <c r="L276" s="103" t="n">
        <v>0</v>
      </c>
      <c r="M276" s="103" t="n">
        <v>0</v>
      </c>
      <c r="N276" s="103" t="n">
        <v>60</v>
      </c>
      <c r="O276" s="103" t="n">
        <v>10812.55</v>
      </c>
      <c r="P276" s="103" t="n">
        <v>0</v>
      </c>
      <c r="Q276" s="103" t="n">
        <v>0</v>
      </c>
      <c r="R276" s="103" t="n">
        <v>10812.55</v>
      </c>
      <c r="S276" s="103" t="s">
        <v>176</v>
      </c>
      <c r="T276" s="103" t="n">
        <v>60</v>
      </c>
      <c r="U276" s="103" t="s">
        <v>177</v>
      </c>
      <c r="V276" s="103" t="n">
        <v>500</v>
      </c>
      <c r="W276" s="103" t="n">
        <f aca="false">DATA_PIPELINE!$K276</f>
        <v>0</v>
      </c>
      <c r="X276" s="103" t="n">
        <f aca="false">DATA_PIPELINE!$V276-DATA_PIPELINE!$W276</f>
        <v>500</v>
      </c>
      <c r="Y276" s="103" t="str">
        <f aca="false">IF(DATA_PIPELINE!$X276=0,"Paid",IF(DATA_PIPELINE!$W276=0,"Unpaid","Partly Paid"))</f>
        <v>Unpaid</v>
      </c>
    </row>
    <row r="277" customFormat="false" ht="15" hidden="false" customHeight="true" outlineLevel="0" collapsed="false">
      <c r="A277" s="103" t="n">
        <v>272</v>
      </c>
      <c r="B277" s="103" t="s">
        <v>961</v>
      </c>
      <c r="C277" s="103" t="s">
        <v>962</v>
      </c>
      <c r="D277" s="107" t="s">
        <v>918</v>
      </c>
      <c r="E277" s="103" t="s">
        <v>963</v>
      </c>
      <c r="F277" s="103" t="n">
        <v>772913738</v>
      </c>
      <c r="G277" s="103" t="s">
        <v>533</v>
      </c>
      <c r="H277" s="103" t="s">
        <v>174</v>
      </c>
      <c r="I277" s="103" t="n">
        <v>4</v>
      </c>
      <c r="J277" s="103" t="s">
        <v>175</v>
      </c>
      <c r="K277" s="103" t="n">
        <v>0</v>
      </c>
      <c r="L277" s="103" t="n">
        <v>0</v>
      </c>
      <c r="M277" s="103" t="n">
        <v>0</v>
      </c>
      <c r="N277" s="103" t="n">
        <v>0</v>
      </c>
      <c r="O277" s="103" t="n">
        <v>1092</v>
      </c>
      <c r="P277" s="103" t="n">
        <v>0</v>
      </c>
      <c r="Q277" s="103" t="n">
        <v>0</v>
      </c>
      <c r="R277" s="103" t="n">
        <v>1092</v>
      </c>
      <c r="S277" s="103" t="s">
        <v>176</v>
      </c>
      <c r="T277" s="103" t="n">
        <v>0</v>
      </c>
      <c r="U277" s="103" t="s">
        <v>177</v>
      </c>
      <c r="V277" s="103" t="n">
        <v>500</v>
      </c>
      <c r="W277" s="103" t="n">
        <f aca="false">DATA_PIPELINE!$K277</f>
        <v>0</v>
      </c>
      <c r="X277" s="103" t="n">
        <f aca="false">DATA_PIPELINE!$V277-DATA_PIPELINE!$W277</f>
        <v>500</v>
      </c>
      <c r="Y277" s="103" t="str">
        <f aca="false">IF(DATA_PIPELINE!$X277=0,"Paid",IF(DATA_PIPELINE!$W277=0,"Unpaid","Partly Paid"))</f>
        <v>Unpaid</v>
      </c>
    </row>
    <row r="278" customFormat="false" ht="15" hidden="false" customHeight="true" outlineLevel="0" collapsed="false">
      <c r="A278" s="103" t="n">
        <v>273</v>
      </c>
      <c r="B278" s="103" t="s">
        <v>964</v>
      </c>
      <c r="C278" s="103" t="s">
        <v>959</v>
      </c>
      <c r="D278" s="107" t="s">
        <v>918</v>
      </c>
      <c r="E278" s="103" t="s">
        <v>965</v>
      </c>
      <c r="F278" s="103" t="n">
        <v>776872496</v>
      </c>
      <c r="G278" s="103" t="s">
        <v>533</v>
      </c>
      <c r="H278" s="103" t="s">
        <v>174</v>
      </c>
      <c r="I278" s="103" t="n">
        <v>4</v>
      </c>
      <c r="J278" s="103" t="s">
        <v>175</v>
      </c>
      <c r="K278" s="103" t="n">
        <v>500</v>
      </c>
      <c r="L278" s="103" t="n">
        <v>0</v>
      </c>
      <c r="M278" s="103" t="n">
        <v>0</v>
      </c>
      <c r="N278" s="103" t="n">
        <v>100</v>
      </c>
      <c r="O278" s="103" t="n">
        <v>8969.31</v>
      </c>
      <c r="P278" s="103" t="n">
        <v>27.403</v>
      </c>
      <c r="Q278" s="103" t="n">
        <v>9995.24</v>
      </c>
      <c r="R278" s="103" t="n">
        <v>-1025.93</v>
      </c>
      <c r="S278" s="103" t="n">
        <v>111.44</v>
      </c>
      <c r="T278" s="103" t="n">
        <v>100</v>
      </c>
      <c r="U278" s="103" t="s">
        <v>177</v>
      </c>
      <c r="V278" s="103" t="n">
        <v>500</v>
      </c>
      <c r="W278" s="103" t="n">
        <f aca="false">DATA_PIPELINE!$K278</f>
        <v>500</v>
      </c>
      <c r="X278" s="103" t="n">
        <f aca="false">DATA_PIPELINE!$V278-DATA_PIPELINE!$W278</f>
        <v>0</v>
      </c>
      <c r="Y278" s="103" t="str">
        <f aca="false">IF(DATA_PIPELINE!$X278=0,"Paid",IF(DATA_PIPELINE!$W278=0,"Unpaid","Partly Paid"))</f>
        <v>Paid</v>
      </c>
    </row>
    <row r="279" customFormat="false" ht="15" hidden="false" customHeight="true" outlineLevel="0" collapsed="false">
      <c r="A279" s="103" t="n">
        <v>274</v>
      </c>
      <c r="B279" s="103" t="s">
        <v>966</v>
      </c>
      <c r="C279" s="103" t="s">
        <v>938</v>
      </c>
      <c r="D279" s="107" t="s">
        <v>918</v>
      </c>
      <c r="E279" s="103" t="s">
        <v>967</v>
      </c>
      <c r="F279" s="103" t="n">
        <v>778466960</v>
      </c>
      <c r="G279" s="103" t="s">
        <v>533</v>
      </c>
      <c r="H279" s="103" t="s">
        <v>174</v>
      </c>
      <c r="I279" s="103" t="n">
        <v>4</v>
      </c>
      <c r="J279" s="103" t="s">
        <v>175</v>
      </c>
      <c r="K279" s="103" t="n">
        <v>0</v>
      </c>
      <c r="L279" s="103" t="n">
        <v>0</v>
      </c>
      <c r="M279" s="103" t="n">
        <v>0</v>
      </c>
      <c r="N279" s="103" t="n">
        <v>15</v>
      </c>
      <c r="O279" s="103" t="n">
        <v>2204.66</v>
      </c>
      <c r="P279" s="103" t="n">
        <v>0</v>
      </c>
      <c r="Q279" s="103" t="n">
        <v>0</v>
      </c>
      <c r="R279" s="103" t="n">
        <v>2204.66</v>
      </c>
      <c r="S279" s="103" t="s">
        <v>176</v>
      </c>
      <c r="T279" s="103" t="n">
        <v>15</v>
      </c>
      <c r="U279" s="103" t="s">
        <v>177</v>
      </c>
      <c r="V279" s="103" t="n">
        <v>500</v>
      </c>
      <c r="W279" s="103" t="n">
        <f aca="false">DATA_PIPELINE!$K279</f>
        <v>0</v>
      </c>
      <c r="X279" s="103" t="n">
        <f aca="false">DATA_PIPELINE!$V279-DATA_PIPELINE!$W279</f>
        <v>500</v>
      </c>
      <c r="Y279" s="103" t="str">
        <f aca="false">IF(DATA_PIPELINE!$X279=0,"Paid",IF(DATA_PIPELINE!$W279=0,"Unpaid","Partly Paid"))</f>
        <v>Unpaid</v>
      </c>
    </row>
    <row r="280" customFormat="false" ht="15" hidden="false" customHeight="true" outlineLevel="0" collapsed="false">
      <c r="A280" s="103" t="n">
        <v>275</v>
      </c>
      <c r="B280" s="103" t="s">
        <v>968</v>
      </c>
      <c r="C280" s="103" t="s">
        <v>969</v>
      </c>
      <c r="D280" s="107" t="s">
        <v>918</v>
      </c>
      <c r="E280" s="103" t="s">
        <v>970</v>
      </c>
      <c r="F280" s="103" t="n">
        <v>772281519</v>
      </c>
      <c r="G280" s="103" t="s">
        <v>533</v>
      </c>
      <c r="H280" s="103" t="s">
        <v>174</v>
      </c>
      <c r="I280" s="103" t="n">
        <v>4</v>
      </c>
      <c r="J280" s="103" t="s">
        <v>175</v>
      </c>
      <c r="K280" s="103" t="n">
        <v>0</v>
      </c>
      <c r="L280" s="103" t="n">
        <v>0</v>
      </c>
      <c r="M280" s="103" t="n">
        <v>0</v>
      </c>
      <c r="N280" s="103" t="n">
        <v>10</v>
      </c>
      <c r="O280" s="103" t="n">
        <v>3708.18</v>
      </c>
      <c r="P280" s="103" t="n">
        <v>0</v>
      </c>
      <c r="Q280" s="103" t="n">
        <v>0</v>
      </c>
      <c r="R280" s="103" t="n">
        <v>3708.18</v>
      </c>
      <c r="S280" s="103" t="s">
        <v>176</v>
      </c>
      <c r="T280" s="103" t="n">
        <v>10</v>
      </c>
      <c r="U280" s="103" t="s">
        <v>177</v>
      </c>
      <c r="V280" s="103" t="n">
        <v>500</v>
      </c>
      <c r="W280" s="103" t="n">
        <f aca="false">DATA_PIPELINE!$K280</f>
        <v>0</v>
      </c>
      <c r="X280" s="103" t="n">
        <f aca="false">DATA_PIPELINE!$V280-DATA_PIPELINE!$W280</f>
        <v>500</v>
      </c>
      <c r="Y280" s="103" t="str">
        <f aca="false">IF(DATA_PIPELINE!$X280=0,"Paid",IF(DATA_PIPELINE!$W280=0,"Unpaid","Partly Paid"))</f>
        <v>Unpaid</v>
      </c>
    </row>
    <row r="281" customFormat="false" ht="15" hidden="false" customHeight="true" outlineLevel="0" collapsed="false">
      <c r="A281" s="103" t="n">
        <v>276</v>
      </c>
      <c r="B281" s="103" t="s">
        <v>971</v>
      </c>
      <c r="C281" s="103" t="s">
        <v>972</v>
      </c>
      <c r="D281" s="107" t="s">
        <v>918</v>
      </c>
      <c r="E281" s="103" t="s">
        <v>973</v>
      </c>
      <c r="F281" s="103" t="n">
        <v>712725105</v>
      </c>
      <c r="G281" s="103" t="s">
        <v>533</v>
      </c>
      <c r="H281" s="103" t="s">
        <v>174</v>
      </c>
      <c r="I281" s="103" t="n">
        <v>4</v>
      </c>
      <c r="J281" s="103" t="s">
        <v>175</v>
      </c>
      <c r="K281" s="103" t="n">
        <v>0</v>
      </c>
      <c r="L281" s="103" t="n">
        <v>0</v>
      </c>
      <c r="M281" s="103" t="n">
        <v>0</v>
      </c>
      <c r="N281" s="103" t="n">
        <v>30</v>
      </c>
      <c r="O281" s="103" t="n">
        <v>4366.53</v>
      </c>
      <c r="P281" s="103" t="n">
        <v>0</v>
      </c>
      <c r="Q281" s="103" t="n">
        <v>0</v>
      </c>
      <c r="R281" s="103" t="n">
        <v>4366.53</v>
      </c>
      <c r="S281" s="103" t="s">
        <v>176</v>
      </c>
      <c r="T281" s="103" t="n">
        <v>30</v>
      </c>
      <c r="U281" s="103" t="s">
        <v>177</v>
      </c>
      <c r="V281" s="103" t="n">
        <v>500</v>
      </c>
      <c r="W281" s="103" t="n">
        <f aca="false">DATA_PIPELINE!$K281</f>
        <v>0</v>
      </c>
      <c r="X281" s="103" t="n">
        <f aca="false">DATA_PIPELINE!$V281-DATA_PIPELINE!$W281</f>
        <v>500</v>
      </c>
      <c r="Y281" s="103" t="str">
        <f aca="false">IF(DATA_PIPELINE!$X281=0,"Paid",IF(DATA_PIPELINE!$W281=0,"Unpaid","Partly Paid"))</f>
        <v>Unpaid</v>
      </c>
    </row>
    <row r="282" customFormat="false" ht="15" hidden="false" customHeight="true" outlineLevel="0" collapsed="false">
      <c r="A282" s="103" t="n">
        <v>277</v>
      </c>
      <c r="B282" s="103" t="s">
        <v>974</v>
      </c>
      <c r="C282" s="103" t="s">
        <v>975</v>
      </c>
      <c r="D282" s="107" t="s">
        <v>918</v>
      </c>
      <c r="E282" s="103" t="s">
        <v>976</v>
      </c>
      <c r="F282" s="103" t="n">
        <v>763915209</v>
      </c>
      <c r="G282" s="103" t="s">
        <v>533</v>
      </c>
      <c r="H282" s="103" t="s">
        <v>174</v>
      </c>
      <c r="I282" s="103" t="n">
        <v>4</v>
      </c>
      <c r="J282" s="103" t="s">
        <v>175</v>
      </c>
      <c r="K282" s="103" t="n">
        <v>0</v>
      </c>
      <c r="L282" s="103" t="n">
        <v>0</v>
      </c>
      <c r="M282" s="103" t="n">
        <v>0</v>
      </c>
      <c r="N282" s="103" t="n">
        <v>30</v>
      </c>
      <c r="O282" s="103" t="n">
        <v>5395.17</v>
      </c>
      <c r="P282" s="103" t="n">
        <v>15.878</v>
      </c>
      <c r="Q282" s="103" t="n">
        <v>5791.5</v>
      </c>
      <c r="R282" s="103" t="n">
        <v>-396.33</v>
      </c>
      <c r="S282" s="103" t="n">
        <v>107.35</v>
      </c>
      <c r="T282" s="103" t="n">
        <v>30</v>
      </c>
      <c r="U282" s="103" t="s">
        <v>177</v>
      </c>
      <c r="V282" s="103" t="n">
        <v>500</v>
      </c>
      <c r="W282" s="103" t="n">
        <f aca="false">DATA_PIPELINE!$K282</f>
        <v>0</v>
      </c>
      <c r="X282" s="103" t="n">
        <f aca="false">DATA_PIPELINE!$V282-DATA_PIPELINE!$W282</f>
        <v>500</v>
      </c>
      <c r="Y282" s="103" t="str">
        <f aca="false">IF(DATA_PIPELINE!$X282=0,"Paid",IF(DATA_PIPELINE!$W282=0,"Unpaid","Partly Paid"))</f>
        <v>Unpaid</v>
      </c>
    </row>
    <row r="283" customFormat="false" ht="15" hidden="false" customHeight="true" outlineLevel="0" collapsed="false">
      <c r="A283" s="103" t="n">
        <v>278</v>
      </c>
      <c r="B283" s="103" t="s">
        <v>977</v>
      </c>
      <c r="C283" s="103" t="s">
        <v>978</v>
      </c>
      <c r="D283" s="107" t="s">
        <v>918</v>
      </c>
      <c r="E283" s="103" t="s">
        <v>979</v>
      </c>
      <c r="F283" s="103" t="n">
        <v>773171630</v>
      </c>
      <c r="G283" s="103" t="s">
        <v>533</v>
      </c>
      <c r="H283" s="103" t="s">
        <v>174</v>
      </c>
      <c r="I283" s="103" t="n">
        <v>4</v>
      </c>
      <c r="J283" s="103" t="s">
        <v>175</v>
      </c>
      <c r="K283" s="103" t="n">
        <v>0</v>
      </c>
      <c r="L283" s="103" t="n">
        <v>0</v>
      </c>
      <c r="M283" s="103" t="n">
        <v>0</v>
      </c>
      <c r="N283" s="103" t="n">
        <v>30</v>
      </c>
      <c r="O283" s="103" t="n">
        <v>4860.09</v>
      </c>
      <c r="P283" s="103" t="n">
        <v>0</v>
      </c>
      <c r="Q283" s="103" t="n">
        <v>0</v>
      </c>
      <c r="R283" s="103" t="n">
        <v>4860.09</v>
      </c>
      <c r="S283" s="103" t="s">
        <v>176</v>
      </c>
      <c r="T283" s="103" t="n">
        <v>30</v>
      </c>
      <c r="U283" s="103" t="s">
        <v>177</v>
      </c>
      <c r="V283" s="103" t="n">
        <v>500</v>
      </c>
      <c r="W283" s="103" t="n">
        <f aca="false">DATA_PIPELINE!$K283</f>
        <v>0</v>
      </c>
      <c r="X283" s="103" t="n">
        <f aca="false">DATA_PIPELINE!$V283-DATA_PIPELINE!$W283</f>
        <v>500</v>
      </c>
      <c r="Y283" s="103" t="str">
        <f aca="false">IF(DATA_PIPELINE!$X283=0,"Paid",IF(DATA_PIPELINE!$W283=0,"Unpaid","Partly Paid"))</f>
        <v>Unpaid</v>
      </c>
    </row>
    <row r="284" customFormat="false" ht="15" hidden="false" customHeight="true" outlineLevel="0" collapsed="false">
      <c r="A284" s="103" t="n">
        <v>279</v>
      </c>
      <c r="B284" s="103" t="s">
        <v>980</v>
      </c>
      <c r="C284" s="103" t="s">
        <v>981</v>
      </c>
      <c r="D284" s="107" t="s">
        <v>918</v>
      </c>
      <c r="E284" s="103" t="s">
        <v>982</v>
      </c>
      <c r="F284" s="103" t="n">
        <v>774059596</v>
      </c>
      <c r="G284" s="103" t="s">
        <v>533</v>
      </c>
      <c r="H284" s="103" t="s">
        <v>174</v>
      </c>
      <c r="I284" s="103" t="n">
        <v>4</v>
      </c>
      <c r="J284" s="103" t="s">
        <v>175</v>
      </c>
      <c r="K284" s="103" t="n">
        <v>0</v>
      </c>
      <c r="L284" s="103" t="n">
        <v>0</v>
      </c>
      <c r="M284" s="103" t="n">
        <v>0</v>
      </c>
      <c r="N284" s="103" t="n">
        <v>50</v>
      </c>
      <c r="O284" s="103" t="n">
        <v>7030.52</v>
      </c>
      <c r="P284" s="103" t="n">
        <v>0</v>
      </c>
      <c r="Q284" s="103" t="n">
        <v>0</v>
      </c>
      <c r="R284" s="103" t="n">
        <v>7030.52</v>
      </c>
      <c r="S284" s="103" t="s">
        <v>176</v>
      </c>
      <c r="T284" s="103" t="n">
        <v>50</v>
      </c>
      <c r="U284" s="103" t="s">
        <v>177</v>
      </c>
      <c r="V284" s="103" t="n">
        <v>500</v>
      </c>
      <c r="W284" s="103" t="n">
        <f aca="false">DATA_PIPELINE!$K284</f>
        <v>0</v>
      </c>
      <c r="X284" s="103" t="n">
        <f aca="false">DATA_PIPELINE!$V284-DATA_PIPELINE!$W284</f>
        <v>500</v>
      </c>
      <c r="Y284" s="103" t="str">
        <f aca="false">IF(DATA_PIPELINE!$X284=0,"Paid",IF(DATA_PIPELINE!$W284=0,"Unpaid","Partly Paid"))</f>
        <v>Unpaid</v>
      </c>
    </row>
    <row r="285" customFormat="false" ht="15" hidden="false" customHeight="true" outlineLevel="0" collapsed="false">
      <c r="A285" s="103" t="n">
        <v>280</v>
      </c>
      <c r="B285" s="103" t="s">
        <v>983</v>
      </c>
      <c r="C285" s="103" t="s">
        <v>984</v>
      </c>
      <c r="D285" s="107" t="s">
        <v>918</v>
      </c>
      <c r="E285" s="103" t="s">
        <v>985</v>
      </c>
      <c r="F285" s="103" t="n">
        <v>772914158</v>
      </c>
      <c r="G285" s="103" t="s">
        <v>533</v>
      </c>
      <c r="H285" s="103" t="s">
        <v>174</v>
      </c>
      <c r="I285" s="103" t="n">
        <v>4</v>
      </c>
      <c r="J285" s="103" t="s">
        <v>175</v>
      </c>
      <c r="K285" s="103" t="n">
        <v>0</v>
      </c>
      <c r="L285" s="103" t="n">
        <v>0</v>
      </c>
      <c r="M285" s="103" t="n">
        <v>0</v>
      </c>
      <c r="N285" s="103" t="n">
        <v>40</v>
      </c>
      <c r="O285" s="103" t="n">
        <v>2447.07</v>
      </c>
      <c r="P285" s="103" t="n">
        <v>0</v>
      </c>
      <c r="Q285" s="103" t="n">
        <v>0</v>
      </c>
      <c r="R285" s="103" t="n">
        <v>2447.07</v>
      </c>
      <c r="S285" s="103" t="s">
        <v>176</v>
      </c>
      <c r="T285" s="103" t="n">
        <v>40</v>
      </c>
      <c r="U285" s="103" t="s">
        <v>177</v>
      </c>
      <c r="V285" s="103" t="n">
        <v>500</v>
      </c>
      <c r="W285" s="103" t="n">
        <f aca="false">DATA_PIPELINE!$K285</f>
        <v>0</v>
      </c>
      <c r="X285" s="103" t="n">
        <f aca="false">DATA_PIPELINE!$V285-DATA_PIPELINE!$W285</f>
        <v>500</v>
      </c>
      <c r="Y285" s="103" t="str">
        <f aca="false">IF(DATA_PIPELINE!$X285=0,"Paid",IF(DATA_PIPELINE!$W285=0,"Unpaid","Partly Paid"))</f>
        <v>Unpaid</v>
      </c>
    </row>
    <row r="286" customFormat="false" ht="15" hidden="false" customHeight="true" outlineLevel="0" collapsed="false">
      <c r="A286" s="103" t="n">
        <v>281</v>
      </c>
      <c r="B286" s="103" t="s">
        <v>986</v>
      </c>
      <c r="C286" s="103" t="s">
        <v>987</v>
      </c>
      <c r="D286" s="107" t="s">
        <v>988</v>
      </c>
      <c r="E286" s="103" t="s">
        <v>989</v>
      </c>
      <c r="F286" s="103" t="n">
        <v>784554599</v>
      </c>
      <c r="G286" s="103" t="s">
        <v>533</v>
      </c>
      <c r="H286" s="103" t="s">
        <v>174</v>
      </c>
      <c r="I286" s="103" t="n">
        <v>11</v>
      </c>
      <c r="J286" s="103" t="s">
        <v>175</v>
      </c>
      <c r="K286" s="103" t="n">
        <v>0</v>
      </c>
      <c r="L286" s="103" t="n">
        <v>0</v>
      </c>
      <c r="M286" s="103" t="n">
        <v>0</v>
      </c>
      <c r="N286" s="103" t="n">
        <v>80</v>
      </c>
      <c r="O286" s="103" t="n">
        <v>6600.84</v>
      </c>
      <c r="P286" s="103" t="n">
        <v>0</v>
      </c>
      <c r="Q286" s="103" t="n">
        <v>0</v>
      </c>
      <c r="R286" s="103" t="n">
        <v>6600.84</v>
      </c>
      <c r="S286" s="103" t="s">
        <v>176</v>
      </c>
      <c r="T286" s="103" t="n">
        <v>80</v>
      </c>
      <c r="U286" s="103" t="s">
        <v>177</v>
      </c>
      <c r="V286" s="103" t="n">
        <v>500</v>
      </c>
      <c r="W286" s="103" t="n">
        <f aca="false">DATA_PIPELINE!$K286</f>
        <v>0</v>
      </c>
      <c r="X286" s="103" t="n">
        <f aca="false">DATA_PIPELINE!$V286-DATA_PIPELINE!$W286</f>
        <v>500</v>
      </c>
      <c r="Y286" s="103" t="str">
        <f aca="false">IF(DATA_PIPELINE!$X286=0,"Paid",IF(DATA_PIPELINE!$W286=0,"Unpaid","Partly Paid"))</f>
        <v>Unpaid</v>
      </c>
    </row>
    <row r="287" customFormat="false" ht="15" hidden="false" customHeight="true" outlineLevel="0" collapsed="false">
      <c r="A287" s="103" t="n">
        <v>282</v>
      </c>
      <c r="B287" s="103" t="s">
        <v>990</v>
      </c>
      <c r="C287" s="103" t="s">
        <v>987</v>
      </c>
      <c r="D287" s="107" t="s">
        <v>988</v>
      </c>
      <c r="E287" s="103" t="s">
        <v>991</v>
      </c>
      <c r="F287" s="103" t="n">
        <v>772301310</v>
      </c>
      <c r="G287" s="103" t="s">
        <v>533</v>
      </c>
      <c r="H287" s="103" t="s">
        <v>174</v>
      </c>
      <c r="I287" s="103" t="n">
        <v>11</v>
      </c>
      <c r="J287" s="103" t="s">
        <v>175</v>
      </c>
      <c r="K287" s="103" t="n">
        <v>0</v>
      </c>
      <c r="L287" s="103" t="n">
        <v>0</v>
      </c>
      <c r="M287" s="103" t="n">
        <v>60</v>
      </c>
      <c r="N287" s="103" t="n">
        <v>100</v>
      </c>
      <c r="O287" s="103" t="n">
        <v>33783.52</v>
      </c>
      <c r="P287" s="103" t="n">
        <v>0</v>
      </c>
      <c r="Q287" s="103" t="n">
        <v>0</v>
      </c>
      <c r="R287" s="103" t="n">
        <v>33783.52</v>
      </c>
      <c r="S287" s="103" t="s">
        <v>176</v>
      </c>
      <c r="T287" s="103" t="n">
        <v>160</v>
      </c>
      <c r="U287" s="103" t="s">
        <v>177</v>
      </c>
      <c r="V287" s="103" t="n">
        <v>500</v>
      </c>
      <c r="W287" s="103" t="n">
        <f aca="false">DATA_PIPELINE!$K287</f>
        <v>0</v>
      </c>
      <c r="X287" s="103" t="n">
        <f aca="false">DATA_PIPELINE!$V287-DATA_PIPELINE!$W287</f>
        <v>500</v>
      </c>
      <c r="Y287" s="103" t="str">
        <f aca="false">IF(DATA_PIPELINE!$X287=0,"Paid",IF(DATA_PIPELINE!$W287=0,"Unpaid","Partly Paid"))</f>
        <v>Unpaid</v>
      </c>
    </row>
    <row r="288" customFormat="false" ht="15" hidden="false" customHeight="true" outlineLevel="0" collapsed="false">
      <c r="A288" s="103" t="n">
        <v>283</v>
      </c>
      <c r="B288" s="105" t="s">
        <v>992</v>
      </c>
      <c r="C288" s="103" t="s">
        <v>993</v>
      </c>
      <c r="D288" s="107" t="s">
        <v>994</v>
      </c>
      <c r="E288" s="103" t="s">
        <v>995</v>
      </c>
      <c r="F288" s="103" t="n">
        <v>772619043</v>
      </c>
      <c r="G288" s="103" t="s">
        <v>533</v>
      </c>
      <c r="H288" s="103" t="s">
        <v>174</v>
      </c>
      <c r="I288" s="103" t="n">
        <v>9</v>
      </c>
      <c r="J288" s="103" t="s">
        <v>175</v>
      </c>
      <c r="K288" s="103" t="n">
        <v>200</v>
      </c>
      <c r="L288" s="103" t="n">
        <v>300</v>
      </c>
      <c r="M288" s="103" t="n">
        <v>0</v>
      </c>
      <c r="N288" s="103" t="n">
        <v>40</v>
      </c>
      <c r="O288" s="103" t="n">
        <v>4376.19</v>
      </c>
      <c r="P288" s="103" t="n">
        <v>0</v>
      </c>
      <c r="Q288" s="103" t="n">
        <v>0</v>
      </c>
      <c r="R288" s="103" t="n">
        <v>4376.19</v>
      </c>
      <c r="S288" s="103" t="s">
        <v>176</v>
      </c>
      <c r="T288" s="103" t="n">
        <v>40</v>
      </c>
      <c r="U288" s="103" t="s">
        <v>177</v>
      </c>
      <c r="V288" s="103" t="n">
        <v>500</v>
      </c>
      <c r="W288" s="103" t="n">
        <f aca="false">DATA_PIPELINE!$K288</f>
        <v>200</v>
      </c>
      <c r="X288" s="103" t="n">
        <f aca="false">DATA_PIPELINE!$V288-DATA_PIPELINE!$W288</f>
        <v>300</v>
      </c>
      <c r="Y288" s="103" t="str">
        <f aca="false">IF(DATA_PIPELINE!$X288=0,"Paid",IF(DATA_PIPELINE!$W288=0,"Unpaid","Partly Paid"))</f>
        <v>Partly Paid</v>
      </c>
    </row>
    <row r="289" customFormat="false" ht="15" hidden="false" customHeight="true" outlineLevel="0" collapsed="false">
      <c r="A289" s="103" t="n">
        <v>284</v>
      </c>
      <c r="B289" s="103" t="s">
        <v>996</v>
      </c>
      <c r="C289" s="103" t="s">
        <v>997</v>
      </c>
      <c r="D289" s="107" t="s">
        <v>988</v>
      </c>
      <c r="E289" s="103" t="s">
        <v>499</v>
      </c>
      <c r="F289" s="103" t="n">
        <v>773273634</v>
      </c>
      <c r="G289" s="103" t="s">
        <v>533</v>
      </c>
      <c r="H289" s="103" t="s">
        <v>174</v>
      </c>
      <c r="I289" s="103" t="n">
        <v>13</v>
      </c>
      <c r="J289" s="103" t="s">
        <v>175</v>
      </c>
      <c r="K289" s="103" t="n">
        <v>0</v>
      </c>
      <c r="L289" s="103" t="n">
        <v>0</v>
      </c>
      <c r="M289" s="103" t="n">
        <v>0</v>
      </c>
      <c r="N289" s="103" t="n">
        <v>30</v>
      </c>
      <c r="O289" s="103" t="n">
        <v>3744.52</v>
      </c>
      <c r="P289" s="103" t="n">
        <v>0</v>
      </c>
      <c r="Q289" s="103" t="n">
        <v>0</v>
      </c>
      <c r="R289" s="103" t="n">
        <v>3744.52</v>
      </c>
      <c r="S289" s="103" t="s">
        <v>176</v>
      </c>
      <c r="T289" s="103" t="n">
        <v>30</v>
      </c>
      <c r="U289" s="103" t="s">
        <v>177</v>
      </c>
      <c r="V289" s="103" t="n">
        <v>500</v>
      </c>
      <c r="W289" s="103" t="n">
        <f aca="false">DATA_PIPELINE!$K289</f>
        <v>0</v>
      </c>
      <c r="X289" s="103" t="n">
        <f aca="false">DATA_PIPELINE!$V289-DATA_PIPELINE!$W289</f>
        <v>500</v>
      </c>
      <c r="Y289" s="103" t="str">
        <f aca="false">IF(DATA_PIPELINE!$X289=0,"Paid",IF(DATA_PIPELINE!$W289=0,"Unpaid","Partly Paid"))</f>
        <v>Unpaid</v>
      </c>
    </row>
    <row r="290" customFormat="false" ht="15" hidden="false" customHeight="true" outlineLevel="0" collapsed="false">
      <c r="A290" s="103" t="n">
        <v>285</v>
      </c>
      <c r="B290" s="103" t="s">
        <v>998</v>
      </c>
      <c r="C290" s="103" t="s">
        <v>999</v>
      </c>
      <c r="D290" s="107" t="s">
        <v>358</v>
      </c>
      <c r="E290" s="103" t="s">
        <v>1000</v>
      </c>
      <c r="F290" s="103" t="n">
        <v>719640469</v>
      </c>
      <c r="G290" s="103" t="s">
        <v>533</v>
      </c>
      <c r="H290" s="103" t="s">
        <v>174</v>
      </c>
      <c r="I290" s="103" t="n">
        <v>13</v>
      </c>
      <c r="J290" s="103" t="s">
        <v>175</v>
      </c>
      <c r="K290" s="103" t="n">
        <v>0</v>
      </c>
      <c r="L290" s="103" t="n">
        <v>0</v>
      </c>
      <c r="M290" s="103" t="n">
        <v>0</v>
      </c>
      <c r="N290" s="103" t="n">
        <v>20</v>
      </c>
      <c r="O290" s="103" t="n">
        <v>12978.71</v>
      </c>
      <c r="P290" s="103" t="n">
        <v>0</v>
      </c>
      <c r="Q290" s="103" t="n">
        <v>0</v>
      </c>
      <c r="R290" s="103" t="n">
        <v>12978.71</v>
      </c>
      <c r="S290" s="103" t="s">
        <v>176</v>
      </c>
      <c r="T290" s="103" t="n">
        <v>50</v>
      </c>
      <c r="U290" s="103" t="s">
        <v>177</v>
      </c>
      <c r="V290" s="103" t="n">
        <v>500</v>
      </c>
      <c r="W290" s="103" t="n">
        <f aca="false">DATA_PIPELINE!$K290</f>
        <v>0</v>
      </c>
      <c r="X290" s="103" t="n">
        <f aca="false">DATA_PIPELINE!$V290-DATA_PIPELINE!$W290</f>
        <v>500</v>
      </c>
      <c r="Y290" s="103" t="str">
        <f aca="false">IF(DATA_PIPELINE!$X290=0,"Paid",IF(DATA_PIPELINE!$W290=0,"Unpaid","Partly Paid"))</f>
        <v>Unpaid</v>
      </c>
    </row>
    <row r="291" customFormat="false" ht="15" hidden="false" customHeight="true" outlineLevel="0" collapsed="false">
      <c r="A291" s="103" t="n">
        <v>286</v>
      </c>
      <c r="B291" s="105" t="s">
        <v>1001</v>
      </c>
      <c r="C291" s="103" t="s">
        <v>1002</v>
      </c>
      <c r="D291" s="107" t="s">
        <v>994</v>
      </c>
      <c r="E291" s="103" t="s">
        <v>1003</v>
      </c>
      <c r="F291" s="103" t="n">
        <v>778991845</v>
      </c>
      <c r="G291" s="103" t="s">
        <v>533</v>
      </c>
      <c r="H291" s="103" t="s">
        <v>174</v>
      </c>
      <c r="I291" s="103" t="n">
        <v>4</v>
      </c>
      <c r="J291" s="103" t="s">
        <v>175</v>
      </c>
      <c r="K291" s="103" t="n">
        <v>0</v>
      </c>
      <c r="L291" s="103" t="n">
        <v>0</v>
      </c>
      <c r="M291" s="103" t="n">
        <v>0</v>
      </c>
      <c r="N291" s="103" t="n">
        <v>20</v>
      </c>
      <c r="O291" s="103" t="n">
        <v>7604.83</v>
      </c>
      <c r="P291" s="103" t="n">
        <v>0</v>
      </c>
      <c r="Q291" s="103" t="n">
        <v>0</v>
      </c>
      <c r="R291" s="103" t="n">
        <v>7604.83</v>
      </c>
      <c r="S291" s="103" t="s">
        <v>176</v>
      </c>
      <c r="T291" s="103" t="n">
        <v>20</v>
      </c>
      <c r="U291" s="103" t="s">
        <v>177</v>
      </c>
      <c r="V291" s="103" t="n">
        <v>500</v>
      </c>
      <c r="W291" s="103" t="n">
        <f aca="false">DATA_PIPELINE!$K291</f>
        <v>0</v>
      </c>
      <c r="X291" s="103" t="n">
        <f aca="false">DATA_PIPELINE!$V291-DATA_PIPELINE!$W291</f>
        <v>500</v>
      </c>
      <c r="Y291" s="103" t="str">
        <f aca="false">IF(DATA_PIPELINE!$X291=0,"Paid",IF(DATA_PIPELINE!$W291=0,"Unpaid","Partly Paid"))</f>
        <v>Unpaid</v>
      </c>
    </row>
    <row r="292" customFormat="false" ht="15" hidden="false" customHeight="true" outlineLevel="0" collapsed="false">
      <c r="A292" s="103" t="n">
        <v>287</v>
      </c>
      <c r="B292" s="105" t="s">
        <v>1004</v>
      </c>
      <c r="C292" s="103" t="s">
        <v>593</v>
      </c>
      <c r="D292" s="107" t="s">
        <v>994</v>
      </c>
      <c r="E292" s="103" t="s">
        <v>1005</v>
      </c>
      <c r="F292" s="103" t="n">
        <v>772722722</v>
      </c>
      <c r="G292" s="103" t="s">
        <v>533</v>
      </c>
      <c r="H292" s="103" t="s">
        <v>174</v>
      </c>
      <c r="I292" s="103" t="n">
        <v>9</v>
      </c>
      <c r="J292" s="103" t="s">
        <v>175</v>
      </c>
      <c r="K292" s="103" t="n">
        <v>0</v>
      </c>
      <c r="L292" s="103" t="n">
        <v>0</v>
      </c>
      <c r="M292" s="103" t="n">
        <v>230</v>
      </c>
      <c r="N292" s="103" t="n">
        <v>0</v>
      </c>
      <c r="O292" s="103" t="n">
        <v>10322</v>
      </c>
      <c r="P292" s="103" t="n">
        <v>0</v>
      </c>
      <c r="Q292" s="103" t="n">
        <v>0</v>
      </c>
      <c r="R292" s="103" t="n">
        <v>10322</v>
      </c>
      <c r="S292" s="103" t="s">
        <v>176</v>
      </c>
      <c r="T292" s="103" t="n">
        <v>230</v>
      </c>
      <c r="U292" s="103" t="s">
        <v>247</v>
      </c>
      <c r="V292" s="103" t="n">
        <v>1000</v>
      </c>
      <c r="W292" s="103" t="n">
        <f aca="false">DATA_PIPELINE!$K292</f>
        <v>0</v>
      </c>
      <c r="X292" s="103" t="n">
        <f aca="false">DATA_PIPELINE!$V292-DATA_PIPELINE!$W292</f>
        <v>1000</v>
      </c>
      <c r="Y292" s="103" t="str">
        <f aca="false">IF(DATA_PIPELINE!$X292=0,"Paid",IF(DATA_PIPELINE!$W292=0,"Unpaid","Partly Paid"))</f>
        <v>Unpaid</v>
      </c>
    </row>
    <row r="293" customFormat="false" ht="15" hidden="false" customHeight="true" outlineLevel="0" collapsed="false">
      <c r="A293" s="103" t="n">
        <v>288</v>
      </c>
      <c r="B293" s="105" t="s">
        <v>1006</v>
      </c>
      <c r="C293" s="103" t="s">
        <v>1007</v>
      </c>
      <c r="D293" s="107" t="s">
        <v>994</v>
      </c>
      <c r="E293" s="103" t="s">
        <v>1008</v>
      </c>
      <c r="F293" s="103" t="n">
        <v>712932982</v>
      </c>
      <c r="G293" s="103" t="s">
        <v>533</v>
      </c>
      <c r="H293" s="103" t="s">
        <v>174</v>
      </c>
      <c r="I293" s="103" t="n">
        <v>4</v>
      </c>
      <c r="J293" s="103" t="s">
        <v>175</v>
      </c>
      <c r="K293" s="103" t="n">
        <v>0</v>
      </c>
      <c r="L293" s="103" t="n">
        <v>0</v>
      </c>
      <c r="M293" s="103" t="n">
        <v>0</v>
      </c>
      <c r="N293" s="103" t="n">
        <v>20</v>
      </c>
      <c r="O293" s="103" t="n">
        <v>8471.96</v>
      </c>
      <c r="P293" s="103" t="n">
        <v>0</v>
      </c>
      <c r="Q293" s="103" t="n">
        <v>0</v>
      </c>
      <c r="R293" s="103" t="n">
        <v>8471.96</v>
      </c>
      <c r="S293" s="103" t="s">
        <v>176</v>
      </c>
      <c r="T293" s="103" t="n">
        <v>20</v>
      </c>
      <c r="U293" s="103" t="s">
        <v>177</v>
      </c>
      <c r="V293" s="103" t="n">
        <v>500</v>
      </c>
      <c r="W293" s="103" t="n">
        <f aca="false">DATA_PIPELINE!$K293</f>
        <v>0</v>
      </c>
      <c r="X293" s="103" t="n">
        <f aca="false">DATA_PIPELINE!$V293-DATA_PIPELINE!$W293</f>
        <v>500</v>
      </c>
      <c r="Y293" s="103" t="str">
        <f aca="false">IF(DATA_PIPELINE!$X293=0,"Paid",IF(DATA_PIPELINE!$W293=0,"Unpaid","Partly Paid"))</f>
        <v>Unpaid</v>
      </c>
    </row>
    <row r="294" customFormat="false" ht="15" hidden="false" customHeight="true" outlineLevel="0" collapsed="false">
      <c r="A294" s="103" t="n">
        <v>289</v>
      </c>
      <c r="B294" s="103" t="s">
        <v>1009</v>
      </c>
      <c r="C294" s="103" t="s">
        <v>1010</v>
      </c>
      <c r="D294" s="107" t="s">
        <v>988</v>
      </c>
      <c r="E294" s="103" t="s">
        <v>1011</v>
      </c>
      <c r="F294" s="103" t="n">
        <v>716971018</v>
      </c>
      <c r="G294" s="103" t="s">
        <v>533</v>
      </c>
      <c r="H294" s="103" t="s">
        <v>174</v>
      </c>
      <c r="I294" s="103" t="n">
        <v>9</v>
      </c>
      <c r="J294" s="103" t="s">
        <v>175</v>
      </c>
      <c r="K294" s="103" t="n">
        <v>0</v>
      </c>
      <c r="L294" s="103" t="n">
        <v>0</v>
      </c>
      <c r="M294" s="103" t="n">
        <v>0</v>
      </c>
      <c r="N294" s="103" t="n">
        <v>20</v>
      </c>
      <c r="O294" s="103" t="n">
        <v>5846.68</v>
      </c>
      <c r="P294" s="103" t="n">
        <v>0</v>
      </c>
      <c r="Q294" s="103" t="n">
        <v>0</v>
      </c>
      <c r="R294" s="103" t="n">
        <v>5846.68</v>
      </c>
      <c r="S294" s="103" t="s">
        <v>176</v>
      </c>
      <c r="T294" s="103" t="n">
        <v>20</v>
      </c>
      <c r="U294" s="103" t="s">
        <v>177</v>
      </c>
      <c r="V294" s="103" t="n">
        <v>500</v>
      </c>
      <c r="W294" s="103" t="n">
        <f aca="false">DATA_PIPELINE!$K294</f>
        <v>0</v>
      </c>
      <c r="X294" s="103" t="n">
        <f aca="false">DATA_PIPELINE!$V294-DATA_PIPELINE!$W294</f>
        <v>500</v>
      </c>
      <c r="Y294" s="103" t="str">
        <f aca="false">IF(DATA_PIPELINE!$X294=0,"Paid",IF(DATA_PIPELINE!$W294=0,"Unpaid","Partly Paid"))</f>
        <v>Unpaid</v>
      </c>
    </row>
    <row r="295" customFormat="false" ht="15" hidden="false" customHeight="true" outlineLevel="0" collapsed="false">
      <c r="A295" s="103" t="n">
        <v>290</v>
      </c>
      <c r="B295" s="103" t="s">
        <v>1012</v>
      </c>
      <c r="C295" s="103" t="s">
        <v>1013</v>
      </c>
      <c r="D295" s="107" t="s">
        <v>988</v>
      </c>
      <c r="E295" s="103" t="s">
        <v>1014</v>
      </c>
      <c r="F295" s="103" t="n">
        <v>715473399</v>
      </c>
      <c r="G295" s="103" t="s">
        <v>533</v>
      </c>
      <c r="H295" s="103" t="s">
        <v>174</v>
      </c>
      <c r="I295" s="103" t="n">
        <v>9</v>
      </c>
      <c r="J295" s="103" t="s">
        <v>175</v>
      </c>
      <c r="K295" s="103" t="n">
        <v>0</v>
      </c>
      <c r="L295" s="103" t="n">
        <v>0</v>
      </c>
      <c r="M295" s="103" t="n">
        <v>0</v>
      </c>
      <c r="N295" s="103" t="n">
        <v>30</v>
      </c>
      <c r="O295" s="103" t="n">
        <v>6399.33</v>
      </c>
      <c r="P295" s="103" t="n">
        <v>0</v>
      </c>
      <c r="Q295" s="103" t="n">
        <v>0</v>
      </c>
      <c r="R295" s="103" t="n">
        <v>6399.33</v>
      </c>
      <c r="S295" s="103" t="s">
        <v>176</v>
      </c>
      <c r="T295" s="103" t="n">
        <v>30</v>
      </c>
      <c r="U295" s="103" t="s">
        <v>177</v>
      </c>
      <c r="V295" s="103" t="n">
        <v>500</v>
      </c>
      <c r="W295" s="103" t="n">
        <f aca="false">DATA_PIPELINE!$K295</f>
        <v>0</v>
      </c>
      <c r="X295" s="103" t="n">
        <f aca="false">DATA_PIPELINE!$V295-DATA_PIPELINE!$W295</f>
        <v>500</v>
      </c>
      <c r="Y295" s="103" t="str">
        <f aca="false">IF(DATA_PIPELINE!$X295=0,"Paid",IF(DATA_PIPELINE!$W295=0,"Unpaid","Partly Paid"))</f>
        <v>Unpaid</v>
      </c>
    </row>
    <row r="296" customFormat="false" ht="15" hidden="false" customHeight="true" outlineLevel="0" collapsed="false">
      <c r="A296" s="103" t="n">
        <v>291</v>
      </c>
      <c r="B296" s="103" t="s">
        <v>1015</v>
      </c>
      <c r="C296" s="103" t="s">
        <v>1016</v>
      </c>
      <c r="D296" s="107" t="s">
        <v>988</v>
      </c>
      <c r="E296" s="103" t="s">
        <v>1017</v>
      </c>
      <c r="F296" s="103" t="n">
        <v>714456822</v>
      </c>
      <c r="G296" s="103" t="s">
        <v>533</v>
      </c>
      <c r="H296" s="103" t="s">
        <v>174</v>
      </c>
      <c r="I296" s="103" t="n">
        <v>9</v>
      </c>
      <c r="J296" s="103" t="s">
        <v>175</v>
      </c>
      <c r="K296" s="103" t="n">
        <v>0</v>
      </c>
      <c r="L296" s="103" t="n">
        <v>0</v>
      </c>
      <c r="M296" s="103" t="n">
        <v>10</v>
      </c>
      <c r="N296" s="103" t="n">
        <v>40</v>
      </c>
      <c r="O296" s="103" t="n">
        <v>546</v>
      </c>
      <c r="P296" s="103" t="n">
        <v>0</v>
      </c>
      <c r="Q296" s="103" t="n">
        <v>0</v>
      </c>
      <c r="R296" s="103" t="n">
        <v>546</v>
      </c>
      <c r="S296" s="103" t="s">
        <v>176</v>
      </c>
      <c r="T296" s="103" t="n">
        <v>50</v>
      </c>
      <c r="U296" s="103" t="s">
        <v>177</v>
      </c>
      <c r="V296" s="103" t="n">
        <v>500</v>
      </c>
      <c r="W296" s="103" t="n">
        <f aca="false">DATA_PIPELINE!$K296</f>
        <v>0</v>
      </c>
      <c r="X296" s="103" t="n">
        <f aca="false">DATA_PIPELINE!$V296-DATA_PIPELINE!$W296</f>
        <v>500</v>
      </c>
      <c r="Y296" s="103" t="str">
        <f aca="false">IF(DATA_PIPELINE!$X296=0,"Paid",IF(DATA_PIPELINE!$W296=0,"Unpaid","Partly Paid"))</f>
        <v>Unpaid</v>
      </c>
    </row>
    <row r="297" customFormat="false" ht="15" hidden="false" customHeight="true" outlineLevel="0" collapsed="false">
      <c r="A297" s="103" t="n">
        <v>292</v>
      </c>
      <c r="B297" s="103" t="s">
        <v>1018</v>
      </c>
      <c r="C297" s="103" t="s">
        <v>1019</v>
      </c>
      <c r="D297" s="107" t="s">
        <v>988</v>
      </c>
      <c r="E297" s="103" t="s">
        <v>1020</v>
      </c>
      <c r="F297" s="103" t="n">
        <v>771746920</v>
      </c>
      <c r="G297" s="103" t="s">
        <v>533</v>
      </c>
      <c r="H297" s="103" t="s">
        <v>174</v>
      </c>
      <c r="I297" s="103" t="n">
        <v>9</v>
      </c>
      <c r="J297" s="103" t="s">
        <v>175</v>
      </c>
      <c r="K297" s="103" t="n">
        <v>0</v>
      </c>
      <c r="L297" s="103" t="n">
        <v>0</v>
      </c>
      <c r="M297" s="103" t="n">
        <v>0</v>
      </c>
      <c r="N297" s="103" t="n">
        <v>20</v>
      </c>
      <c r="O297" s="103" t="n">
        <v>4874.8</v>
      </c>
      <c r="P297" s="103" t="n">
        <v>0</v>
      </c>
      <c r="Q297" s="103" t="n">
        <v>0</v>
      </c>
      <c r="R297" s="103" t="n">
        <v>4874.8</v>
      </c>
      <c r="S297" s="103" t="s">
        <v>176</v>
      </c>
      <c r="T297" s="103" t="n">
        <v>20</v>
      </c>
      <c r="U297" s="103" t="s">
        <v>177</v>
      </c>
      <c r="V297" s="103" t="n">
        <v>500</v>
      </c>
      <c r="W297" s="103" t="n">
        <f aca="false">DATA_PIPELINE!$K297</f>
        <v>0</v>
      </c>
      <c r="X297" s="103" t="n">
        <f aca="false">DATA_PIPELINE!$V297-DATA_PIPELINE!$W297</f>
        <v>500</v>
      </c>
      <c r="Y297" s="103" t="str">
        <f aca="false">IF(DATA_PIPELINE!$X297=0,"Paid",IF(DATA_PIPELINE!$W297=0,"Unpaid","Partly Paid"))</f>
        <v>Unpaid</v>
      </c>
    </row>
    <row r="298" customFormat="false" ht="15" hidden="false" customHeight="true" outlineLevel="0" collapsed="false">
      <c r="A298" s="103" t="n">
        <v>293</v>
      </c>
      <c r="B298" s="103" t="s">
        <v>1021</v>
      </c>
      <c r="C298" s="103" t="s">
        <v>1022</v>
      </c>
      <c r="D298" s="107" t="s">
        <v>358</v>
      </c>
      <c r="E298" s="103" t="s">
        <v>1023</v>
      </c>
      <c r="F298" s="103" t="n">
        <v>773108895</v>
      </c>
      <c r="G298" s="103" t="s">
        <v>533</v>
      </c>
      <c r="H298" s="103" t="s">
        <v>174</v>
      </c>
      <c r="I298" s="103" t="n">
        <v>7</v>
      </c>
      <c r="J298" s="103" t="s">
        <v>175</v>
      </c>
      <c r="K298" s="103" t="n">
        <v>0</v>
      </c>
      <c r="L298" s="103" t="n">
        <v>0</v>
      </c>
      <c r="M298" s="103" t="n">
        <v>0</v>
      </c>
      <c r="N298" s="103" t="n">
        <v>30</v>
      </c>
      <c r="O298" s="103" t="n">
        <v>8295.16</v>
      </c>
      <c r="P298" s="103" t="n">
        <v>0</v>
      </c>
      <c r="Q298" s="103" t="n">
        <v>0</v>
      </c>
      <c r="R298" s="103" t="n">
        <v>8295.16</v>
      </c>
      <c r="S298" s="103" t="s">
        <v>176</v>
      </c>
      <c r="T298" s="103" t="n">
        <v>20</v>
      </c>
      <c r="U298" s="103" t="s">
        <v>177</v>
      </c>
      <c r="V298" s="103" t="n">
        <v>500</v>
      </c>
      <c r="W298" s="103" t="n">
        <f aca="false">DATA_PIPELINE!$K298</f>
        <v>0</v>
      </c>
      <c r="X298" s="103" t="n">
        <f aca="false">DATA_PIPELINE!$V298-DATA_PIPELINE!$W298</f>
        <v>500</v>
      </c>
      <c r="Y298" s="103" t="str">
        <f aca="false">IF(DATA_PIPELINE!$X298=0,"Paid",IF(DATA_PIPELINE!$W298=0,"Unpaid","Partly Paid"))</f>
        <v>Unpaid</v>
      </c>
    </row>
    <row r="299" customFormat="false" ht="15" hidden="false" customHeight="true" outlineLevel="0" collapsed="false">
      <c r="A299" s="103" t="n">
        <v>294</v>
      </c>
      <c r="B299" s="105" t="s">
        <v>1024</v>
      </c>
      <c r="C299" s="103" t="s">
        <v>1025</v>
      </c>
      <c r="D299" s="107" t="s">
        <v>994</v>
      </c>
      <c r="E299" s="103" t="s">
        <v>1026</v>
      </c>
      <c r="F299" s="103" t="n">
        <v>772981295</v>
      </c>
      <c r="G299" s="103" t="s">
        <v>533</v>
      </c>
      <c r="H299" s="103" t="s">
        <v>174</v>
      </c>
      <c r="I299" s="103" t="n">
        <v>13</v>
      </c>
      <c r="J299" s="103" t="s">
        <v>175</v>
      </c>
      <c r="K299" s="103" t="n">
        <v>0</v>
      </c>
      <c r="L299" s="103" t="n">
        <v>0</v>
      </c>
      <c r="M299" s="103" t="n">
        <v>0</v>
      </c>
      <c r="N299" s="103" t="n">
        <v>30</v>
      </c>
      <c r="O299" s="103" t="n">
        <v>3384.22</v>
      </c>
      <c r="P299" s="103" t="n">
        <v>0</v>
      </c>
      <c r="Q299" s="103" t="n">
        <v>0</v>
      </c>
      <c r="R299" s="103" t="n">
        <v>3384.22</v>
      </c>
      <c r="S299" s="103" t="s">
        <v>176</v>
      </c>
      <c r="T299" s="103" t="n">
        <v>30</v>
      </c>
      <c r="U299" s="103" t="s">
        <v>177</v>
      </c>
      <c r="V299" s="103" t="n">
        <v>500</v>
      </c>
      <c r="W299" s="103" t="n">
        <f aca="false">DATA_PIPELINE!$K299</f>
        <v>0</v>
      </c>
      <c r="X299" s="103" t="n">
        <f aca="false">DATA_PIPELINE!$V299-DATA_PIPELINE!$W299</f>
        <v>500</v>
      </c>
      <c r="Y299" s="103" t="str">
        <f aca="false">IF(DATA_PIPELINE!$X299=0,"Paid",IF(DATA_PIPELINE!$W299=0,"Unpaid","Partly Paid"))</f>
        <v>Unpaid</v>
      </c>
    </row>
    <row r="300" customFormat="false" ht="15" hidden="false" customHeight="true" outlineLevel="0" collapsed="false">
      <c r="A300" s="103" t="n">
        <v>295</v>
      </c>
      <c r="B300" s="103" t="s">
        <v>1027</v>
      </c>
      <c r="C300" s="103" t="s">
        <v>1028</v>
      </c>
      <c r="D300" s="107" t="s">
        <v>358</v>
      </c>
      <c r="E300" s="103" t="s">
        <v>1029</v>
      </c>
      <c r="F300" s="103" t="n">
        <v>774004501</v>
      </c>
      <c r="G300" s="103" t="s">
        <v>533</v>
      </c>
      <c r="H300" s="103" t="s">
        <v>174</v>
      </c>
      <c r="I300" s="103" t="n">
        <v>13</v>
      </c>
      <c r="J300" s="103" t="s">
        <v>175</v>
      </c>
      <c r="K300" s="103" t="n">
        <v>0</v>
      </c>
      <c r="L300" s="103" t="n">
        <v>0</v>
      </c>
      <c r="M300" s="103" t="n">
        <v>0</v>
      </c>
      <c r="N300" s="103" t="n">
        <v>30</v>
      </c>
      <c r="O300" s="103" t="n">
        <v>8025.25</v>
      </c>
      <c r="P300" s="103" t="n">
        <v>0</v>
      </c>
      <c r="Q300" s="103" t="n">
        <v>0</v>
      </c>
      <c r="R300" s="103" t="n">
        <v>8025.25</v>
      </c>
      <c r="S300" s="103" t="s">
        <v>176</v>
      </c>
      <c r="T300" s="103" t="n">
        <v>20</v>
      </c>
      <c r="U300" s="103" t="s">
        <v>177</v>
      </c>
      <c r="V300" s="103" t="n">
        <v>500</v>
      </c>
      <c r="W300" s="103" t="n">
        <f aca="false">DATA_PIPELINE!$K300</f>
        <v>0</v>
      </c>
      <c r="X300" s="103" t="n">
        <f aca="false">DATA_PIPELINE!$V300-DATA_PIPELINE!$W300</f>
        <v>500</v>
      </c>
      <c r="Y300" s="103" t="str">
        <f aca="false">IF(DATA_PIPELINE!$X300=0,"Paid",IF(DATA_PIPELINE!$W300=0,"Unpaid","Partly Paid"))</f>
        <v>Unpaid</v>
      </c>
    </row>
    <row r="301" customFormat="false" ht="15" hidden="false" customHeight="true" outlineLevel="0" collapsed="false">
      <c r="A301" s="103" t="n">
        <v>296</v>
      </c>
      <c r="B301" s="103" t="s">
        <v>1030</v>
      </c>
      <c r="C301" s="103" t="s">
        <v>1031</v>
      </c>
      <c r="D301" s="107" t="s">
        <v>988</v>
      </c>
      <c r="E301" s="103" t="s">
        <v>1032</v>
      </c>
      <c r="F301" s="103"/>
      <c r="G301" s="103" t="s">
        <v>533</v>
      </c>
      <c r="H301" s="103" t="s">
        <v>174</v>
      </c>
      <c r="I301" s="103" t="n">
        <v>13</v>
      </c>
      <c r="J301" s="103" t="s">
        <v>175</v>
      </c>
      <c r="K301" s="103" t="n">
        <v>0</v>
      </c>
      <c r="L301" s="103" t="n">
        <v>0</v>
      </c>
      <c r="M301" s="103" t="n">
        <v>0</v>
      </c>
      <c r="N301" s="103" t="n">
        <v>20</v>
      </c>
      <c r="O301" s="103" t="n">
        <v>3718.79</v>
      </c>
      <c r="P301" s="103" t="n">
        <v>0</v>
      </c>
      <c r="Q301" s="103" t="n">
        <v>0</v>
      </c>
      <c r="R301" s="103" t="n">
        <v>3718.79</v>
      </c>
      <c r="S301" s="103" t="s">
        <v>176</v>
      </c>
      <c r="T301" s="103" t="n">
        <v>20</v>
      </c>
      <c r="U301" s="103" t="s">
        <v>177</v>
      </c>
      <c r="V301" s="103" t="n">
        <v>500</v>
      </c>
      <c r="W301" s="103" t="n">
        <f aca="false">DATA_PIPELINE!$K301</f>
        <v>0</v>
      </c>
      <c r="X301" s="103" t="n">
        <f aca="false">DATA_PIPELINE!$V301-DATA_PIPELINE!$W301</f>
        <v>500</v>
      </c>
      <c r="Y301" s="103" t="str">
        <f aca="false">IF(DATA_PIPELINE!$X301=0,"Paid",IF(DATA_PIPELINE!$W301=0,"Unpaid","Partly Paid"))</f>
        <v>Unpaid</v>
      </c>
    </row>
    <row r="302" customFormat="false" ht="15" hidden="false" customHeight="true" outlineLevel="0" collapsed="false">
      <c r="A302" s="103" t="n">
        <v>297</v>
      </c>
      <c r="B302" s="103" t="s">
        <v>1033</v>
      </c>
      <c r="C302" s="103" t="s">
        <v>1034</v>
      </c>
      <c r="D302" s="107" t="s">
        <v>358</v>
      </c>
      <c r="E302" s="103" t="s">
        <v>1035</v>
      </c>
      <c r="F302" s="103"/>
      <c r="G302" s="103" t="s">
        <v>533</v>
      </c>
      <c r="H302" s="103" t="s">
        <v>174</v>
      </c>
      <c r="I302" s="103" t="n">
        <v>13</v>
      </c>
      <c r="J302" s="103" t="s">
        <v>175</v>
      </c>
      <c r="K302" s="103" t="n">
        <v>0</v>
      </c>
      <c r="L302" s="103" t="n">
        <v>0</v>
      </c>
      <c r="M302" s="103" t="n">
        <v>0</v>
      </c>
      <c r="N302" s="103" t="n">
        <v>50</v>
      </c>
      <c r="O302" s="103" t="n">
        <v>11453.68</v>
      </c>
      <c r="P302" s="103" t="n">
        <v>0</v>
      </c>
      <c r="Q302" s="103" t="n">
        <v>0</v>
      </c>
      <c r="R302" s="103" t="n">
        <v>11453.68</v>
      </c>
      <c r="S302" s="103" t="s">
        <v>176</v>
      </c>
      <c r="T302" s="103" t="n">
        <v>60</v>
      </c>
      <c r="U302" s="103" t="s">
        <v>177</v>
      </c>
      <c r="V302" s="103" t="n">
        <v>500</v>
      </c>
      <c r="W302" s="103" t="n">
        <f aca="false">DATA_PIPELINE!$K302</f>
        <v>0</v>
      </c>
      <c r="X302" s="103" t="n">
        <f aca="false">DATA_PIPELINE!$V302-DATA_PIPELINE!$W302</f>
        <v>500</v>
      </c>
      <c r="Y302" s="103" t="str">
        <f aca="false">IF(DATA_PIPELINE!$X302=0,"Paid",IF(DATA_PIPELINE!$W302=0,"Unpaid","Partly Paid"))</f>
        <v>Unpaid</v>
      </c>
    </row>
    <row r="303" customFormat="false" ht="15" hidden="false" customHeight="true" outlineLevel="0" collapsed="false">
      <c r="A303" s="103" t="n">
        <v>298</v>
      </c>
      <c r="B303" s="103" t="s">
        <v>1036</v>
      </c>
      <c r="C303" s="103" t="s">
        <v>1037</v>
      </c>
      <c r="D303" s="107" t="s">
        <v>988</v>
      </c>
      <c r="E303" s="103" t="s">
        <v>1038</v>
      </c>
      <c r="F303" s="103" t="n">
        <v>773811705</v>
      </c>
      <c r="G303" s="103" t="s">
        <v>533</v>
      </c>
      <c r="H303" s="103" t="s">
        <v>174</v>
      </c>
      <c r="I303" s="103" t="n">
        <v>7</v>
      </c>
      <c r="J303" s="103" t="s">
        <v>175</v>
      </c>
      <c r="K303" s="103" t="n">
        <v>0</v>
      </c>
      <c r="L303" s="103" t="n">
        <v>0</v>
      </c>
      <c r="M303" s="103" t="n">
        <v>0</v>
      </c>
      <c r="N303" s="103" t="n">
        <v>30</v>
      </c>
      <c r="O303" s="103" t="n">
        <v>6984.8</v>
      </c>
      <c r="P303" s="103" t="n">
        <v>0</v>
      </c>
      <c r="Q303" s="103" t="n">
        <v>0</v>
      </c>
      <c r="R303" s="103" t="n">
        <v>6984.8</v>
      </c>
      <c r="S303" s="103" t="s">
        <v>176</v>
      </c>
      <c r="T303" s="103" t="n">
        <v>30</v>
      </c>
      <c r="U303" s="103" t="s">
        <v>177</v>
      </c>
      <c r="V303" s="103" t="n">
        <v>500</v>
      </c>
      <c r="W303" s="103" t="n">
        <f aca="false">DATA_PIPELINE!$K303</f>
        <v>0</v>
      </c>
      <c r="X303" s="103" t="n">
        <f aca="false">DATA_PIPELINE!$V303-DATA_PIPELINE!$W303</f>
        <v>500</v>
      </c>
      <c r="Y303" s="103" t="str">
        <f aca="false">IF(DATA_PIPELINE!$X303=0,"Paid",IF(DATA_PIPELINE!$W303=0,"Unpaid","Partly Paid"))</f>
        <v>Unpaid</v>
      </c>
    </row>
    <row r="304" customFormat="false" ht="15" hidden="false" customHeight="true" outlineLevel="0" collapsed="false">
      <c r="A304" s="103" t="n">
        <v>299</v>
      </c>
      <c r="B304" s="103" t="s">
        <v>1039</v>
      </c>
      <c r="C304" s="103" t="s">
        <v>1040</v>
      </c>
      <c r="D304" s="107" t="s">
        <v>988</v>
      </c>
      <c r="E304" s="103" t="s">
        <v>1041</v>
      </c>
      <c r="F304" s="103" t="n">
        <v>772987493</v>
      </c>
      <c r="G304" s="103" t="s">
        <v>533</v>
      </c>
      <c r="H304" s="103" t="s">
        <v>174</v>
      </c>
      <c r="I304" s="103" t="n">
        <v>9</v>
      </c>
      <c r="J304" s="103" t="s">
        <v>175</v>
      </c>
      <c r="K304" s="103" t="n">
        <v>0</v>
      </c>
      <c r="L304" s="103" t="n">
        <v>0</v>
      </c>
      <c r="M304" s="103" t="n">
        <v>0</v>
      </c>
      <c r="N304" s="103" t="n">
        <v>10</v>
      </c>
      <c r="O304" s="103" t="n">
        <v>6444.69</v>
      </c>
      <c r="P304" s="103" t="n">
        <v>0</v>
      </c>
      <c r="Q304" s="103" t="n">
        <v>0</v>
      </c>
      <c r="R304" s="103" t="n">
        <v>6444.69</v>
      </c>
      <c r="S304" s="103" t="s">
        <v>176</v>
      </c>
      <c r="T304" s="103" t="n">
        <v>10</v>
      </c>
      <c r="U304" s="103" t="s">
        <v>177</v>
      </c>
      <c r="V304" s="103" t="n">
        <v>500</v>
      </c>
      <c r="W304" s="103" t="n">
        <f aca="false">DATA_PIPELINE!$K304</f>
        <v>0</v>
      </c>
      <c r="X304" s="103" t="n">
        <f aca="false">DATA_PIPELINE!$V304-DATA_PIPELINE!$W304</f>
        <v>500</v>
      </c>
      <c r="Y304" s="103" t="str">
        <f aca="false">IF(DATA_PIPELINE!$X304=0,"Paid",IF(DATA_PIPELINE!$W304=0,"Unpaid","Partly Paid"))</f>
        <v>Unpaid</v>
      </c>
    </row>
    <row r="305" customFormat="false" ht="15" hidden="false" customHeight="true" outlineLevel="0" collapsed="false">
      <c r="A305" s="103" t="n">
        <v>300</v>
      </c>
      <c r="B305" s="105" t="s">
        <v>1042</v>
      </c>
      <c r="C305" s="103" t="s">
        <v>1040</v>
      </c>
      <c r="D305" s="107" t="s">
        <v>994</v>
      </c>
      <c r="E305" s="103" t="s">
        <v>1043</v>
      </c>
      <c r="F305" s="103" t="n">
        <v>771337672</v>
      </c>
      <c r="G305" s="103" t="s">
        <v>533</v>
      </c>
      <c r="H305" s="103" t="s">
        <v>174</v>
      </c>
      <c r="I305" s="103" t="n">
        <v>9</v>
      </c>
      <c r="J305" s="103" t="s">
        <v>175</v>
      </c>
      <c r="K305" s="103" t="n">
        <v>0</v>
      </c>
      <c r="L305" s="103" t="n">
        <v>0</v>
      </c>
      <c r="M305" s="103" t="n">
        <v>0</v>
      </c>
      <c r="N305" s="103" t="n">
        <v>20</v>
      </c>
      <c r="O305" s="103" t="n">
        <v>2492.49</v>
      </c>
      <c r="P305" s="103" t="n">
        <v>0</v>
      </c>
      <c r="Q305" s="103" t="n">
        <v>0</v>
      </c>
      <c r="R305" s="103" t="n">
        <v>2492.49</v>
      </c>
      <c r="S305" s="103" t="s">
        <v>176</v>
      </c>
      <c r="T305" s="103" t="n">
        <v>20</v>
      </c>
      <c r="U305" s="103" t="s">
        <v>177</v>
      </c>
      <c r="V305" s="103" t="n">
        <v>500</v>
      </c>
      <c r="W305" s="103" t="n">
        <f aca="false">DATA_PIPELINE!$K305</f>
        <v>0</v>
      </c>
      <c r="X305" s="103" t="n">
        <f aca="false">DATA_PIPELINE!$V305-DATA_PIPELINE!$W305</f>
        <v>500</v>
      </c>
      <c r="Y305" s="103" t="str">
        <f aca="false">IF(DATA_PIPELINE!$X305=0,"Paid",IF(DATA_PIPELINE!$W305=0,"Unpaid","Partly Paid"))</f>
        <v>Unpaid</v>
      </c>
    </row>
    <row r="306" customFormat="false" ht="15" hidden="false" customHeight="true" outlineLevel="0" collapsed="false">
      <c r="A306" s="103" t="n">
        <v>301</v>
      </c>
      <c r="B306" s="105" t="s">
        <v>1044</v>
      </c>
      <c r="C306" s="103" t="s">
        <v>1040</v>
      </c>
      <c r="D306" s="107" t="s">
        <v>994</v>
      </c>
      <c r="E306" s="103" t="s">
        <v>1045</v>
      </c>
      <c r="F306" s="103" t="n">
        <v>713507153</v>
      </c>
      <c r="G306" s="103" t="s">
        <v>533</v>
      </c>
      <c r="H306" s="103" t="s">
        <v>174</v>
      </c>
      <c r="I306" s="103" t="n">
        <v>9</v>
      </c>
      <c r="J306" s="103" t="s">
        <v>175</v>
      </c>
      <c r="K306" s="103" t="n">
        <v>0</v>
      </c>
      <c r="L306" s="103" t="n">
        <v>0</v>
      </c>
      <c r="M306" s="103" t="n">
        <v>0</v>
      </c>
      <c r="N306" s="103" t="n">
        <v>20</v>
      </c>
      <c r="O306" s="103" t="n">
        <v>3430.6</v>
      </c>
      <c r="P306" s="103" t="n">
        <v>0</v>
      </c>
      <c r="Q306" s="103" t="n">
        <v>0</v>
      </c>
      <c r="R306" s="103" t="n">
        <v>3430.6</v>
      </c>
      <c r="S306" s="103" t="s">
        <v>176</v>
      </c>
      <c r="T306" s="103" t="n">
        <v>20</v>
      </c>
      <c r="U306" s="103" t="s">
        <v>177</v>
      </c>
      <c r="V306" s="103" t="n">
        <v>500</v>
      </c>
      <c r="W306" s="103" t="n">
        <f aca="false">DATA_PIPELINE!$K306</f>
        <v>0</v>
      </c>
      <c r="X306" s="103" t="n">
        <f aca="false">DATA_PIPELINE!$V306-DATA_PIPELINE!$W306</f>
        <v>500</v>
      </c>
      <c r="Y306" s="103" t="str">
        <f aca="false">IF(DATA_PIPELINE!$X306=0,"Paid",IF(DATA_PIPELINE!$W306=0,"Unpaid","Partly Paid"))</f>
        <v>Unpaid</v>
      </c>
    </row>
    <row r="307" customFormat="false" ht="15" hidden="false" customHeight="true" outlineLevel="0" collapsed="false">
      <c r="A307" s="103" t="n">
        <v>302</v>
      </c>
      <c r="B307" s="103" t="s">
        <v>1046</v>
      </c>
      <c r="C307" s="103" t="s">
        <v>1047</v>
      </c>
      <c r="D307" s="107" t="s">
        <v>358</v>
      </c>
      <c r="E307" s="103" t="s">
        <v>1048</v>
      </c>
      <c r="F307" s="103" t="n">
        <v>787424168</v>
      </c>
      <c r="G307" s="103" t="s">
        <v>533</v>
      </c>
      <c r="H307" s="103" t="s">
        <v>174</v>
      </c>
      <c r="I307" s="103" t="n">
        <v>13</v>
      </c>
      <c r="J307" s="103" t="s">
        <v>175</v>
      </c>
      <c r="K307" s="103" t="n">
        <v>0</v>
      </c>
      <c r="L307" s="103" t="n">
        <v>0</v>
      </c>
      <c r="M307" s="103" t="n">
        <v>0</v>
      </c>
      <c r="N307" s="103" t="n">
        <v>20</v>
      </c>
      <c r="O307" s="103" t="n">
        <v>5298.98</v>
      </c>
      <c r="P307" s="103" t="n">
        <v>0</v>
      </c>
      <c r="Q307" s="103" t="n">
        <v>0</v>
      </c>
      <c r="R307" s="103" t="n">
        <v>5298.98</v>
      </c>
      <c r="S307" s="103" t="s">
        <v>176</v>
      </c>
      <c r="T307" s="103" t="n">
        <v>20</v>
      </c>
      <c r="U307" s="103" t="s">
        <v>177</v>
      </c>
      <c r="V307" s="103" t="n">
        <v>500</v>
      </c>
      <c r="W307" s="103" t="n">
        <f aca="false">DATA_PIPELINE!$K307</f>
        <v>0</v>
      </c>
      <c r="X307" s="103" t="n">
        <f aca="false">DATA_PIPELINE!$V307-DATA_PIPELINE!$W307</f>
        <v>500</v>
      </c>
      <c r="Y307" s="103" t="str">
        <f aca="false">IF(DATA_PIPELINE!$X307=0,"Paid",IF(DATA_PIPELINE!$W307=0,"Unpaid","Partly Paid"))</f>
        <v>Unpaid</v>
      </c>
    </row>
    <row r="308" customFormat="false" ht="15" hidden="false" customHeight="true" outlineLevel="0" collapsed="false">
      <c r="A308" s="103" t="n">
        <v>303</v>
      </c>
      <c r="B308" s="103" t="s">
        <v>1049</v>
      </c>
      <c r="C308" s="103" t="s">
        <v>1050</v>
      </c>
      <c r="D308" s="107" t="s">
        <v>988</v>
      </c>
      <c r="E308" s="103" t="s">
        <v>1051</v>
      </c>
      <c r="F308" s="103" t="n">
        <v>774962133</v>
      </c>
      <c r="G308" s="103" t="s">
        <v>533</v>
      </c>
      <c r="H308" s="103" t="s">
        <v>174</v>
      </c>
      <c r="I308" s="103" t="n">
        <v>13</v>
      </c>
      <c r="J308" s="103" t="s">
        <v>175</v>
      </c>
      <c r="K308" s="103" t="n">
        <v>0</v>
      </c>
      <c r="L308" s="103" t="n">
        <v>0</v>
      </c>
      <c r="M308" s="103" t="n">
        <v>0</v>
      </c>
      <c r="N308" s="103" t="n">
        <v>20</v>
      </c>
      <c r="O308" s="103" t="n">
        <v>2338</v>
      </c>
      <c r="P308" s="103" t="n">
        <v>0</v>
      </c>
      <c r="Q308" s="103" t="n">
        <v>0</v>
      </c>
      <c r="R308" s="103" t="n">
        <v>2338</v>
      </c>
      <c r="S308" s="103" t="s">
        <v>176</v>
      </c>
      <c r="T308" s="103" t="n">
        <v>20</v>
      </c>
      <c r="U308" s="103" t="s">
        <v>177</v>
      </c>
      <c r="V308" s="103" t="n">
        <v>500</v>
      </c>
      <c r="W308" s="103" t="n">
        <f aca="false">DATA_PIPELINE!$K308</f>
        <v>0</v>
      </c>
      <c r="X308" s="103" t="n">
        <f aca="false">DATA_PIPELINE!$V308-DATA_PIPELINE!$W308</f>
        <v>500</v>
      </c>
      <c r="Y308" s="103" t="str">
        <f aca="false">IF(DATA_PIPELINE!$X308=0,"Paid",IF(DATA_PIPELINE!$W308=0,"Unpaid","Partly Paid"))</f>
        <v>Unpaid</v>
      </c>
    </row>
    <row r="309" customFormat="false" ht="15" hidden="false" customHeight="true" outlineLevel="0" collapsed="false">
      <c r="A309" s="103" t="n">
        <v>304</v>
      </c>
      <c r="B309" s="103" t="s">
        <v>1052</v>
      </c>
      <c r="C309" s="103" t="s">
        <v>1053</v>
      </c>
      <c r="D309" s="107" t="s">
        <v>988</v>
      </c>
      <c r="E309" s="103" t="s">
        <v>1054</v>
      </c>
      <c r="F309" s="103" t="n">
        <v>771747920</v>
      </c>
      <c r="G309" s="103" t="s">
        <v>533</v>
      </c>
      <c r="H309" s="103" t="s">
        <v>174</v>
      </c>
      <c r="I309" s="103" t="n">
        <v>13</v>
      </c>
      <c r="J309" s="103" t="s">
        <v>175</v>
      </c>
      <c r="K309" s="103" t="n">
        <v>0</v>
      </c>
      <c r="L309" s="103" t="n">
        <v>0</v>
      </c>
      <c r="M309" s="103" t="n">
        <v>0</v>
      </c>
      <c r="N309" s="103" t="n">
        <v>10</v>
      </c>
      <c r="O309" s="103" t="n">
        <v>2503.9</v>
      </c>
      <c r="P309" s="103" t="n">
        <v>0</v>
      </c>
      <c r="Q309" s="103" t="n">
        <v>0</v>
      </c>
      <c r="R309" s="103" t="n">
        <v>2503.9</v>
      </c>
      <c r="S309" s="103" t="s">
        <v>176</v>
      </c>
      <c r="T309" s="103" t="n">
        <v>10</v>
      </c>
      <c r="U309" s="103" t="s">
        <v>177</v>
      </c>
      <c r="V309" s="103" t="n">
        <v>500</v>
      </c>
      <c r="W309" s="103" t="n">
        <f aca="false">DATA_PIPELINE!$K309</f>
        <v>0</v>
      </c>
      <c r="X309" s="103" t="n">
        <f aca="false">DATA_PIPELINE!$V309-DATA_PIPELINE!$W309</f>
        <v>500</v>
      </c>
      <c r="Y309" s="103" t="str">
        <f aca="false">IF(DATA_PIPELINE!$X309=0,"Paid",IF(DATA_PIPELINE!$W309=0,"Unpaid","Partly Paid"))</f>
        <v>Unpaid</v>
      </c>
    </row>
    <row r="310" customFormat="false" ht="15" hidden="false" customHeight="true" outlineLevel="0" collapsed="false">
      <c r="A310" s="103" t="n">
        <v>305</v>
      </c>
      <c r="B310" s="103" t="s">
        <v>1055</v>
      </c>
      <c r="C310" s="103" t="s">
        <v>1053</v>
      </c>
      <c r="D310" s="107" t="s">
        <v>988</v>
      </c>
      <c r="E310" s="103" t="s">
        <v>1056</v>
      </c>
      <c r="F310" s="103" t="n">
        <v>784736214</v>
      </c>
      <c r="G310" s="103" t="s">
        <v>533</v>
      </c>
      <c r="H310" s="103" t="s">
        <v>174</v>
      </c>
      <c r="I310" s="103" t="n">
        <v>13</v>
      </c>
      <c r="J310" s="103" t="s">
        <v>175</v>
      </c>
      <c r="K310" s="103" t="n">
        <v>0</v>
      </c>
      <c r="L310" s="103" t="n">
        <v>0</v>
      </c>
      <c r="M310" s="103" t="n">
        <v>0</v>
      </c>
      <c r="N310" s="103" t="n">
        <v>10</v>
      </c>
      <c r="O310" s="103" t="n">
        <v>1960.43</v>
      </c>
      <c r="P310" s="103" t="n">
        <v>0</v>
      </c>
      <c r="Q310" s="103" t="n">
        <v>0</v>
      </c>
      <c r="R310" s="103" t="n">
        <v>1960.43</v>
      </c>
      <c r="S310" s="103" t="s">
        <v>176</v>
      </c>
      <c r="T310" s="103" t="n">
        <v>10</v>
      </c>
      <c r="U310" s="103" t="s">
        <v>177</v>
      </c>
      <c r="V310" s="103" t="n">
        <v>500</v>
      </c>
      <c r="W310" s="103" t="n">
        <f aca="false">DATA_PIPELINE!$K310</f>
        <v>0</v>
      </c>
      <c r="X310" s="103" t="n">
        <f aca="false">DATA_PIPELINE!$V310-DATA_PIPELINE!$W310</f>
        <v>500</v>
      </c>
      <c r="Y310" s="103" t="str">
        <f aca="false">IF(DATA_PIPELINE!$X310=0,"Paid",IF(DATA_PIPELINE!$W310=0,"Unpaid","Partly Paid"))</f>
        <v>Unpaid</v>
      </c>
    </row>
    <row r="311" customFormat="false" ht="15" hidden="false" customHeight="true" outlineLevel="0" collapsed="false">
      <c r="A311" s="103" t="n">
        <v>306</v>
      </c>
      <c r="B311" s="103" t="s">
        <v>1057</v>
      </c>
      <c r="C311" s="103" t="s">
        <v>1058</v>
      </c>
      <c r="D311" s="107" t="s">
        <v>988</v>
      </c>
      <c r="E311" s="103" t="s">
        <v>1059</v>
      </c>
      <c r="F311" s="103" t="n">
        <v>77642558</v>
      </c>
      <c r="G311" s="103" t="s">
        <v>533</v>
      </c>
      <c r="H311" s="103" t="s">
        <v>174</v>
      </c>
      <c r="I311" s="103" t="n">
        <v>9</v>
      </c>
      <c r="J311" s="103" t="s">
        <v>175</v>
      </c>
      <c r="K311" s="103" t="n">
        <v>200</v>
      </c>
      <c r="L311" s="103" t="n">
        <v>500</v>
      </c>
      <c r="M311" s="103" t="n">
        <v>0</v>
      </c>
      <c r="N311" s="103" t="n">
        <v>10</v>
      </c>
      <c r="O311" s="103" t="n">
        <v>2484.33</v>
      </c>
      <c r="P311" s="103" t="n">
        <v>0</v>
      </c>
      <c r="Q311" s="103" t="n">
        <v>0</v>
      </c>
      <c r="R311" s="103" t="n">
        <v>2484.33</v>
      </c>
      <c r="S311" s="103" t="s">
        <v>176</v>
      </c>
      <c r="T311" s="103" t="n">
        <v>10</v>
      </c>
      <c r="U311" s="103" t="s">
        <v>177</v>
      </c>
      <c r="V311" s="103" t="n">
        <v>500</v>
      </c>
      <c r="W311" s="103" t="n">
        <f aca="false">DATA_PIPELINE!$K311</f>
        <v>200</v>
      </c>
      <c r="X311" s="103" t="n">
        <f aca="false">DATA_PIPELINE!$V311-DATA_PIPELINE!$W311</f>
        <v>300</v>
      </c>
      <c r="Y311" s="103" t="str">
        <f aca="false">IF(DATA_PIPELINE!$X311=0,"Paid",IF(DATA_PIPELINE!$W311=0,"Unpaid","Partly Paid"))</f>
        <v>Partly Paid</v>
      </c>
    </row>
    <row r="312" customFormat="false" ht="15" hidden="false" customHeight="true" outlineLevel="0" collapsed="false">
      <c r="A312" s="103" t="n">
        <v>307</v>
      </c>
      <c r="B312" s="103" t="s">
        <v>1060</v>
      </c>
      <c r="C312" s="103" t="s">
        <v>1061</v>
      </c>
      <c r="D312" s="107" t="s">
        <v>358</v>
      </c>
      <c r="E312" s="103" t="s">
        <v>1062</v>
      </c>
      <c r="F312" s="103" t="n">
        <v>782926030</v>
      </c>
      <c r="G312" s="103" t="s">
        <v>533</v>
      </c>
      <c r="H312" s="103" t="s">
        <v>174</v>
      </c>
      <c r="I312" s="103" t="n">
        <v>9</v>
      </c>
      <c r="J312" s="103" t="s">
        <v>175</v>
      </c>
      <c r="K312" s="103" t="n">
        <v>0</v>
      </c>
      <c r="L312" s="103" t="n">
        <v>0</v>
      </c>
      <c r="M312" s="103" t="n">
        <v>0</v>
      </c>
      <c r="N312" s="103" t="n">
        <v>10</v>
      </c>
      <c r="O312" s="103" t="n">
        <v>3710.15</v>
      </c>
      <c r="P312" s="103" t="n">
        <v>0</v>
      </c>
      <c r="Q312" s="103" t="n">
        <v>0</v>
      </c>
      <c r="R312" s="103" t="n">
        <v>3710.15</v>
      </c>
      <c r="S312" s="103" t="s">
        <v>176</v>
      </c>
      <c r="T312" s="103" t="n">
        <v>10</v>
      </c>
      <c r="U312" s="103" t="s">
        <v>177</v>
      </c>
      <c r="V312" s="103" t="n">
        <v>500</v>
      </c>
      <c r="W312" s="103" t="n">
        <f aca="false">DATA_PIPELINE!$K312</f>
        <v>0</v>
      </c>
      <c r="X312" s="103" t="n">
        <f aca="false">DATA_PIPELINE!$V312-DATA_PIPELINE!$W312</f>
        <v>500</v>
      </c>
      <c r="Y312" s="103" t="str">
        <f aca="false">IF(DATA_PIPELINE!$X312=0,"Paid",IF(DATA_PIPELINE!$W312=0,"Unpaid","Partly Paid"))</f>
        <v>Unpaid</v>
      </c>
    </row>
    <row r="313" customFormat="false" ht="15" hidden="false" customHeight="true" outlineLevel="0" collapsed="false">
      <c r="A313" s="103" t="n">
        <v>308</v>
      </c>
      <c r="B313" s="105" t="s">
        <v>1063</v>
      </c>
      <c r="C313" s="103" t="s">
        <v>1064</v>
      </c>
      <c r="D313" s="107" t="s">
        <v>994</v>
      </c>
      <c r="E313" s="103" t="s">
        <v>1065</v>
      </c>
      <c r="F313" s="103" t="n">
        <v>787424561</v>
      </c>
      <c r="G313" s="103" t="s">
        <v>533</v>
      </c>
      <c r="H313" s="103" t="s">
        <v>174</v>
      </c>
      <c r="I313" s="103" t="n">
        <v>9</v>
      </c>
      <c r="J313" s="103" t="s">
        <v>175</v>
      </c>
      <c r="K313" s="103" t="n">
        <v>0</v>
      </c>
      <c r="L313" s="103" t="n">
        <v>0</v>
      </c>
      <c r="M313" s="103" t="n">
        <v>0</v>
      </c>
      <c r="N313" s="103" t="n">
        <v>20</v>
      </c>
      <c r="O313" s="103" t="n">
        <v>2503.9</v>
      </c>
      <c r="P313" s="103" t="n">
        <v>4.489</v>
      </c>
      <c r="Q313" s="103" t="n">
        <v>1637.36</v>
      </c>
      <c r="R313" s="103" t="n">
        <v>866.54</v>
      </c>
      <c r="S313" s="103" t="n">
        <v>65.39</v>
      </c>
      <c r="T313" s="103" t="n">
        <v>20</v>
      </c>
      <c r="U313" s="103" t="s">
        <v>177</v>
      </c>
      <c r="V313" s="103" t="n">
        <v>500</v>
      </c>
      <c r="W313" s="103" t="n">
        <f aca="false">DATA_PIPELINE!$K313</f>
        <v>0</v>
      </c>
      <c r="X313" s="103" t="n">
        <f aca="false">DATA_PIPELINE!$V313-DATA_PIPELINE!$W313</f>
        <v>500</v>
      </c>
      <c r="Y313" s="103" t="str">
        <f aca="false">IF(DATA_PIPELINE!$X313=0,"Paid",IF(DATA_PIPELINE!$W313=0,"Unpaid","Partly Paid"))</f>
        <v>Unpaid</v>
      </c>
    </row>
    <row r="314" customFormat="false" ht="15" hidden="false" customHeight="true" outlineLevel="0" collapsed="false">
      <c r="A314" s="103" t="n">
        <v>309</v>
      </c>
      <c r="B314" s="103" t="s">
        <v>1066</v>
      </c>
      <c r="C314" s="103" t="s">
        <v>1067</v>
      </c>
      <c r="D314" s="107" t="s">
        <v>988</v>
      </c>
      <c r="E314" s="103" t="s">
        <v>1068</v>
      </c>
      <c r="F314" s="103" t="n">
        <v>772630699</v>
      </c>
      <c r="G314" s="103" t="s">
        <v>533</v>
      </c>
      <c r="H314" s="103" t="s">
        <v>174</v>
      </c>
      <c r="I314" s="103" t="n">
        <v>9</v>
      </c>
      <c r="J314" s="103" t="s">
        <v>175</v>
      </c>
      <c r="K314" s="103" t="n">
        <v>0</v>
      </c>
      <c r="L314" s="103" t="n">
        <v>0</v>
      </c>
      <c r="M314" s="103" t="n">
        <v>0</v>
      </c>
      <c r="N314" s="103" t="n">
        <v>20</v>
      </c>
      <c r="O314" s="103" t="n">
        <v>5034.17</v>
      </c>
      <c r="P314" s="103" t="n">
        <v>0</v>
      </c>
      <c r="Q314" s="103" t="n">
        <v>0</v>
      </c>
      <c r="R314" s="103" t="n">
        <v>5034.17</v>
      </c>
      <c r="S314" s="103" t="s">
        <v>176</v>
      </c>
      <c r="T314" s="103" t="n">
        <v>20</v>
      </c>
      <c r="U314" s="103" t="s">
        <v>177</v>
      </c>
      <c r="V314" s="103" t="n">
        <v>500</v>
      </c>
      <c r="W314" s="103" t="n">
        <f aca="false">DATA_PIPELINE!$K314</f>
        <v>0</v>
      </c>
      <c r="X314" s="103" t="n">
        <f aca="false">DATA_PIPELINE!$V314-DATA_PIPELINE!$W314</f>
        <v>500</v>
      </c>
      <c r="Y314" s="103" t="str">
        <f aca="false">IF(DATA_PIPELINE!$X314=0,"Paid",IF(DATA_PIPELINE!$W314=0,"Unpaid","Partly Paid"))</f>
        <v>Unpaid</v>
      </c>
    </row>
    <row r="315" customFormat="false" ht="15" hidden="false" customHeight="true" outlineLevel="0" collapsed="false">
      <c r="A315" s="103" t="n">
        <v>310</v>
      </c>
      <c r="B315" s="103" t="s">
        <v>1069</v>
      </c>
      <c r="C315" s="103" t="s">
        <v>1070</v>
      </c>
      <c r="D315" s="107" t="s">
        <v>988</v>
      </c>
      <c r="E315" s="103" t="s">
        <v>1071</v>
      </c>
      <c r="F315" s="103" t="n">
        <v>774281560</v>
      </c>
      <c r="G315" s="103" t="s">
        <v>533</v>
      </c>
      <c r="H315" s="103" t="s">
        <v>174</v>
      </c>
      <c r="I315" s="103" t="n">
        <v>9</v>
      </c>
      <c r="J315" s="103" t="s">
        <v>175</v>
      </c>
      <c r="K315" s="103" t="n">
        <v>0</v>
      </c>
      <c r="L315" s="103" t="n">
        <v>0</v>
      </c>
      <c r="M315" s="103" t="n">
        <v>0</v>
      </c>
      <c r="N315" s="103" t="n">
        <v>20</v>
      </c>
      <c r="O315" s="103" t="n">
        <v>4226.09</v>
      </c>
      <c r="P315" s="103" t="n">
        <v>0</v>
      </c>
      <c r="Q315" s="103" t="n">
        <v>0</v>
      </c>
      <c r="R315" s="103" t="n">
        <v>4226.09</v>
      </c>
      <c r="S315" s="103" t="s">
        <v>176</v>
      </c>
      <c r="T315" s="103" t="n">
        <v>20</v>
      </c>
      <c r="U315" s="103" t="s">
        <v>177</v>
      </c>
      <c r="V315" s="103" t="n">
        <v>500</v>
      </c>
      <c r="W315" s="103" t="n">
        <f aca="false">DATA_PIPELINE!$K315</f>
        <v>0</v>
      </c>
      <c r="X315" s="103" t="n">
        <f aca="false">DATA_PIPELINE!$V315-DATA_PIPELINE!$W315</f>
        <v>500</v>
      </c>
      <c r="Y315" s="103" t="str">
        <f aca="false">IF(DATA_PIPELINE!$X315=0,"Paid",IF(DATA_PIPELINE!$W315=0,"Unpaid","Partly Paid"))</f>
        <v>Unpaid</v>
      </c>
    </row>
    <row r="316" customFormat="false" ht="15" hidden="false" customHeight="true" outlineLevel="0" collapsed="false">
      <c r="A316" s="103" t="n">
        <v>311</v>
      </c>
      <c r="B316" s="103" t="s">
        <v>1072</v>
      </c>
      <c r="C316" s="103" t="s">
        <v>1073</v>
      </c>
      <c r="D316" s="107" t="s">
        <v>988</v>
      </c>
      <c r="E316" s="103" t="s">
        <v>1074</v>
      </c>
      <c r="F316" s="103" t="n">
        <v>772846114</v>
      </c>
      <c r="G316" s="103" t="s">
        <v>533</v>
      </c>
      <c r="H316" s="103" t="s">
        <v>174</v>
      </c>
      <c r="I316" s="103" t="n">
        <v>9</v>
      </c>
      <c r="J316" s="103" t="s">
        <v>175</v>
      </c>
      <c r="K316" s="103" t="n">
        <v>0</v>
      </c>
      <c r="L316" s="103" t="n">
        <v>0</v>
      </c>
      <c r="M316" s="103" t="n">
        <v>0</v>
      </c>
      <c r="N316" s="103" t="n">
        <v>20</v>
      </c>
      <c r="O316" s="103" t="n">
        <v>3108.98</v>
      </c>
      <c r="P316" s="103" t="n">
        <v>0</v>
      </c>
      <c r="Q316" s="103" t="n">
        <v>0</v>
      </c>
      <c r="R316" s="103" t="n">
        <v>3108.98</v>
      </c>
      <c r="S316" s="103" t="s">
        <v>176</v>
      </c>
      <c r="T316" s="103" t="n">
        <v>20</v>
      </c>
      <c r="U316" s="103" t="s">
        <v>177</v>
      </c>
      <c r="V316" s="103" t="n">
        <v>500</v>
      </c>
      <c r="W316" s="103" t="n">
        <f aca="false">DATA_PIPELINE!$K316</f>
        <v>0</v>
      </c>
      <c r="X316" s="103" t="n">
        <f aca="false">DATA_PIPELINE!$V316-DATA_PIPELINE!$W316</f>
        <v>500</v>
      </c>
      <c r="Y316" s="103" t="str">
        <f aca="false">IF(DATA_PIPELINE!$X316=0,"Paid",IF(DATA_PIPELINE!$W316=0,"Unpaid","Partly Paid"))</f>
        <v>Unpaid</v>
      </c>
    </row>
    <row r="317" customFormat="false" ht="15" hidden="false" customHeight="true" outlineLevel="0" collapsed="false">
      <c r="A317" s="103" t="n">
        <v>312</v>
      </c>
      <c r="B317" s="103" t="s">
        <v>1075</v>
      </c>
      <c r="C317" s="103" t="s">
        <v>1076</v>
      </c>
      <c r="D317" s="107" t="s">
        <v>988</v>
      </c>
      <c r="E317" s="103" t="s">
        <v>1077</v>
      </c>
      <c r="F317" s="103" t="n">
        <v>775733431</v>
      </c>
      <c r="G317" s="103" t="s">
        <v>533</v>
      </c>
      <c r="H317" s="103" t="s">
        <v>174</v>
      </c>
      <c r="I317" s="103" t="n">
        <v>9</v>
      </c>
      <c r="J317" s="103" t="s">
        <v>175</v>
      </c>
      <c r="K317" s="103" t="n">
        <v>0</v>
      </c>
      <c r="L317" s="103" t="n">
        <v>0</v>
      </c>
      <c r="M317" s="103" t="n">
        <v>0</v>
      </c>
      <c r="N317" s="103" t="n">
        <v>40</v>
      </c>
      <c r="O317" s="103" t="n">
        <v>1375.43</v>
      </c>
      <c r="P317" s="103" t="n">
        <v>0</v>
      </c>
      <c r="Q317" s="103" t="n">
        <v>0</v>
      </c>
      <c r="R317" s="103" t="n">
        <v>1375.43</v>
      </c>
      <c r="S317" s="103" t="s">
        <v>176</v>
      </c>
      <c r="T317" s="103" t="n">
        <v>40</v>
      </c>
      <c r="U317" s="103" t="s">
        <v>177</v>
      </c>
      <c r="V317" s="103" t="n">
        <v>500</v>
      </c>
      <c r="W317" s="103" t="n">
        <f aca="false">DATA_PIPELINE!$K317</f>
        <v>0</v>
      </c>
      <c r="X317" s="103" t="n">
        <f aca="false">DATA_PIPELINE!$V317-DATA_PIPELINE!$W317</f>
        <v>500</v>
      </c>
      <c r="Y317" s="103" t="str">
        <f aca="false">IF(DATA_PIPELINE!$X317=0,"Paid",IF(DATA_PIPELINE!$W317=0,"Unpaid","Partly Paid"))</f>
        <v>Unpaid</v>
      </c>
    </row>
    <row r="318" customFormat="false" ht="15" hidden="false" customHeight="true" outlineLevel="0" collapsed="false">
      <c r="A318" s="103" t="n">
        <v>313</v>
      </c>
      <c r="B318" s="103" t="s">
        <v>1078</v>
      </c>
      <c r="C318" s="103" t="s">
        <v>1079</v>
      </c>
      <c r="D318" s="107" t="s">
        <v>988</v>
      </c>
      <c r="E318" s="103" t="s">
        <v>1080</v>
      </c>
      <c r="F318" s="103" t="n">
        <v>763889690</v>
      </c>
      <c r="G318" s="103" t="s">
        <v>533</v>
      </c>
      <c r="H318" s="103" t="s">
        <v>174</v>
      </c>
      <c r="I318" s="103" t="n">
        <v>13</v>
      </c>
      <c r="J318" s="103" t="s">
        <v>175</v>
      </c>
      <c r="K318" s="103" t="n">
        <v>0</v>
      </c>
      <c r="L318" s="103" t="n">
        <v>0</v>
      </c>
      <c r="M318" s="103" t="n">
        <v>0</v>
      </c>
      <c r="N318" s="103" t="n">
        <v>10</v>
      </c>
      <c r="O318" s="103" t="n">
        <v>1780.05</v>
      </c>
      <c r="P318" s="103" t="n">
        <v>0</v>
      </c>
      <c r="Q318" s="103" t="n">
        <v>0</v>
      </c>
      <c r="R318" s="103" t="n">
        <v>1780.05</v>
      </c>
      <c r="S318" s="103" t="s">
        <v>176</v>
      </c>
      <c r="T318" s="103" t="n">
        <v>10</v>
      </c>
      <c r="U318" s="103" t="s">
        <v>177</v>
      </c>
      <c r="V318" s="103" t="n">
        <v>500</v>
      </c>
      <c r="W318" s="103" t="n">
        <f aca="false">DATA_PIPELINE!$K318</f>
        <v>0</v>
      </c>
      <c r="X318" s="103" t="n">
        <f aca="false">DATA_PIPELINE!$V318-DATA_PIPELINE!$W318</f>
        <v>500</v>
      </c>
      <c r="Y318" s="103" t="str">
        <f aca="false">IF(DATA_PIPELINE!$X318=0,"Paid",IF(DATA_PIPELINE!$W318=0,"Unpaid","Partly Paid"))</f>
        <v>Unpaid</v>
      </c>
    </row>
    <row r="319" customFormat="false" ht="15" hidden="false" customHeight="true" outlineLevel="0" collapsed="false">
      <c r="A319" s="103" t="n">
        <v>314</v>
      </c>
      <c r="B319" s="105" t="s">
        <v>1081</v>
      </c>
      <c r="C319" s="103" t="s">
        <v>1082</v>
      </c>
      <c r="D319" s="107" t="s">
        <v>994</v>
      </c>
      <c r="E319" s="103" t="s">
        <v>1083</v>
      </c>
      <c r="F319" s="103" t="n">
        <v>763787610</v>
      </c>
      <c r="G319" s="103" t="s">
        <v>533</v>
      </c>
      <c r="H319" s="103" t="s">
        <v>174</v>
      </c>
      <c r="I319" s="103" t="n">
        <v>13</v>
      </c>
      <c r="J319" s="103" t="s">
        <v>175</v>
      </c>
      <c r="K319" s="103" t="n">
        <v>0</v>
      </c>
      <c r="L319" s="103" t="n">
        <v>0</v>
      </c>
      <c r="M319" s="103" t="n">
        <v>0</v>
      </c>
      <c r="N319" s="103" t="n">
        <v>20</v>
      </c>
      <c r="O319" s="103" t="n">
        <v>4665.79</v>
      </c>
      <c r="P319" s="103" t="n">
        <v>0</v>
      </c>
      <c r="Q319" s="103" t="n">
        <v>0</v>
      </c>
      <c r="R319" s="103" t="n">
        <v>4665.79</v>
      </c>
      <c r="S319" s="103" t="s">
        <v>176</v>
      </c>
      <c r="T319" s="103" t="n">
        <v>20</v>
      </c>
      <c r="U319" s="103" t="s">
        <v>177</v>
      </c>
      <c r="V319" s="103" t="n">
        <v>500</v>
      </c>
      <c r="W319" s="103" t="n">
        <f aca="false">DATA_PIPELINE!$K319</f>
        <v>0</v>
      </c>
      <c r="X319" s="103" t="n">
        <f aca="false">DATA_PIPELINE!$V319-DATA_PIPELINE!$W319</f>
        <v>500</v>
      </c>
      <c r="Y319" s="103" t="str">
        <f aca="false">IF(DATA_PIPELINE!$X319=0,"Paid",IF(DATA_PIPELINE!$W319=0,"Unpaid","Partly Paid"))</f>
        <v>Unpaid</v>
      </c>
    </row>
    <row r="320" customFormat="false" ht="15" hidden="false" customHeight="true" outlineLevel="0" collapsed="false">
      <c r="A320" s="103" t="n">
        <v>315</v>
      </c>
      <c r="B320" s="103" t="s">
        <v>1084</v>
      </c>
      <c r="C320" s="103" t="s">
        <v>1085</v>
      </c>
      <c r="D320" s="107" t="s">
        <v>988</v>
      </c>
      <c r="E320" s="103" t="s">
        <v>1086</v>
      </c>
      <c r="F320" s="103" t="n">
        <v>763634490</v>
      </c>
      <c r="G320" s="103" t="s">
        <v>533</v>
      </c>
      <c r="H320" s="103" t="s">
        <v>174</v>
      </c>
      <c r="I320" s="103" t="n">
        <v>13</v>
      </c>
      <c r="J320" s="103" t="s">
        <v>175</v>
      </c>
      <c r="K320" s="103" t="n">
        <v>0</v>
      </c>
      <c r="L320" s="103" t="n">
        <v>0</v>
      </c>
      <c r="M320" s="103" t="n">
        <v>0</v>
      </c>
      <c r="N320" s="103" t="n">
        <v>15</v>
      </c>
      <c r="O320" s="103" t="n">
        <v>2745.4</v>
      </c>
      <c r="P320" s="103" t="n">
        <v>0</v>
      </c>
      <c r="Q320" s="103" t="n">
        <v>0</v>
      </c>
      <c r="R320" s="103" t="n">
        <v>2745.4</v>
      </c>
      <c r="S320" s="103" t="s">
        <v>176</v>
      </c>
      <c r="T320" s="103" t="n">
        <v>15</v>
      </c>
      <c r="U320" s="103" t="s">
        <v>177</v>
      </c>
      <c r="V320" s="103" t="n">
        <v>500</v>
      </c>
      <c r="W320" s="103" t="n">
        <f aca="false">DATA_PIPELINE!$K320</f>
        <v>0</v>
      </c>
      <c r="X320" s="103" t="n">
        <f aca="false">DATA_PIPELINE!$V320-DATA_PIPELINE!$W320</f>
        <v>500</v>
      </c>
      <c r="Y320" s="103" t="str">
        <f aca="false">IF(DATA_PIPELINE!$X320=0,"Paid",IF(DATA_PIPELINE!$W320=0,"Unpaid","Partly Paid"))</f>
        <v>Unpaid</v>
      </c>
    </row>
    <row r="321" customFormat="false" ht="15" hidden="false" customHeight="true" outlineLevel="0" collapsed="false">
      <c r="A321" s="103" t="n">
        <v>316</v>
      </c>
      <c r="B321" s="105" t="s">
        <v>1087</v>
      </c>
      <c r="C321" s="103" t="s">
        <v>1088</v>
      </c>
      <c r="D321" s="107" t="s">
        <v>994</v>
      </c>
      <c r="E321" s="103" t="s">
        <v>1089</v>
      </c>
      <c r="F321" s="103" t="n">
        <v>763532410</v>
      </c>
      <c r="G321" s="103" t="s">
        <v>533</v>
      </c>
      <c r="H321" s="103" t="s">
        <v>174</v>
      </c>
      <c r="I321" s="103" t="n">
        <v>13</v>
      </c>
      <c r="J321" s="103" t="s">
        <v>175</v>
      </c>
      <c r="K321" s="103" t="n">
        <v>0</v>
      </c>
      <c r="L321" s="103" t="n">
        <v>0</v>
      </c>
      <c r="M321" s="103" t="n">
        <v>0</v>
      </c>
      <c r="N321" s="103" t="n">
        <v>20</v>
      </c>
      <c r="O321" s="103" t="n">
        <v>1211.11</v>
      </c>
      <c r="P321" s="103" t="n">
        <v>0</v>
      </c>
      <c r="Q321" s="103" t="n">
        <v>0</v>
      </c>
      <c r="R321" s="103" t="n">
        <v>1211.11</v>
      </c>
      <c r="S321" s="103" t="s">
        <v>176</v>
      </c>
      <c r="T321" s="103" t="n">
        <v>20</v>
      </c>
      <c r="U321" s="103" t="s">
        <v>177</v>
      </c>
      <c r="V321" s="103" t="n">
        <v>500</v>
      </c>
      <c r="W321" s="103" t="n">
        <f aca="false">DATA_PIPELINE!$K321</f>
        <v>0</v>
      </c>
      <c r="X321" s="103" t="n">
        <f aca="false">DATA_PIPELINE!$V321-DATA_PIPELINE!$W321</f>
        <v>500</v>
      </c>
      <c r="Y321" s="103" t="str">
        <f aca="false">IF(DATA_PIPELINE!$X321=0,"Paid",IF(DATA_PIPELINE!$W321=0,"Unpaid","Partly Paid"))</f>
        <v>Unpaid</v>
      </c>
    </row>
    <row r="322" customFormat="false" ht="15" hidden="false" customHeight="true" outlineLevel="0" collapsed="false">
      <c r="A322" s="103" t="n">
        <v>317</v>
      </c>
      <c r="B322" s="105" t="s">
        <v>1090</v>
      </c>
      <c r="C322" s="103" t="s">
        <v>1091</v>
      </c>
      <c r="D322" s="107" t="s">
        <v>994</v>
      </c>
      <c r="E322" s="103" t="s">
        <v>1092</v>
      </c>
      <c r="F322" s="103" t="n">
        <v>773928514</v>
      </c>
      <c r="G322" s="103" t="s">
        <v>533</v>
      </c>
      <c r="H322" s="103" t="s">
        <v>174</v>
      </c>
      <c r="I322" s="103" t="n">
        <v>9</v>
      </c>
      <c r="J322" s="103" t="s">
        <v>175</v>
      </c>
      <c r="K322" s="103" t="n">
        <v>0</v>
      </c>
      <c r="L322" s="103" t="n">
        <v>0</v>
      </c>
      <c r="M322" s="103" t="n">
        <v>0</v>
      </c>
      <c r="N322" s="103" t="n">
        <v>30</v>
      </c>
      <c r="O322" s="103" t="n">
        <v>11633.3</v>
      </c>
      <c r="P322" s="103" t="n">
        <v>0</v>
      </c>
      <c r="Q322" s="103" t="n">
        <v>0</v>
      </c>
      <c r="R322" s="103" t="n">
        <v>11633.3</v>
      </c>
      <c r="S322" s="103" t="s">
        <v>176</v>
      </c>
      <c r="T322" s="103" t="n">
        <v>30</v>
      </c>
      <c r="U322" s="103" t="s">
        <v>177</v>
      </c>
      <c r="V322" s="103" t="n">
        <v>500</v>
      </c>
      <c r="W322" s="103" t="n">
        <f aca="false">DATA_PIPELINE!$K322</f>
        <v>0</v>
      </c>
      <c r="X322" s="103" t="n">
        <f aca="false">DATA_PIPELINE!$V322-DATA_PIPELINE!$W322</f>
        <v>500</v>
      </c>
      <c r="Y322" s="103" t="str">
        <f aca="false">IF(DATA_PIPELINE!$X322=0,"Paid",IF(DATA_PIPELINE!$W322=0,"Unpaid","Partly Paid"))</f>
        <v>Unpaid</v>
      </c>
    </row>
    <row r="323" customFormat="false" ht="15" hidden="false" customHeight="true" outlineLevel="0" collapsed="false">
      <c r="A323" s="103" t="n">
        <v>318</v>
      </c>
      <c r="B323" s="103" t="s">
        <v>1093</v>
      </c>
      <c r="C323" s="103" t="s">
        <v>1094</v>
      </c>
      <c r="D323" s="107" t="s">
        <v>988</v>
      </c>
      <c r="E323" s="103" t="s">
        <v>1095</v>
      </c>
      <c r="F323" s="103" t="n">
        <v>779234806</v>
      </c>
      <c r="G323" s="103" t="s">
        <v>533</v>
      </c>
      <c r="H323" s="103" t="s">
        <v>174</v>
      </c>
      <c r="I323" s="103" t="n">
        <v>13</v>
      </c>
      <c r="J323" s="103" t="s">
        <v>175</v>
      </c>
      <c r="K323" s="103" t="n">
        <v>0</v>
      </c>
      <c r="L323" s="103" t="n">
        <v>0</v>
      </c>
      <c r="M323" s="103" t="n">
        <v>0</v>
      </c>
      <c r="N323" s="103" t="n">
        <v>15</v>
      </c>
      <c r="O323" s="103" t="n">
        <v>3481.46</v>
      </c>
      <c r="P323" s="103" t="n">
        <v>0</v>
      </c>
      <c r="Q323" s="103" t="n">
        <v>0</v>
      </c>
      <c r="R323" s="103" t="n">
        <v>3481.46</v>
      </c>
      <c r="S323" s="103" t="s">
        <v>176</v>
      </c>
      <c r="T323" s="103" t="n">
        <v>15</v>
      </c>
      <c r="U323" s="103" t="s">
        <v>177</v>
      </c>
      <c r="V323" s="103" t="n">
        <v>500</v>
      </c>
      <c r="W323" s="103" t="n">
        <f aca="false">DATA_PIPELINE!$K323</f>
        <v>0</v>
      </c>
      <c r="X323" s="103" t="n">
        <f aca="false">DATA_PIPELINE!$V323-DATA_PIPELINE!$W323</f>
        <v>500</v>
      </c>
      <c r="Y323" s="103" t="str">
        <f aca="false">IF(DATA_PIPELINE!$X323=0,"Paid",IF(DATA_PIPELINE!$W323=0,"Unpaid","Partly Paid"))</f>
        <v>Unpaid</v>
      </c>
    </row>
    <row r="324" customFormat="false" ht="15" hidden="false" customHeight="true" outlineLevel="0" collapsed="false">
      <c r="A324" s="103" t="n">
        <v>319</v>
      </c>
      <c r="B324" s="105" t="s">
        <v>1096</v>
      </c>
      <c r="C324" s="103" t="s">
        <v>1097</v>
      </c>
      <c r="D324" s="107" t="s">
        <v>994</v>
      </c>
      <c r="E324" s="103" t="s">
        <v>1098</v>
      </c>
      <c r="F324" s="103" t="n">
        <v>772463633</v>
      </c>
      <c r="G324" s="103" t="s">
        <v>533</v>
      </c>
      <c r="H324" s="103" t="s">
        <v>174</v>
      </c>
      <c r="I324" s="103" t="n">
        <v>13</v>
      </c>
      <c r="J324" s="103" t="s">
        <v>175</v>
      </c>
      <c r="K324" s="103" t="n">
        <v>0</v>
      </c>
      <c r="L324" s="103" t="n">
        <v>0</v>
      </c>
      <c r="M324" s="103" t="n">
        <v>0</v>
      </c>
      <c r="N324" s="103" t="n">
        <v>20</v>
      </c>
      <c r="O324" s="103" t="n">
        <v>8461.04</v>
      </c>
      <c r="P324" s="103" t="n">
        <v>3.132</v>
      </c>
      <c r="Q324" s="103" t="n">
        <v>1142.4</v>
      </c>
      <c r="R324" s="103" t="n">
        <v>7318.65</v>
      </c>
      <c r="S324" s="103" t="n">
        <v>13.5</v>
      </c>
      <c r="T324" s="103" t="n">
        <v>20</v>
      </c>
      <c r="U324" s="103" t="s">
        <v>177</v>
      </c>
      <c r="V324" s="103" t="n">
        <v>500</v>
      </c>
      <c r="W324" s="103" t="n">
        <f aca="false">DATA_PIPELINE!$K324</f>
        <v>0</v>
      </c>
      <c r="X324" s="103" t="n">
        <f aca="false">DATA_PIPELINE!$V324-DATA_PIPELINE!$W324</f>
        <v>500</v>
      </c>
      <c r="Y324" s="103" t="str">
        <f aca="false">IF(DATA_PIPELINE!$X324=0,"Paid",IF(DATA_PIPELINE!$W324=0,"Unpaid","Partly Paid"))</f>
        <v>Unpaid</v>
      </c>
    </row>
    <row r="325" customFormat="false" ht="15" hidden="false" customHeight="true" outlineLevel="0" collapsed="false">
      <c r="A325" s="103" t="n">
        <v>320</v>
      </c>
      <c r="B325" s="103" t="s">
        <v>1099</v>
      </c>
      <c r="C325" s="103" t="s">
        <v>1100</v>
      </c>
      <c r="D325" s="107" t="s">
        <v>988</v>
      </c>
      <c r="E325" s="103" t="s">
        <v>1101</v>
      </c>
      <c r="F325" s="103" t="n">
        <v>718386345</v>
      </c>
      <c r="G325" s="103" t="s">
        <v>533</v>
      </c>
      <c r="H325" s="103" t="s">
        <v>174</v>
      </c>
      <c r="I325" s="103" t="n">
        <v>9</v>
      </c>
      <c r="J325" s="103" t="s">
        <v>175</v>
      </c>
      <c r="K325" s="103" t="n">
        <v>0</v>
      </c>
      <c r="L325" s="103" t="n">
        <v>0</v>
      </c>
      <c r="M325" s="103" t="n">
        <v>0</v>
      </c>
      <c r="N325" s="103" t="n">
        <v>20</v>
      </c>
      <c r="O325" s="103" t="n">
        <v>1881</v>
      </c>
      <c r="P325" s="103" t="n">
        <v>0</v>
      </c>
      <c r="Q325" s="103" t="n">
        <v>0</v>
      </c>
      <c r="R325" s="103" t="n">
        <v>1881</v>
      </c>
      <c r="S325" s="103" t="s">
        <v>176</v>
      </c>
      <c r="T325" s="103" t="n">
        <v>20</v>
      </c>
      <c r="U325" s="103" t="s">
        <v>177</v>
      </c>
      <c r="V325" s="103" t="n">
        <v>500</v>
      </c>
      <c r="W325" s="103" t="n">
        <f aca="false">DATA_PIPELINE!$K325</f>
        <v>0</v>
      </c>
      <c r="X325" s="103" t="n">
        <f aca="false">DATA_PIPELINE!$V325-DATA_PIPELINE!$W325</f>
        <v>500</v>
      </c>
      <c r="Y325" s="103" t="str">
        <f aca="false">IF(DATA_PIPELINE!$X325=0,"Paid",IF(DATA_PIPELINE!$W325=0,"Unpaid","Partly Paid"))</f>
        <v>Unpaid</v>
      </c>
    </row>
    <row r="326" customFormat="false" ht="15" hidden="false" customHeight="true" outlineLevel="0" collapsed="false">
      <c r="A326" s="103" t="n">
        <v>321</v>
      </c>
      <c r="B326" s="105" t="s">
        <v>1102</v>
      </c>
      <c r="C326" s="103"/>
      <c r="D326" s="107" t="s">
        <v>994</v>
      </c>
      <c r="E326" s="103" t="s">
        <v>1103</v>
      </c>
      <c r="F326" s="103"/>
      <c r="G326" s="103" t="s">
        <v>533</v>
      </c>
      <c r="H326" s="103" t="s">
        <v>174</v>
      </c>
      <c r="I326" s="103" t="n">
        <v>13</v>
      </c>
      <c r="J326" s="103" t="s">
        <v>175</v>
      </c>
      <c r="K326" s="103" t="n">
        <v>0</v>
      </c>
      <c r="L326" s="103" t="n">
        <v>0</v>
      </c>
      <c r="M326" s="103" t="n">
        <v>0</v>
      </c>
      <c r="N326" s="103" t="n">
        <v>20</v>
      </c>
      <c r="O326" s="103" t="n">
        <v>5693.8</v>
      </c>
      <c r="P326" s="103" t="n">
        <v>0</v>
      </c>
      <c r="Q326" s="103" t="n">
        <v>0</v>
      </c>
      <c r="R326" s="103" t="n">
        <v>5693.8</v>
      </c>
      <c r="S326" s="103" t="s">
        <v>176</v>
      </c>
      <c r="T326" s="103" t="n">
        <v>20</v>
      </c>
      <c r="U326" s="103" t="s">
        <v>177</v>
      </c>
      <c r="V326" s="103" t="n">
        <v>500</v>
      </c>
      <c r="W326" s="103" t="n">
        <f aca="false">DATA_PIPELINE!$K326</f>
        <v>0</v>
      </c>
      <c r="X326" s="103" t="n">
        <f aca="false">DATA_PIPELINE!$V326-DATA_PIPELINE!$W326</f>
        <v>500</v>
      </c>
      <c r="Y326" s="103" t="str">
        <f aca="false">IF(DATA_PIPELINE!$X326=0,"Paid",IF(DATA_PIPELINE!$W326=0,"Unpaid","Partly Paid"))</f>
        <v>Unpaid</v>
      </c>
    </row>
    <row r="327" customFormat="false" ht="15" hidden="false" customHeight="true" outlineLevel="0" collapsed="false">
      <c r="A327" s="103" t="n">
        <v>322</v>
      </c>
      <c r="B327" s="103" t="s">
        <v>1104</v>
      </c>
      <c r="C327" s="103" t="s">
        <v>1105</v>
      </c>
      <c r="D327" s="107" t="s">
        <v>988</v>
      </c>
      <c r="E327" s="103" t="s">
        <v>1106</v>
      </c>
      <c r="F327" s="103" t="n">
        <v>774043836</v>
      </c>
      <c r="G327" s="103" t="s">
        <v>533</v>
      </c>
      <c r="H327" s="103" t="s">
        <v>174</v>
      </c>
      <c r="I327" s="103" t="n">
        <v>13</v>
      </c>
      <c r="J327" s="103" t="s">
        <v>175</v>
      </c>
      <c r="K327" s="103" t="n">
        <v>0</v>
      </c>
      <c r="L327" s="103" t="n">
        <v>0</v>
      </c>
      <c r="M327" s="103" t="n">
        <v>0</v>
      </c>
      <c r="N327" s="103" t="n">
        <v>0</v>
      </c>
      <c r="O327" s="103" t="n">
        <v>1284.8</v>
      </c>
      <c r="P327" s="103" t="n">
        <v>0</v>
      </c>
      <c r="Q327" s="103" t="n">
        <v>0</v>
      </c>
      <c r="R327" s="103" t="n">
        <v>1284.8</v>
      </c>
      <c r="S327" s="103" t="s">
        <v>176</v>
      </c>
      <c r="T327" s="103" t="n">
        <v>0</v>
      </c>
      <c r="U327" s="103" t="s">
        <v>177</v>
      </c>
      <c r="V327" s="103" t="n">
        <v>500</v>
      </c>
      <c r="W327" s="103" t="n">
        <f aca="false">DATA_PIPELINE!$K327</f>
        <v>0</v>
      </c>
      <c r="X327" s="103" t="n">
        <f aca="false">DATA_PIPELINE!$V327-DATA_PIPELINE!$W327</f>
        <v>500</v>
      </c>
      <c r="Y327" s="103" t="str">
        <f aca="false">IF(DATA_PIPELINE!$X327=0,"Paid",IF(DATA_PIPELINE!$W327=0,"Unpaid","Partly Paid"))</f>
        <v>Unpaid</v>
      </c>
    </row>
    <row r="328" customFormat="false" ht="15" hidden="false" customHeight="true" outlineLevel="0" collapsed="false">
      <c r="A328" s="103" t="n">
        <v>323</v>
      </c>
      <c r="B328" s="103" t="s">
        <v>1107</v>
      </c>
      <c r="C328" s="103" t="s">
        <v>1108</v>
      </c>
      <c r="D328" s="107" t="s">
        <v>358</v>
      </c>
      <c r="E328" s="103" t="s">
        <v>1109</v>
      </c>
      <c r="F328" s="103" t="n">
        <v>713251799</v>
      </c>
      <c r="G328" s="103" t="s">
        <v>533</v>
      </c>
      <c r="H328" s="103" t="s">
        <v>174</v>
      </c>
      <c r="I328" s="103" t="n">
        <v>13</v>
      </c>
      <c r="J328" s="103" t="s">
        <v>175</v>
      </c>
      <c r="K328" s="103" t="n">
        <v>0</v>
      </c>
      <c r="L328" s="103" t="n">
        <v>0</v>
      </c>
      <c r="M328" s="103" t="n">
        <v>0</v>
      </c>
      <c r="N328" s="103" t="n">
        <v>30</v>
      </c>
      <c r="O328" s="103" t="n">
        <v>11571.55</v>
      </c>
      <c r="P328" s="103" t="n">
        <v>0</v>
      </c>
      <c r="Q328" s="103" t="n">
        <v>0</v>
      </c>
      <c r="R328" s="103" t="n">
        <v>11571.55</v>
      </c>
      <c r="S328" s="103" t="s">
        <v>176</v>
      </c>
      <c r="T328" s="103" t="n">
        <v>40</v>
      </c>
      <c r="U328" s="103" t="s">
        <v>177</v>
      </c>
      <c r="V328" s="103" t="n">
        <v>500</v>
      </c>
      <c r="W328" s="103" t="n">
        <f aca="false">DATA_PIPELINE!$K328</f>
        <v>0</v>
      </c>
      <c r="X328" s="103" t="n">
        <f aca="false">DATA_PIPELINE!$V328-DATA_PIPELINE!$W328</f>
        <v>500</v>
      </c>
      <c r="Y328" s="103" t="str">
        <f aca="false">IF(DATA_PIPELINE!$X328=0,"Paid",IF(DATA_PIPELINE!$W328=0,"Unpaid","Partly Paid"))</f>
        <v>Unpaid</v>
      </c>
    </row>
    <row r="329" customFormat="false" ht="15" hidden="false" customHeight="true" outlineLevel="0" collapsed="false">
      <c r="A329" s="103" t="n">
        <v>324</v>
      </c>
      <c r="B329" s="103" t="s">
        <v>1110</v>
      </c>
      <c r="C329" s="103" t="s">
        <v>1111</v>
      </c>
      <c r="D329" s="107" t="s">
        <v>358</v>
      </c>
      <c r="E329" s="103" t="s">
        <v>1112</v>
      </c>
      <c r="F329" s="103" t="n">
        <v>772662202</v>
      </c>
      <c r="G329" s="103" t="s">
        <v>533</v>
      </c>
      <c r="H329" s="103" t="s">
        <v>174</v>
      </c>
      <c r="I329" s="103" t="n">
        <v>13</v>
      </c>
      <c r="J329" s="103" t="s">
        <v>175</v>
      </c>
      <c r="K329" s="103" t="n">
        <v>0</v>
      </c>
      <c r="L329" s="103" t="n">
        <v>0</v>
      </c>
      <c r="M329" s="103" t="n">
        <v>0</v>
      </c>
      <c r="N329" s="103" t="n">
        <v>140</v>
      </c>
      <c r="O329" s="103" t="n">
        <v>47807.52</v>
      </c>
      <c r="P329" s="103" t="n">
        <v>82.44</v>
      </c>
      <c r="Q329" s="103" t="n">
        <v>30069.99</v>
      </c>
      <c r="R329" s="103" t="n">
        <v>17737.53</v>
      </c>
      <c r="S329" s="103" t="n">
        <v>62.9</v>
      </c>
      <c r="T329" s="103" t="n">
        <v>140</v>
      </c>
      <c r="U329" s="103" t="s">
        <v>177</v>
      </c>
      <c r="V329" s="103" t="n">
        <v>500</v>
      </c>
      <c r="W329" s="103" t="n">
        <f aca="false">DATA_PIPELINE!$K329</f>
        <v>0</v>
      </c>
      <c r="X329" s="103" t="n">
        <f aca="false">DATA_PIPELINE!$V329-DATA_PIPELINE!$W329</f>
        <v>500</v>
      </c>
      <c r="Y329" s="103" t="str">
        <f aca="false">IF(DATA_PIPELINE!$X329=0,"Paid",IF(DATA_PIPELINE!$W329=0,"Unpaid","Partly Paid"))</f>
        <v>Unpaid</v>
      </c>
    </row>
    <row r="330" customFormat="false" ht="15" hidden="false" customHeight="true" outlineLevel="0" collapsed="false">
      <c r="A330" s="103" t="n">
        <v>325</v>
      </c>
      <c r="B330" s="103" t="s">
        <v>1113</v>
      </c>
      <c r="C330" s="103" t="s">
        <v>1114</v>
      </c>
      <c r="D330" s="107" t="s">
        <v>358</v>
      </c>
      <c r="E330" s="103" t="s">
        <v>1115</v>
      </c>
      <c r="F330" s="103" t="n">
        <v>719483303</v>
      </c>
      <c r="G330" s="103" t="s">
        <v>533</v>
      </c>
      <c r="H330" s="103" t="s">
        <v>174</v>
      </c>
      <c r="I330" s="103" t="n">
        <v>13</v>
      </c>
      <c r="J330" s="103" t="s">
        <v>175</v>
      </c>
      <c r="K330" s="103" t="n">
        <v>200</v>
      </c>
      <c r="L330" s="103" t="n">
        <v>300</v>
      </c>
      <c r="M330" s="103" t="n">
        <v>0</v>
      </c>
      <c r="N330" s="103" t="n">
        <v>60</v>
      </c>
      <c r="O330" s="103" t="n">
        <v>16046.16</v>
      </c>
      <c r="P330" s="103" t="n">
        <v>0</v>
      </c>
      <c r="Q330" s="103" t="n">
        <v>0</v>
      </c>
      <c r="R330" s="103" t="n">
        <v>16046.16</v>
      </c>
      <c r="S330" s="103" t="s">
        <v>176</v>
      </c>
      <c r="T330" s="103" t="n">
        <v>60</v>
      </c>
      <c r="U330" s="103" t="s">
        <v>177</v>
      </c>
      <c r="V330" s="103" t="n">
        <v>500</v>
      </c>
      <c r="W330" s="103" t="n">
        <f aca="false">DATA_PIPELINE!$K330</f>
        <v>200</v>
      </c>
      <c r="X330" s="103" t="n">
        <f aca="false">DATA_PIPELINE!$V330-DATA_PIPELINE!$W330</f>
        <v>300</v>
      </c>
      <c r="Y330" s="103" t="str">
        <f aca="false">IF(DATA_PIPELINE!$X330=0,"Paid",IF(DATA_PIPELINE!$W330=0,"Unpaid","Partly Paid"))</f>
        <v>Partly Paid</v>
      </c>
    </row>
    <row r="331" customFormat="false" ht="15" hidden="false" customHeight="true" outlineLevel="0" collapsed="false">
      <c r="A331" s="103" t="n">
        <v>326</v>
      </c>
      <c r="B331" s="103" t="s">
        <v>1116</v>
      </c>
      <c r="C331" s="103" t="s">
        <v>1117</v>
      </c>
      <c r="D331" s="107" t="s">
        <v>358</v>
      </c>
      <c r="E331" s="103" t="s">
        <v>1118</v>
      </c>
      <c r="F331" s="103" t="n">
        <v>775169977</v>
      </c>
      <c r="G331" s="103" t="s">
        <v>533</v>
      </c>
      <c r="H331" s="103" t="s">
        <v>174</v>
      </c>
      <c r="I331" s="103" t="n">
        <v>13</v>
      </c>
      <c r="J331" s="103" t="s">
        <v>175</v>
      </c>
      <c r="K331" s="103" t="n">
        <v>0</v>
      </c>
      <c r="L331" s="103" t="n">
        <v>0</v>
      </c>
      <c r="M331" s="103" t="n">
        <v>0</v>
      </c>
      <c r="N331" s="103" t="n">
        <v>60</v>
      </c>
      <c r="O331" s="103" t="n">
        <v>25533.11</v>
      </c>
      <c r="P331" s="103" t="n">
        <v>0</v>
      </c>
      <c r="Q331" s="103" t="n">
        <v>0</v>
      </c>
      <c r="R331" s="103" t="n">
        <v>25533.11</v>
      </c>
      <c r="S331" s="103" t="s">
        <v>176</v>
      </c>
      <c r="T331" s="103" t="n">
        <v>80</v>
      </c>
      <c r="U331" s="103" t="s">
        <v>177</v>
      </c>
      <c r="V331" s="103" t="n">
        <v>500</v>
      </c>
      <c r="W331" s="103" t="n">
        <f aca="false">DATA_PIPELINE!$K331</f>
        <v>0</v>
      </c>
      <c r="X331" s="103" t="n">
        <f aca="false">DATA_PIPELINE!$V331-DATA_PIPELINE!$W331</f>
        <v>500</v>
      </c>
      <c r="Y331" s="103" t="str">
        <f aca="false">IF(DATA_PIPELINE!$X331=0,"Paid",IF(DATA_PIPELINE!$W331=0,"Unpaid","Partly Paid"))</f>
        <v>Unpaid</v>
      </c>
    </row>
    <row r="332" customFormat="false" ht="15" hidden="false" customHeight="true" outlineLevel="0" collapsed="false">
      <c r="A332" s="103" t="n">
        <v>327</v>
      </c>
      <c r="B332" s="103" t="s">
        <v>1119</v>
      </c>
      <c r="C332" s="103" t="s">
        <v>1117</v>
      </c>
      <c r="D332" s="107" t="s">
        <v>358</v>
      </c>
      <c r="E332" s="103" t="s">
        <v>1120</v>
      </c>
      <c r="F332" s="103" t="n">
        <v>772232498</v>
      </c>
      <c r="G332" s="103" t="s">
        <v>533</v>
      </c>
      <c r="H332" s="103" t="s">
        <v>174</v>
      </c>
      <c r="I332" s="103" t="n">
        <v>13</v>
      </c>
      <c r="J332" s="103" t="s">
        <v>175</v>
      </c>
      <c r="K332" s="103" t="n">
        <v>200</v>
      </c>
      <c r="L332" s="103" t="n">
        <v>300</v>
      </c>
      <c r="M332" s="103" t="n">
        <v>0</v>
      </c>
      <c r="N332" s="103" t="n">
        <v>80</v>
      </c>
      <c r="O332" s="103" t="n">
        <v>24613.94</v>
      </c>
      <c r="P332" s="103" t="n">
        <v>0</v>
      </c>
      <c r="Q332" s="103" t="n">
        <v>0</v>
      </c>
      <c r="R332" s="103" t="n">
        <v>24613.94</v>
      </c>
      <c r="S332" s="103" t="s">
        <v>176</v>
      </c>
      <c r="T332" s="103" t="n">
        <v>100</v>
      </c>
      <c r="U332" s="103" t="s">
        <v>177</v>
      </c>
      <c r="V332" s="103" t="n">
        <v>500</v>
      </c>
      <c r="W332" s="103" t="n">
        <f aca="false">DATA_PIPELINE!$K332</f>
        <v>200</v>
      </c>
      <c r="X332" s="103" t="n">
        <f aca="false">DATA_PIPELINE!$V332-DATA_PIPELINE!$W332</f>
        <v>300</v>
      </c>
      <c r="Y332" s="103" t="str">
        <f aca="false">IF(DATA_PIPELINE!$X332=0,"Paid",IF(DATA_PIPELINE!$W332=0,"Unpaid","Partly Paid"))</f>
        <v>Partly Paid</v>
      </c>
    </row>
    <row r="333" customFormat="false" ht="15" hidden="false" customHeight="true" outlineLevel="0" collapsed="false">
      <c r="A333" s="103" t="n">
        <v>328</v>
      </c>
      <c r="B333" s="103" t="s">
        <v>1121</v>
      </c>
      <c r="C333" s="103" t="s">
        <v>1122</v>
      </c>
      <c r="D333" s="107" t="s">
        <v>358</v>
      </c>
      <c r="E333" s="103" t="s">
        <v>1123</v>
      </c>
      <c r="F333" s="103" t="n">
        <v>773996763</v>
      </c>
      <c r="G333" s="103" t="s">
        <v>533</v>
      </c>
      <c r="H333" s="103" t="s">
        <v>174</v>
      </c>
      <c r="I333" s="103" t="n">
        <v>13</v>
      </c>
      <c r="J333" s="103" t="s">
        <v>175</v>
      </c>
      <c r="K333" s="103" t="n">
        <v>0</v>
      </c>
      <c r="L333" s="103" t="n">
        <v>0</v>
      </c>
      <c r="M333" s="103" t="n">
        <v>0</v>
      </c>
      <c r="N333" s="103" t="n">
        <v>20</v>
      </c>
      <c r="O333" s="103" t="n">
        <v>8219.09</v>
      </c>
      <c r="P333" s="103" t="n">
        <v>0</v>
      </c>
      <c r="Q333" s="103" t="n">
        <v>0</v>
      </c>
      <c r="R333" s="103" t="n">
        <v>8219.09</v>
      </c>
      <c r="S333" s="103" t="s">
        <v>176</v>
      </c>
      <c r="T333" s="103" t="n">
        <v>20</v>
      </c>
      <c r="U333" s="103" t="s">
        <v>177</v>
      </c>
      <c r="V333" s="103" t="n">
        <v>500</v>
      </c>
      <c r="W333" s="103" t="n">
        <f aca="false">DATA_PIPELINE!$K333</f>
        <v>0</v>
      </c>
      <c r="X333" s="103" t="n">
        <f aca="false">DATA_PIPELINE!$V333-DATA_PIPELINE!$W333</f>
        <v>500</v>
      </c>
      <c r="Y333" s="103" t="str">
        <f aca="false">IF(DATA_PIPELINE!$X333=0,"Paid",IF(DATA_PIPELINE!$W333=0,"Unpaid","Partly Paid"))</f>
        <v>Unpaid</v>
      </c>
    </row>
    <row r="334" customFormat="false" ht="15" hidden="false" customHeight="true" outlineLevel="0" collapsed="false">
      <c r="A334" s="103" t="n">
        <v>329</v>
      </c>
      <c r="B334" s="103" t="s">
        <v>1124</v>
      </c>
      <c r="C334" s="103" t="s">
        <v>1125</v>
      </c>
      <c r="D334" s="107" t="s">
        <v>358</v>
      </c>
      <c r="E334" s="103" t="s">
        <v>1126</v>
      </c>
      <c r="F334" s="103" t="n">
        <v>772743650</v>
      </c>
      <c r="G334" s="103" t="s">
        <v>533</v>
      </c>
      <c r="H334" s="103" t="s">
        <v>174</v>
      </c>
      <c r="I334" s="103" t="n">
        <v>13</v>
      </c>
      <c r="J334" s="103" t="s">
        <v>175</v>
      </c>
      <c r="K334" s="103" t="n">
        <v>0</v>
      </c>
      <c r="L334" s="103" t="n">
        <v>0</v>
      </c>
      <c r="M334" s="103" t="n">
        <v>0</v>
      </c>
      <c r="N334" s="103" t="n">
        <v>40</v>
      </c>
      <c r="O334" s="103" t="n">
        <v>17906.4</v>
      </c>
      <c r="P334" s="103" t="n">
        <v>0</v>
      </c>
      <c r="Q334" s="103" t="n">
        <v>0</v>
      </c>
      <c r="R334" s="103" t="n">
        <v>17906.4</v>
      </c>
      <c r="S334" s="103" t="s">
        <v>176</v>
      </c>
      <c r="T334" s="103" t="n">
        <v>60</v>
      </c>
      <c r="U334" s="103" t="s">
        <v>177</v>
      </c>
      <c r="V334" s="103" t="n">
        <v>500</v>
      </c>
      <c r="W334" s="103" t="n">
        <f aca="false">DATA_PIPELINE!$K334</f>
        <v>0</v>
      </c>
      <c r="X334" s="103" t="n">
        <f aca="false">DATA_PIPELINE!$V334-DATA_PIPELINE!$W334</f>
        <v>500</v>
      </c>
      <c r="Y334" s="103" t="str">
        <f aca="false">IF(DATA_PIPELINE!$X334=0,"Paid",IF(DATA_PIPELINE!$W334=0,"Unpaid","Partly Paid"))</f>
        <v>Unpaid</v>
      </c>
    </row>
    <row r="335" customFormat="false" ht="15" hidden="false" customHeight="true" outlineLevel="0" collapsed="false">
      <c r="A335" s="103" t="n">
        <v>330</v>
      </c>
      <c r="B335" s="105" t="s">
        <v>1127</v>
      </c>
      <c r="C335" s="103" t="s">
        <v>1128</v>
      </c>
      <c r="D335" s="107" t="s">
        <v>994</v>
      </c>
      <c r="E335" s="103" t="s">
        <v>1129</v>
      </c>
      <c r="F335" s="103" t="n">
        <v>772715524</v>
      </c>
      <c r="G335" s="103" t="s">
        <v>533</v>
      </c>
      <c r="H335" s="103" t="s">
        <v>174</v>
      </c>
      <c r="I335" s="103" t="n">
        <v>13</v>
      </c>
      <c r="J335" s="103" t="s">
        <v>175</v>
      </c>
      <c r="K335" s="103" t="n">
        <v>0</v>
      </c>
      <c r="L335" s="103" t="n">
        <v>0</v>
      </c>
      <c r="M335" s="103" t="n">
        <v>0</v>
      </c>
      <c r="N335" s="103" t="n">
        <v>20</v>
      </c>
      <c r="O335" s="103" t="n">
        <v>546</v>
      </c>
      <c r="P335" s="103" t="n">
        <v>0</v>
      </c>
      <c r="Q335" s="103" t="n">
        <v>0</v>
      </c>
      <c r="R335" s="103" t="n">
        <v>546</v>
      </c>
      <c r="S335" s="103" t="s">
        <v>176</v>
      </c>
      <c r="T335" s="103" t="n">
        <v>20</v>
      </c>
      <c r="U335" s="103" t="s">
        <v>177</v>
      </c>
      <c r="V335" s="103" t="n">
        <v>500</v>
      </c>
      <c r="W335" s="103" t="n">
        <f aca="false">DATA_PIPELINE!$K335</f>
        <v>0</v>
      </c>
      <c r="X335" s="103" t="n">
        <f aca="false">DATA_PIPELINE!$V335-DATA_PIPELINE!$W335</f>
        <v>500</v>
      </c>
      <c r="Y335" s="103" t="str">
        <f aca="false">IF(DATA_PIPELINE!$X335=0,"Paid",IF(DATA_PIPELINE!$W335=0,"Unpaid","Partly Paid"))</f>
        <v>Unpaid</v>
      </c>
    </row>
    <row r="336" customFormat="false" ht="15" hidden="false" customHeight="true" outlineLevel="0" collapsed="false">
      <c r="A336" s="103" t="n">
        <v>331</v>
      </c>
      <c r="B336" s="105" t="s">
        <v>1130</v>
      </c>
      <c r="C336" s="103" t="s">
        <v>1131</v>
      </c>
      <c r="D336" s="107" t="s">
        <v>994</v>
      </c>
      <c r="E336" s="103" t="s">
        <v>1132</v>
      </c>
      <c r="F336" s="103"/>
      <c r="G336" s="103" t="s">
        <v>533</v>
      </c>
      <c r="H336" s="103" t="s">
        <v>174</v>
      </c>
      <c r="I336" s="103" t="n">
        <v>13</v>
      </c>
      <c r="J336" s="103" t="s">
        <v>175</v>
      </c>
      <c r="K336" s="103" t="n">
        <v>0</v>
      </c>
      <c r="L336" s="103" t="n">
        <v>0</v>
      </c>
      <c r="M336" s="103" t="n">
        <v>0</v>
      </c>
      <c r="N336" s="103" t="n">
        <v>60</v>
      </c>
      <c r="O336" s="103" t="n">
        <v>13717.07</v>
      </c>
      <c r="P336" s="103" t="n">
        <v>0</v>
      </c>
      <c r="Q336" s="103" t="n">
        <v>0</v>
      </c>
      <c r="R336" s="103" t="n">
        <v>13717.07</v>
      </c>
      <c r="S336" s="103" t="s">
        <v>176</v>
      </c>
      <c r="T336" s="103" t="n">
        <v>60</v>
      </c>
      <c r="U336" s="103" t="s">
        <v>177</v>
      </c>
      <c r="V336" s="103" t="n">
        <v>500</v>
      </c>
      <c r="W336" s="103" t="n">
        <f aca="false">DATA_PIPELINE!$K336</f>
        <v>0</v>
      </c>
      <c r="X336" s="103" t="n">
        <f aca="false">DATA_PIPELINE!$V336-DATA_PIPELINE!$W336</f>
        <v>500</v>
      </c>
      <c r="Y336" s="103" t="str">
        <f aca="false">IF(DATA_PIPELINE!$X336=0,"Paid",IF(DATA_PIPELINE!$W336=0,"Unpaid","Partly Paid"))</f>
        <v>Unpaid</v>
      </c>
    </row>
    <row r="337" customFormat="false" ht="15" hidden="false" customHeight="true" outlineLevel="0" collapsed="false">
      <c r="A337" s="103" t="n">
        <v>332</v>
      </c>
      <c r="B337" s="103" t="s">
        <v>1133</v>
      </c>
      <c r="C337" s="103" t="s">
        <v>1134</v>
      </c>
      <c r="D337" s="107" t="s">
        <v>358</v>
      </c>
      <c r="E337" s="103" t="s">
        <v>1135</v>
      </c>
      <c r="F337" s="103"/>
      <c r="G337" s="103" t="s">
        <v>533</v>
      </c>
      <c r="H337" s="103" t="s">
        <v>174</v>
      </c>
      <c r="I337" s="103" t="n">
        <v>13</v>
      </c>
      <c r="J337" s="103" t="s">
        <v>175</v>
      </c>
      <c r="K337" s="103" t="n">
        <v>0</v>
      </c>
      <c r="L337" s="103" t="n">
        <v>0</v>
      </c>
      <c r="M337" s="103" t="n">
        <v>0</v>
      </c>
      <c r="N337" s="103" t="n">
        <v>20</v>
      </c>
      <c r="O337" s="103" t="n">
        <v>6728.47</v>
      </c>
      <c r="P337" s="103" t="n">
        <v>0</v>
      </c>
      <c r="Q337" s="103" t="n">
        <v>0</v>
      </c>
      <c r="R337" s="103" t="n">
        <v>6728.47</v>
      </c>
      <c r="S337" s="103" t="s">
        <v>176</v>
      </c>
      <c r="T337" s="103" t="n">
        <v>40</v>
      </c>
      <c r="U337" s="103" t="s">
        <v>177</v>
      </c>
      <c r="V337" s="103" t="n">
        <v>500</v>
      </c>
      <c r="W337" s="103" t="n">
        <f aca="false">DATA_PIPELINE!$K337</f>
        <v>0</v>
      </c>
      <c r="X337" s="103" t="n">
        <f aca="false">DATA_PIPELINE!$V337-DATA_PIPELINE!$W337</f>
        <v>500</v>
      </c>
      <c r="Y337" s="103" t="str">
        <f aca="false">IF(DATA_PIPELINE!$X337=0,"Paid",IF(DATA_PIPELINE!$W337=0,"Unpaid","Partly Paid"))</f>
        <v>Unpaid</v>
      </c>
    </row>
    <row r="338" customFormat="false" ht="15" hidden="false" customHeight="true" outlineLevel="0" collapsed="false">
      <c r="A338" s="103" t="n">
        <v>333</v>
      </c>
      <c r="B338" s="103" t="s">
        <v>1015</v>
      </c>
      <c r="C338" s="103" t="s">
        <v>1136</v>
      </c>
      <c r="D338" s="108" t="s">
        <v>1137</v>
      </c>
      <c r="E338" s="103" t="s">
        <v>1138</v>
      </c>
      <c r="F338" s="103" t="n">
        <v>776511877</v>
      </c>
      <c r="G338" s="103" t="s">
        <v>533</v>
      </c>
      <c r="H338" s="103" t="s">
        <v>174</v>
      </c>
      <c r="I338" s="103" t="n">
        <v>5</v>
      </c>
      <c r="J338" s="103" t="s">
        <v>175</v>
      </c>
      <c r="K338" s="103" t="n">
        <v>0</v>
      </c>
      <c r="L338" s="103" t="n">
        <v>0</v>
      </c>
      <c r="M338" s="103" t="n">
        <v>0</v>
      </c>
      <c r="N338" s="103" t="n">
        <v>30</v>
      </c>
      <c r="O338" s="103" t="n">
        <v>3743.49</v>
      </c>
      <c r="P338" s="103" t="n">
        <v>0</v>
      </c>
      <c r="Q338" s="103" t="n">
        <v>0</v>
      </c>
      <c r="R338" s="103" t="n">
        <v>3743.49</v>
      </c>
      <c r="S338" s="103" t="s">
        <v>176</v>
      </c>
      <c r="T338" s="103" t="n">
        <v>30</v>
      </c>
      <c r="U338" s="103" t="s">
        <v>177</v>
      </c>
      <c r="V338" s="103" t="n">
        <v>500</v>
      </c>
      <c r="W338" s="103" t="n">
        <f aca="false">DATA_PIPELINE!$K338</f>
        <v>0</v>
      </c>
      <c r="X338" s="103" t="n">
        <f aca="false">DATA_PIPELINE!$V338-DATA_PIPELINE!$W338</f>
        <v>500</v>
      </c>
      <c r="Y338" s="103" t="str">
        <f aca="false">IF(DATA_PIPELINE!$X338=0,"Paid",IF(DATA_PIPELINE!$W338=0,"Unpaid","Partly Paid"))</f>
        <v>Unpaid</v>
      </c>
    </row>
    <row r="339" customFormat="false" ht="15" hidden="false" customHeight="true" outlineLevel="0" collapsed="false">
      <c r="A339" s="103" t="n">
        <v>334</v>
      </c>
      <c r="B339" s="103" t="s">
        <v>1139</v>
      </c>
      <c r="C339" s="103" t="s">
        <v>1140</v>
      </c>
      <c r="D339" s="107" t="s">
        <v>358</v>
      </c>
      <c r="E339" s="103" t="s">
        <v>1141</v>
      </c>
      <c r="F339" s="103" t="n">
        <v>773013158</v>
      </c>
      <c r="G339" s="103" t="s">
        <v>533</v>
      </c>
      <c r="H339" s="103" t="s">
        <v>174</v>
      </c>
      <c r="I339" s="103" t="n">
        <v>13</v>
      </c>
      <c r="J339" s="103" t="s">
        <v>175</v>
      </c>
      <c r="K339" s="103" t="n">
        <v>0</v>
      </c>
      <c r="L339" s="103" t="n">
        <v>0</v>
      </c>
      <c r="M339" s="103" t="n">
        <v>0</v>
      </c>
      <c r="N339" s="103" t="n">
        <v>60</v>
      </c>
      <c r="O339" s="103" t="n">
        <v>15704.71</v>
      </c>
      <c r="P339" s="103" t="n">
        <v>0</v>
      </c>
      <c r="Q339" s="103" t="n">
        <v>0</v>
      </c>
      <c r="R339" s="103" t="n">
        <v>15704.71</v>
      </c>
      <c r="S339" s="103" t="s">
        <v>176</v>
      </c>
      <c r="T339" s="103" t="n">
        <v>50</v>
      </c>
      <c r="U339" s="103" t="s">
        <v>177</v>
      </c>
      <c r="V339" s="103" t="n">
        <v>500</v>
      </c>
      <c r="W339" s="103" t="n">
        <f aca="false">DATA_PIPELINE!$K339</f>
        <v>0</v>
      </c>
      <c r="X339" s="103" t="n">
        <f aca="false">DATA_PIPELINE!$V339-DATA_PIPELINE!$W339</f>
        <v>500</v>
      </c>
      <c r="Y339" s="103" t="str">
        <f aca="false">IF(DATA_PIPELINE!$X339=0,"Paid",IF(DATA_PIPELINE!$W339=0,"Unpaid","Partly Paid"))</f>
        <v>Unpaid</v>
      </c>
    </row>
    <row r="340" customFormat="false" ht="15" hidden="false" customHeight="true" outlineLevel="0" collapsed="false">
      <c r="A340" s="103" t="n">
        <v>335</v>
      </c>
      <c r="B340" s="103" t="s">
        <v>1142</v>
      </c>
      <c r="C340" s="103" t="s">
        <v>1143</v>
      </c>
      <c r="D340" s="107" t="s">
        <v>358</v>
      </c>
      <c r="E340" s="103" t="s">
        <v>1144</v>
      </c>
      <c r="F340" s="103" t="n">
        <v>718886688</v>
      </c>
      <c r="G340" s="103" t="s">
        <v>533</v>
      </c>
      <c r="H340" s="103" t="s">
        <v>174</v>
      </c>
      <c r="I340" s="103" t="n">
        <v>13</v>
      </c>
      <c r="J340" s="103" t="s">
        <v>175</v>
      </c>
      <c r="K340" s="103" t="n">
        <v>0</v>
      </c>
      <c r="L340" s="103" t="n">
        <v>0</v>
      </c>
      <c r="M340" s="103" t="n">
        <v>30</v>
      </c>
      <c r="N340" s="103" t="n">
        <v>20</v>
      </c>
      <c r="O340" s="103" t="n">
        <v>17219.23</v>
      </c>
      <c r="P340" s="103" t="n">
        <v>0</v>
      </c>
      <c r="Q340" s="103" t="n">
        <v>0</v>
      </c>
      <c r="R340" s="103" t="n">
        <v>17219.23</v>
      </c>
      <c r="S340" s="103" t="s">
        <v>176</v>
      </c>
      <c r="T340" s="103" t="n">
        <v>50</v>
      </c>
      <c r="U340" s="103" t="s">
        <v>177</v>
      </c>
      <c r="V340" s="103" t="n">
        <v>500</v>
      </c>
      <c r="W340" s="103" t="n">
        <f aca="false">DATA_PIPELINE!$K340</f>
        <v>0</v>
      </c>
      <c r="X340" s="103" t="n">
        <f aca="false">DATA_PIPELINE!$V340-DATA_PIPELINE!$W340</f>
        <v>500</v>
      </c>
      <c r="Y340" s="103" t="str">
        <f aca="false">IF(DATA_PIPELINE!$X340=0,"Paid",IF(DATA_PIPELINE!$W340=0,"Unpaid","Partly Paid"))</f>
        <v>Unpaid</v>
      </c>
    </row>
    <row r="341" customFormat="false" ht="15" hidden="false" customHeight="true" outlineLevel="0" collapsed="false">
      <c r="A341" s="103" t="n">
        <v>336</v>
      </c>
      <c r="B341" s="103" t="s">
        <v>1145</v>
      </c>
      <c r="C341" s="103" t="s">
        <v>1146</v>
      </c>
      <c r="D341" s="107" t="s">
        <v>358</v>
      </c>
      <c r="E341" s="103" t="s">
        <v>1147</v>
      </c>
      <c r="F341" s="103" t="n">
        <v>772594938</v>
      </c>
      <c r="G341" s="103" t="s">
        <v>533</v>
      </c>
      <c r="H341" s="103" t="s">
        <v>174</v>
      </c>
      <c r="I341" s="103" t="n">
        <v>9</v>
      </c>
      <c r="J341" s="103" t="s">
        <v>175</v>
      </c>
      <c r="K341" s="103" t="n">
        <v>0</v>
      </c>
      <c r="L341" s="103" t="n">
        <v>0</v>
      </c>
      <c r="M341" s="103" t="n">
        <v>0</v>
      </c>
      <c r="N341" s="103" t="n">
        <v>20</v>
      </c>
      <c r="O341" s="103" t="n">
        <v>6070.59</v>
      </c>
      <c r="P341" s="103" t="n">
        <v>0</v>
      </c>
      <c r="Q341" s="103" t="n">
        <v>0</v>
      </c>
      <c r="R341" s="103" t="n">
        <v>6070.59</v>
      </c>
      <c r="S341" s="103" t="s">
        <v>176</v>
      </c>
      <c r="T341" s="103" t="n">
        <v>20</v>
      </c>
      <c r="U341" s="103" t="s">
        <v>177</v>
      </c>
      <c r="V341" s="103" t="n">
        <v>500</v>
      </c>
      <c r="W341" s="103" t="n">
        <f aca="false">DATA_PIPELINE!$K341</f>
        <v>0</v>
      </c>
      <c r="X341" s="103" t="n">
        <f aca="false">DATA_PIPELINE!$V341-DATA_PIPELINE!$W341</f>
        <v>500</v>
      </c>
      <c r="Y341" s="103" t="str">
        <f aca="false">IF(DATA_PIPELINE!$X341=0,"Paid",IF(DATA_PIPELINE!$W341=0,"Unpaid","Partly Paid"))</f>
        <v>Unpaid</v>
      </c>
    </row>
    <row r="342" customFormat="false" ht="15" hidden="false" customHeight="true" outlineLevel="0" collapsed="false">
      <c r="A342" s="103" t="n">
        <v>337</v>
      </c>
      <c r="B342" s="105" t="s">
        <v>1148</v>
      </c>
      <c r="C342" s="103" t="s">
        <v>1149</v>
      </c>
      <c r="D342" s="107" t="s">
        <v>994</v>
      </c>
      <c r="E342" s="103" t="s">
        <v>1132</v>
      </c>
      <c r="F342" s="103" t="n">
        <v>772213488</v>
      </c>
      <c r="G342" s="103" t="s">
        <v>533</v>
      </c>
      <c r="H342" s="103" t="s">
        <v>174</v>
      </c>
      <c r="I342" s="103" t="n">
        <v>13</v>
      </c>
      <c r="J342" s="103" t="s">
        <v>175</v>
      </c>
      <c r="K342" s="103" t="n">
        <v>0</v>
      </c>
      <c r="L342" s="103" t="n">
        <v>0</v>
      </c>
      <c r="M342" s="103" t="n">
        <v>0</v>
      </c>
      <c r="N342" s="103" t="n">
        <v>60</v>
      </c>
      <c r="O342" s="103" t="n">
        <v>13962.77</v>
      </c>
      <c r="P342" s="103" t="n">
        <v>0</v>
      </c>
      <c r="Q342" s="103" t="n">
        <v>0</v>
      </c>
      <c r="R342" s="103" t="n">
        <v>13962.77</v>
      </c>
      <c r="S342" s="103" t="s">
        <v>176</v>
      </c>
      <c r="T342" s="103" t="n">
        <v>60</v>
      </c>
      <c r="U342" s="103" t="s">
        <v>177</v>
      </c>
      <c r="V342" s="103" t="n">
        <v>500</v>
      </c>
      <c r="W342" s="103" t="n">
        <f aca="false">DATA_PIPELINE!$K342</f>
        <v>0</v>
      </c>
      <c r="X342" s="103" t="n">
        <f aca="false">DATA_PIPELINE!$V342-DATA_PIPELINE!$W342</f>
        <v>500</v>
      </c>
      <c r="Y342" s="103" t="str">
        <f aca="false">IF(DATA_PIPELINE!$X342=0,"Paid",IF(DATA_PIPELINE!$W342=0,"Unpaid","Partly Paid"))</f>
        <v>Unpaid</v>
      </c>
    </row>
    <row r="343" customFormat="false" ht="15" hidden="false" customHeight="true" outlineLevel="0" collapsed="false">
      <c r="A343" s="103" t="n">
        <v>338</v>
      </c>
      <c r="B343" s="103" t="s">
        <v>1150</v>
      </c>
      <c r="C343" s="103" t="s">
        <v>1151</v>
      </c>
      <c r="D343" s="107" t="s">
        <v>358</v>
      </c>
      <c r="E343" s="103" t="s">
        <v>1152</v>
      </c>
      <c r="F343" s="103" t="n">
        <v>772594937</v>
      </c>
      <c r="G343" s="103" t="s">
        <v>533</v>
      </c>
      <c r="H343" s="103" t="s">
        <v>174</v>
      </c>
      <c r="I343" s="103" t="n">
        <v>13</v>
      </c>
      <c r="J343" s="103" t="s">
        <v>175</v>
      </c>
      <c r="K343" s="103" t="n">
        <v>0</v>
      </c>
      <c r="L343" s="103" t="n">
        <v>0</v>
      </c>
      <c r="M343" s="103" t="n">
        <v>0</v>
      </c>
      <c r="N343" s="103" t="n">
        <v>30</v>
      </c>
      <c r="O343" s="103" t="n">
        <v>7068.68</v>
      </c>
      <c r="P343" s="103" t="n">
        <v>0</v>
      </c>
      <c r="Q343" s="103" t="n">
        <v>0</v>
      </c>
      <c r="R343" s="103" t="n">
        <v>7068.68</v>
      </c>
      <c r="S343" s="103" t="s">
        <v>176</v>
      </c>
      <c r="T343" s="103" t="n">
        <v>30</v>
      </c>
      <c r="U343" s="103" t="s">
        <v>177</v>
      </c>
      <c r="V343" s="103" t="n">
        <v>500</v>
      </c>
      <c r="W343" s="103" t="n">
        <f aca="false">DATA_PIPELINE!$K343</f>
        <v>0</v>
      </c>
      <c r="X343" s="103" t="n">
        <f aca="false">DATA_PIPELINE!$V343-DATA_PIPELINE!$W343</f>
        <v>500</v>
      </c>
      <c r="Y343" s="103" t="str">
        <f aca="false">IF(DATA_PIPELINE!$X343=0,"Paid",IF(DATA_PIPELINE!$W343=0,"Unpaid","Partly Paid"))</f>
        <v>Unpaid</v>
      </c>
    </row>
    <row r="344" customFormat="false" ht="15" hidden="false" customHeight="true" outlineLevel="0" collapsed="false">
      <c r="A344" s="103" t="n">
        <v>339</v>
      </c>
      <c r="B344" s="103" t="s">
        <v>1153</v>
      </c>
      <c r="C344" s="103" t="s">
        <v>1154</v>
      </c>
      <c r="D344" s="107" t="s">
        <v>358</v>
      </c>
      <c r="E344" s="103" t="s">
        <v>1155</v>
      </c>
      <c r="F344" s="103" t="n">
        <v>772416301</v>
      </c>
      <c r="G344" s="103" t="s">
        <v>533</v>
      </c>
      <c r="H344" s="103" t="s">
        <v>174</v>
      </c>
      <c r="I344" s="103" t="n">
        <v>13</v>
      </c>
      <c r="J344" s="103" t="s">
        <v>175</v>
      </c>
      <c r="K344" s="103" t="n">
        <v>0</v>
      </c>
      <c r="L344" s="103" t="n">
        <v>0</v>
      </c>
      <c r="M344" s="103" t="n">
        <v>25</v>
      </c>
      <c r="N344" s="103" t="n">
        <v>50</v>
      </c>
      <c r="O344" s="103" t="n">
        <v>10355.49</v>
      </c>
      <c r="P344" s="103" t="n">
        <v>0</v>
      </c>
      <c r="Q344" s="103" t="n">
        <v>0</v>
      </c>
      <c r="R344" s="103" t="n">
        <v>10355.49</v>
      </c>
      <c r="S344" s="103" t="s">
        <v>176</v>
      </c>
      <c r="T344" s="103" t="n">
        <v>20</v>
      </c>
      <c r="U344" s="103" t="s">
        <v>177</v>
      </c>
      <c r="V344" s="103" t="n">
        <v>500</v>
      </c>
      <c r="W344" s="103" t="n">
        <f aca="false">DATA_PIPELINE!$K344</f>
        <v>0</v>
      </c>
      <c r="X344" s="103" t="n">
        <f aca="false">DATA_PIPELINE!$V344-DATA_PIPELINE!$W344</f>
        <v>500</v>
      </c>
      <c r="Y344" s="103" t="str">
        <f aca="false">IF(DATA_PIPELINE!$X344=0,"Paid",IF(DATA_PIPELINE!$W344=0,"Unpaid","Partly Paid"))</f>
        <v>Unpaid</v>
      </c>
    </row>
    <row r="345" customFormat="false" ht="15" hidden="false" customHeight="true" outlineLevel="0" collapsed="false">
      <c r="A345" s="103" t="n">
        <v>340</v>
      </c>
      <c r="B345" s="103" t="s">
        <v>1156</v>
      </c>
      <c r="C345" s="103" t="s">
        <v>1157</v>
      </c>
      <c r="D345" s="107" t="s">
        <v>358</v>
      </c>
      <c r="E345" s="103" t="s">
        <v>1158</v>
      </c>
      <c r="F345" s="103" t="n">
        <v>774341278</v>
      </c>
      <c r="G345" s="103" t="s">
        <v>533</v>
      </c>
      <c r="H345" s="103" t="s">
        <v>174</v>
      </c>
      <c r="I345" s="103" t="n">
        <v>13</v>
      </c>
      <c r="J345" s="103" t="s">
        <v>175</v>
      </c>
      <c r="K345" s="103" t="n">
        <v>0</v>
      </c>
      <c r="L345" s="103" t="n">
        <v>0</v>
      </c>
      <c r="M345" s="103" t="n">
        <v>0</v>
      </c>
      <c r="N345" s="103" t="n">
        <v>20</v>
      </c>
      <c r="O345" s="103" t="n">
        <v>6825.58</v>
      </c>
      <c r="P345" s="103" t="n">
        <v>0</v>
      </c>
      <c r="Q345" s="103" t="n">
        <v>0</v>
      </c>
      <c r="R345" s="103" t="n">
        <v>6825.58</v>
      </c>
      <c r="S345" s="103" t="s">
        <v>176</v>
      </c>
      <c r="T345" s="103" t="n">
        <v>20</v>
      </c>
      <c r="U345" s="103" t="s">
        <v>177</v>
      </c>
      <c r="V345" s="103" t="n">
        <v>500</v>
      </c>
      <c r="W345" s="103" t="n">
        <f aca="false">DATA_PIPELINE!$K345</f>
        <v>0</v>
      </c>
      <c r="X345" s="103" t="n">
        <f aca="false">DATA_PIPELINE!$V345-DATA_PIPELINE!$W345</f>
        <v>500</v>
      </c>
      <c r="Y345" s="103" t="str">
        <f aca="false">IF(DATA_PIPELINE!$X345=0,"Paid",IF(DATA_PIPELINE!$W345=0,"Unpaid","Partly Paid"))</f>
        <v>Unpaid</v>
      </c>
    </row>
    <row r="346" customFormat="false" ht="15" hidden="false" customHeight="true" outlineLevel="0" collapsed="false">
      <c r="A346" s="103" t="n">
        <v>341</v>
      </c>
      <c r="B346" s="103" t="s">
        <v>1159</v>
      </c>
      <c r="C346" s="103" t="s">
        <v>1160</v>
      </c>
      <c r="D346" s="103" t="s">
        <v>988</v>
      </c>
      <c r="E346" s="103" t="s">
        <v>1161</v>
      </c>
      <c r="F346" s="103" t="n">
        <v>763685530</v>
      </c>
      <c r="G346" s="103" t="s">
        <v>533</v>
      </c>
      <c r="H346" s="103" t="s">
        <v>174</v>
      </c>
      <c r="I346" s="103" t="n">
        <v>13</v>
      </c>
      <c r="J346" s="103" t="s">
        <v>175</v>
      </c>
      <c r="K346" s="103" t="n">
        <v>0</v>
      </c>
      <c r="L346" s="103" t="n">
        <v>0</v>
      </c>
      <c r="M346" s="103" t="n">
        <v>0</v>
      </c>
      <c r="N346" s="103" t="n">
        <v>20</v>
      </c>
      <c r="O346" s="103" t="n">
        <v>6758.5</v>
      </c>
      <c r="P346" s="103" t="n">
        <v>0</v>
      </c>
      <c r="Q346" s="103" t="n">
        <v>0</v>
      </c>
      <c r="R346" s="103" t="n">
        <v>6758.5</v>
      </c>
      <c r="S346" s="103" t="s">
        <v>176</v>
      </c>
      <c r="T346" s="103" t="n">
        <v>20</v>
      </c>
      <c r="U346" s="103" t="s">
        <v>177</v>
      </c>
      <c r="V346" s="103" t="n">
        <v>500</v>
      </c>
      <c r="W346" s="103" t="n">
        <f aca="false">DATA_PIPELINE!$K346</f>
        <v>0</v>
      </c>
      <c r="X346" s="103" t="n">
        <f aca="false">DATA_PIPELINE!$V346-DATA_PIPELINE!$W346</f>
        <v>500</v>
      </c>
      <c r="Y346" s="103" t="str">
        <f aca="false">IF(DATA_PIPELINE!$X346=0,"Paid",IF(DATA_PIPELINE!$W346=0,"Unpaid","Partly Paid"))</f>
        <v>Unpaid</v>
      </c>
    </row>
    <row r="347" customFormat="false" ht="15" hidden="false" customHeight="true" outlineLevel="0" collapsed="false">
      <c r="A347" s="103" t="n">
        <v>342</v>
      </c>
      <c r="B347" s="103" t="s">
        <v>1162</v>
      </c>
      <c r="C347" s="103" t="s">
        <v>1163</v>
      </c>
      <c r="D347" s="107" t="s">
        <v>358</v>
      </c>
      <c r="E347" s="103" t="s">
        <v>1164</v>
      </c>
      <c r="F347" s="103" t="n">
        <v>775623652</v>
      </c>
      <c r="G347" s="103" t="s">
        <v>533</v>
      </c>
      <c r="H347" s="103" t="s">
        <v>174</v>
      </c>
      <c r="I347" s="103" t="n">
        <v>13</v>
      </c>
      <c r="J347" s="103" t="s">
        <v>175</v>
      </c>
      <c r="K347" s="103" t="n">
        <v>0</v>
      </c>
      <c r="L347" s="103" t="n">
        <v>0</v>
      </c>
      <c r="M347" s="103" t="n">
        <v>0</v>
      </c>
      <c r="N347" s="103" t="n">
        <v>18</v>
      </c>
      <c r="O347" s="103" t="n">
        <v>2461.91</v>
      </c>
      <c r="P347" s="103" t="n">
        <v>0</v>
      </c>
      <c r="Q347" s="103" t="n">
        <v>0</v>
      </c>
      <c r="R347" s="103" t="n">
        <v>2461.91</v>
      </c>
      <c r="S347" s="103" t="s">
        <v>176</v>
      </c>
      <c r="T347" s="103" t="n">
        <v>0</v>
      </c>
      <c r="U347" s="103" t="s">
        <v>177</v>
      </c>
      <c r="V347" s="103" t="n">
        <v>500</v>
      </c>
      <c r="W347" s="103" t="n">
        <f aca="false">DATA_PIPELINE!$K347</f>
        <v>0</v>
      </c>
      <c r="X347" s="103" t="n">
        <f aca="false">DATA_PIPELINE!$V347-DATA_PIPELINE!$W347</f>
        <v>500</v>
      </c>
      <c r="Y347" s="103" t="str">
        <f aca="false">IF(DATA_PIPELINE!$X347=0,"Paid",IF(DATA_PIPELINE!$W347=0,"Unpaid","Partly Paid"))</f>
        <v>Unpaid</v>
      </c>
    </row>
    <row r="348" customFormat="false" ht="15" hidden="false" customHeight="true" outlineLevel="0" collapsed="false">
      <c r="A348" s="103" t="n">
        <v>343</v>
      </c>
      <c r="B348" s="103" t="s">
        <v>1165</v>
      </c>
      <c r="C348" s="103" t="s">
        <v>1166</v>
      </c>
      <c r="D348" s="107" t="s">
        <v>358</v>
      </c>
      <c r="E348" s="103" t="s">
        <v>1167</v>
      </c>
      <c r="F348" s="103" t="n">
        <v>772925189</v>
      </c>
      <c r="G348" s="103" t="s">
        <v>533</v>
      </c>
      <c r="H348" s="103" t="s">
        <v>174</v>
      </c>
      <c r="I348" s="103" t="n">
        <v>13</v>
      </c>
      <c r="J348" s="103" t="s">
        <v>175</v>
      </c>
      <c r="K348" s="103" t="n">
        <v>200</v>
      </c>
      <c r="L348" s="103" t="n">
        <v>300</v>
      </c>
      <c r="M348" s="103" t="n">
        <v>0</v>
      </c>
      <c r="N348" s="103" t="n">
        <v>50</v>
      </c>
      <c r="O348" s="103" t="n">
        <v>12637.51</v>
      </c>
      <c r="P348" s="103" t="n">
        <v>0</v>
      </c>
      <c r="Q348" s="103" t="n">
        <v>0</v>
      </c>
      <c r="R348" s="103" t="n">
        <v>12637.51</v>
      </c>
      <c r="S348" s="103" t="s">
        <v>176</v>
      </c>
      <c r="T348" s="103" t="n">
        <v>40</v>
      </c>
      <c r="U348" s="103" t="s">
        <v>177</v>
      </c>
      <c r="V348" s="103" t="n">
        <v>500</v>
      </c>
      <c r="W348" s="103" t="n">
        <f aca="false">DATA_PIPELINE!$K348</f>
        <v>200</v>
      </c>
      <c r="X348" s="103" t="n">
        <f aca="false">DATA_PIPELINE!$V348-DATA_PIPELINE!$W348</f>
        <v>300</v>
      </c>
      <c r="Y348" s="103" t="str">
        <f aca="false">IF(DATA_PIPELINE!$X348=0,"Paid",IF(DATA_PIPELINE!$W348=0,"Unpaid","Partly Paid"))</f>
        <v>Partly Paid</v>
      </c>
    </row>
    <row r="349" customFormat="false" ht="15" hidden="false" customHeight="true" outlineLevel="0" collapsed="false">
      <c r="A349" s="103" t="n">
        <v>344</v>
      </c>
      <c r="B349" s="103" t="s">
        <v>1168</v>
      </c>
      <c r="C349" s="103" t="s">
        <v>1108</v>
      </c>
      <c r="D349" s="107" t="s">
        <v>358</v>
      </c>
      <c r="E349" s="103" t="s">
        <v>1169</v>
      </c>
      <c r="F349" s="103" t="n">
        <v>772916868</v>
      </c>
      <c r="G349" s="103" t="s">
        <v>533</v>
      </c>
      <c r="H349" s="103" t="s">
        <v>174</v>
      </c>
      <c r="I349" s="103" t="n">
        <v>13</v>
      </c>
      <c r="J349" s="103" t="s">
        <v>175</v>
      </c>
      <c r="K349" s="103" t="n">
        <v>0</v>
      </c>
      <c r="L349" s="103" t="n">
        <v>0</v>
      </c>
      <c r="M349" s="103" t="n">
        <v>0</v>
      </c>
      <c r="N349" s="103" t="n">
        <v>40</v>
      </c>
      <c r="O349" s="103" t="n">
        <v>3459.51</v>
      </c>
      <c r="P349" s="103" t="n">
        <v>5.42</v>
      </c>
      <c r="Q349" s="103" t="n">
        <v>1976.95</v>
      </c>
      <c r="R349" s="103" t="n">
        <v>1482.57</v>
      </c>
      <c r="S349" s="103" t="n">
        <v>57.15</v>
      </c>
      <c r="T349" s="103" t="n">
        <v>40</v>
      </c>
      <c r="U349" s="103" t="s">
        <v>177</v>
      </c>
      <c r="V349" s="103" t="n">
        <v>500</v>
      </c>
      <c r="W349" s="103" t="n">
        <f aca="false">DATA_PIPELINE!$K349</f>
        <v>0</v>
      </c>
      <c r="X349" s="103" t="n">
        <f aca="false">DATA_PIPELINE!$V349-DATA_PIPELINE!$W349</f>
        <v>500</v>
      </c>
      <c r="Y349" s="103" t="str">
        <f aca="false">IF(DATA_PIPELINE!$X349=0,"Paid",IF(DATA_PIPELINE!$W349=0,"Unpaid","Partly Paid"))</f>
        <v>Unpaid</v>
      </c>
    </row>
    <row r="350" customFormat="false" ht="15" hidden="false" customHeight="true" outlineLevel="0" collapsed="false">
      <c r="A350" s="103" t="n">
        <v>345</v>
      </c>
      <c r="B350" s="103" t="s">
        <v>1170</v>
      </c>
      <c r="C350" s="103" t="s">
        <v>1117</v>
      </c>
      <c r="D350" s="107" t="s">
        <v>358</v>
      </c>
      <c r="E350" s="103" t="s">
        <v>1171</v>
      </c>
      <c r="F350" s="103" t="n">
        <v>774002885</v>
      </c>
      <c r="G350" s="103" t="s">
        <v>533</v>
      </c>
      <c r="H350" s="103" t="s">
        <v>174</v>
      </c>
      <c r="I350" s="103" t="n">
        <v>13</v>
      </c>
      <c r="J350" s="103" t="s">
        <v>175</v>
      </c>
      <c r="K350" s="103" t="n">
        <v>0</v>
      </c>
      <c r="L350" s="103" t="n">
        <v>0</v>
      </c>
      <c r="M350" s="103" t="n">
        <v>0</v>
      </c>
      <c r="N350" s="103" t="n">
        <v>20</v>
      </c>
      <c r="O350" s="103" t="n">
        <v>6362.32</v>
      </c>
      <c r="P350" s="103" t="n">
        <v>0</v>
      </c>
      <c r="Q350" s="103" t="n">
        <v>0</v>
      </c>
      <c r="R350" s="103" t="n">
        <v>6362.32</v>
      </c>
      <c r="S350" s="103" t="s">
        <v>176</v>
      </c>
      <c r="T350" s="103" t="n">
        <v>20</v>
      </c>
      <c r="U350" s="103" t="s">
        <v>177</v>
      </c>
      <c r="V350" s="103" t="n">
        <v>500</v>
      </c>
      <c r="W350" s="103" t="n">
        <f aca="false">DATA_PIPELINE!$K350</f>
        <v>0</v>
      </c>
      <c r="X350" s="103" t="n">
        <f aca="false">DATA_PIPELINE!$V350-DATA_PIPELINE!$W350</f>
        <v>500</v>
      </c>
      <c r="Y350" s="103" t="str">
        <f aca="false">IF(DATA_PIPELINE!$X350=0,"Paid",IF(DATA_PIPELINE!$W350=0,"Unpaid","Partly Paid"))</f>
        <v>Unpaid</v>
      </c>
    </row>
    <row r="351" customFormat="false" ht="15" hidden="false" customHeight="true" outlineLevel="0" collapsed="false">
      <c r="A351" s="103" t="n">
        <v>346</v>
      </c>
      <c r="B351" s="103" t="s">
        <v>1172</v>
      </c>
      <c r="C351" s="103" t="s">
        <v>1173</v>
      </c>
      <c r="D351" s="107" t="s">
        <v>358</v>
      </c>
      <c r="E351" s="103" t="s">
        <v>1174</v>
      </c>
      <c r="F351" s="103" t="n">
        <v>774829537</v>
      </c>
      <c r="G351" s="103" t="s">
        <v>533</v>
      </c>
      <c r="H351" s="103" t="s">
        <v>174</v>
      </c>
      <c r="I351" s="103" t="n">
        <v>13</v>
      </c>
      <c r="J351" s="103" t="s">
        <v>175</v>
      </c>
      <c r="K351" s="103" t="n">
        <v>0</v>
      </c>
      <c r="L351" s="103" t="n">
        <v>0</v>
      </c>
      <c r="M351" s="103" t="n">
        <v>0</v>
      </c>
      <c r="N351" s="103" t="n">
        <v>20</v>
      </c>
      <c r="O351" s="103" t="n">
        <v>12235.34</v>
      </c>
      <c r="P351" s="103" t="n">
        <v>0</v>
      </c>
      <c r="Q351" s="103" t="n">
        <v>0</v>
      </c>
      <c r="R351" s="103" t="n">
        <v>12235.34</v>
      </c>
      <c r="S351" s="103" t="s">
        <v>176</v>
      </c>
      <c r="T351" s="103" t="n">
        <v>20</v>
      </c>
      <c r="U351" s="103" t="s">
        <v>177</v>
      </c>
      <c r="V351" s="103" t="n">
        <v>500</v>
      </c>
      <c r="W351" s="103" t="n">
        <f aca="false">DATA_PIPELINE!$K351</f>
        <v>0</v>
      </c>
      <c r="X351" s="103" t="n">
        <f aca="false">DATA_PIPELINE!$V351-DATA_PIPELINE!$W351</f>
        <v>500</v>
      </c>
      <c r="Y351" s="103" t="str">
        <f aca="false">IF(DATA_PIPELINE!$X351=0,"Paid",IF(DATA_PIPELINE!$W351=0,"Unpaid","Partly Paid"))</f>
        <v>Unpaid</v>
      </c>
    </row>
    <row r="352" customFormat="false" ht="15" hidden="false" customHeight="true" outlineLevel="0" collapsed="false">
      <c r="A352" s="103" t="n">
        <v>347</v>
      </c>
      <c r="B352" s="103" t="s">
        <v>1175</v>
      </c>
      <c r="C352" s="103" t="s">
        <v>1176</v>
      </c>
      <c r="D352" s="107" t="s">
        <v>358</v>
      </c>
      <c r="E352" s="103" t="s">
        <v>1177</v>
      </c>
      <c r="F352" s="103" t="n">
        <v>775863802</v>
      </c>
      <c r="G352" s="103" t="s">
        <v>533</v>
      </c>
      <c r="H352" s="103" t="s">
        <v>174</v>
      </c>
      <c r="I352" s="103" t="n">
        <v>13</v>
      </c>
      <c r="J352" s="103" t="s">
        <v>175</v>
      </c>
      <c r="K352" s="103" t="n">
        <v>0</v>
      </c>
      <c r="L352" s="103" t="n">
        <v>0</v>
      </c>
      <c r="M352" s="103" t="n">
        <v>0</v>
      </c>
      <c r="N352" s="103" t="n">
        <v>15</v>
      </c>
      <c r="O352" s="103" t="n">
        <v>3307.18</v>
      </c>
      <c r="P352" s="103" t="n">
        <v>0</v>
      </c>
      <c r="Q352" s="103" t="n">
        <v>0</v>
      </c>
      <c r="R352" s="103" t="n">
        <v>3307.18</v>
      </c>
      <c r="S352" s="103" t="s">
        <v>176</v>
      </c>
      <c r="T352" s="103" t="n">
        <v>15</v>
      </c>
      <c r="U352" s="103" t="s">
        <v>177</v>
      </c>
      <c r="V352" s="103" t="n">
        <v>500</v>
      </c>
      <c r="W352" s="103" t="n">
        <f aca="false">DATA_PIPELINE!$K352</f>
        <v>0</v>
      </c>
      <c r="X352" s="103" t="n">
        <f aca="false">DATA_PIPELINE!$V352-DATA_PIPELINE!$W352</f>
        <v>500</v>
      </c>
      <c r="Y352" s="103" t="str">
        <f aca="false">IF(DATA_PIPELINE!$X352=0,"Paid",IF(DATA_PIPELINE!$W352=0,"Unpaid","Partly Paid"))</f>
        <v>Unpaid</v>
      </c>
    </row>
    <row r="353" customFormat="false" ht="15" hidden="false" customHeight="true" outlineLevel="0" collapsed="false">
      <c r="A353" s="103" t="n">
        <v>348</v>
      </c>
      <c r="B353" s="103" t="s">
        <v>1178</v>
      </c>
      <c r="C353" s="103" t="s">
        <v>1179</v>
      </c>
      <c r="D353" s="107" t="s">
        <v>358</v>
      </c>
      <c r="E353" s="103" t="s">
        <v>1180</v>
      </c>
      <c r="F353" s="103" t="n">
        <v>772240080</v>
      </c>
      <c r="G353" s="103" t="s">
        <v>533</v>
      </c>
      <c r="H353" s="103" t="s">
        <v>174</v>
      </c>
      <c r="I353" s="103" t="n">
        <v>13</v>
      </c>
      <c r="J353" s="103" t="s">
        <v>175</v>
      </c>
      <c r="K353" s="103" t="n">
        <v>0</v>
      </c>
      <c r="L353" s="103" t="n">
        <v>0</v>
      </c>
      <c r="M353" s="103" t="n">
        <v>0</v>
      </c>
      <c r="N353" s="103" t="n">
        <v>20</v>
      </c>
      <c r="O353" s="103" t="n">
        <v>2078.02</v>
      </c>
      <c r="P353" s="103" t="n">
        <v>0</v>
      </c>
      <c r="Q353" s="103" t="n">
        <v>0</v>
      </c>
      <c r="R353" s="103" t="n">
        <v>2078.02</v>
      </c>
      <c r="S353" s="103" t="s">
        <v>176</v>
      </c>
      <c r="T353" s="103" t="n">
        <v>20</v>
      </c>
      <c r="U353" s="103" t="s">
        <v>177</v>
      </c>
      <c r="V353" s="103" t="n">
        <v>500</v>
      </c>
      <c r="W353" s="103" t="n">
        <f aca="false">DATA_PIPELINE!$K353</f>
        <v>0</v>
      </c>
      <c r="X353" s="103" t="n">
        <f aca="false">DATA_PIPELINE!$V353-DATA_PIPELINE!$W353</f>
        <v>500</v>
      </c>
      <c r="Y353" s="103" t="str">
        <f aca="false">IF(DATA_PIPELINE!$X353=0,"Paid",IF(DATA_PIPELINE!$W353=0,"Unpaid","Partly Paid"))</f>
        <v>Unpaid</v>
      </c>
    </row>
    <row r="354" customFormat="false" ht="15" hidden="false" customHeight="true" outlineLevel="0" collapsed="false">
      <c r="A354" s="103" t="n">
        <v>349</v>
      </c>
      <c r="B354" s="103" t="s">
        <v>1181</v>
      </c>
      <c r="C354" s="103" t="s">
        <v>1182</v>
      </c>
      <c r="D354" s="107" t="s">
        <v>358</v>
      </c>
      <c r="E354" s="103" t="s">
        <v>1183</v>
      </c>
      <c r="F354" s="103" t="n">
        <v>774667725</v>
      </c>
      <c r="G354" s="103" t="s">
        <v>533</v>
      </c>
      <c r="H354" s="103" t="s">
        <v>174</v>
      </c>
      <c r="I354" s="103" t="n">
        <v>13</v>
      </c>
      <c r="J354" s="103" t="s">
        <v>175</v>
      </c>
      <c r="K354" s="103" t="n">
        <v>0</v>
      </c>
      <c r="L354" s="103" t="n">
        <v>0</v>
      </c>
      <c r="M354" s="103" t="n">
        <v>0</v>
      </c>
      <c r="N354" s="103" t="n">
        <v>30</v>
      </c>
      <c r="O354" s="103" t="n">
        <v>4944.07</v>
      </c>
      <c r="P354" s="103" t="n">
        <v>0</v>
      </c>
      <c r="Q354" s="103" t="n">
        <v>0</v>
      </c>
      <c r="R354" s="103" t="n">
        <v>4944.07</v>
      </c>
      <c r="S354" s="103" t="s">
        <v>176</v>
      </c>
      <c r="T354" s="103" t="n">
        <v>30</v>
      </c>
      <c r="U354" s="103" t="s">
        <v>177</v>
      </c>
      <c r="V354" s="103" t="n">
        <v>500</v>
      </c>
      <c r="W354" s="103" t="n">
        <f aca="false">DATA_PIPELINE!$K354</f>
        <v>0</v>
      </c>
      <c r="X354" s="103" t="n">
        <f aca="false">DATA_PIPELINE!$V354-DATA_PIPELINE!$W354</f>
        <v>500</v>
      </c>
      <c r="Y354" s="103" t="str">
        <f aca="false">IF(DATA_PIPELINE!$X354=0,"Paid",IF(DATA_PIPELINE!$W354=0,"Unpaid","Partly Paid"))</f>
        <v>Unpaid</v>
      </c>
    </row>
    <row r="355" customFormat="false" ht="15" hidden="false" customHeight="true" outlineLevel="0" collapsed="false">
      <c r="A355" s="103" t="n">
        <v>350</v>
      </c>
      <c r="B355" s="103" t="s">
        <v>1184</v>
      </c>
      <c r="C355" s="103" t="s">
        <v>1185</v>
      </c>
      <c r="D355" s="107" t="s">
        <v>358</v>
      </c>
      <c r="E355" s="103" t="s">
        <v>1186</v>
      </c>
      <c r="F355" s="103"/>
      <c r="G355" s="103" t="s">
        <v>533</v>
      </c>
      <c r="H355" s="103" t="s">
        <v>174</v>
      </c>
      <c r="I355" s="103" t="n">
        <v>13</v>
      </c>
      <c r="J355" s="103" t="s">
        <v>175</v>
      </c>
      <c r="K355" s="103" t="n">
        <v>0</v>
      </c>
      <c r="L355" s="103" t="n">
        <v>0</v>
      </c>
      <c r="M355" s="103" t="n">
        <v>0</v>
      </c>
      <c r="N355" s="103" t="n">
        <v>20</v>
      </c>
      <c r="O355" s="103" t="n">
        <v>2750.86</v>
      </c>
      <c r="P355" s="103" t="n">
        <v>0</v>
      </c>
      <c r="Q355" s="103" t="n">
        <v>0</v>
      </c>
      <c r="R355" s="103" t="n">
        <v>2750.86</v>
      </c>
      <c r="S355" s="103" t="s">
        <v>176</v>
      </c>
      <c r="T355" s="103" t="n">
        <v>20</v>
      </c>
      <c r="U355" s="103" t="s">
        <v>177</v>
      </c>
      <c r="V355" s="103" t="n">
        <v>500</v>
      </c>
      <c r="W355" s="103" t="n">
        <f aca="false">DATA_PIPELINE!$K355</f>
        <v>0</v>
      </c>
      <c r="X355" s="103" t="n">
        <f aca="false">DATA_PIPELINE!$V355-DATA_PIPELINE!$W355</f>
        <v>500</v>
      </c>
      <c r="Y355" s="103" t="str">
        <f aca="false">IF(DATA_PIPELINE!$X355=0,"Paid",IF(DATA_PIPELINE!$W355=0,"Unpaid","Partly Paid"))</f>
        <v>Unpaid</v>
      </c>
    </row>
    <row r="356" customFormat="false" ht="15" hidden="false" customHeight="true" outlineLevel="0" collapsed="false">
      <c r="A356" s="103" t="n">
        <v>351</v>
      </c>
      <c r="B356" s="105" t="s">
        <v>1187</v>
      </c>
      <c r="C356" s="103"/>
      <c r="D356" s="107" t="s">
        <v>994</v>
      </c>
      <c r="E356" s="103" t="s">
        <v>1188</v>
      </c>
      <c r="F356" s="103"/>
      <c r="G356" s="103" t="s">
        <v>533</v>
      </c>
      <c r="H356" s="103" t="s">
        <v>174</v>
      </c>
      <c r="I356" s="103" t="n">
        <v>13</v>
      </c>
      <c r="J356" s="103" t="s">
        <v>175</v>
      </c>
      <c r="K356" s="103" t="n">
        <v>0</v>
      </c>
      <c r="L356" s="103" t="n">
        <v>0</v>
      </c>
      <c r="M356" s="103" t="n">
        <v>0</v>
      </c>
      <c r="N356" s="103" t="n">
        <v>20</v>
      </c>
      <c r="O356" s="103" t="n">
        <v>4137.07</v>
      </c>
      <c r="P356" s="103" t="n">
        <v>0</v>
      </c>
      <c r="Q356" s="103" t="n">
        <v>0</v>
      </c>
      <c r="R356" s="103" t="n">
        <v>4137.07</v>
      </c>
      <c r="S356" s="103" t="s">
        <v>176</v>
      </c>
      <c r="T356" s="103" t="n">
        <v>20</v>
      </c>
      <c r="U356" s="103" t="s">
        <v>177</v>
      </c>
      <c r="V356" s="103" t="n">
        <v>500</v>
      </c>
      <c r="W356" s="103" t="n">
        <f aca="false">DATA_PIPELINE!$K356</f>
        <v>0</v>
      </c>
      <c r="X356" s="103" t="n">
        <f aca="false">DATA_PIPELINE!$V356-DATA_PIPELINE!$W356</f>
        <v>500</v>
      </c>
      <c r="Y356" s="103" t="str">
        <f aca="false">IF(DATA_PIPELINE!$X356=0,"Paid",IF(DATA_PIPELINE!$W356=0,"Unpaid","Partly Paid"))</f>
        <v>Unpaid</v>
      </c>
    </row>
    <row r="357" customFormat="false" ht="15" hidden="false" customHeight="true" outlineLevel="0" collapsed="false">
      <c r="A357" s="103" t="n">
        <v>352</v>
      </c>
      <c r="B357" s="103" t="s">
        <v>1189</v>
      </c>
      <c r="C357" s="103" t="s">
        <v>1190</v>
      </c>
      <c r="D357" s="107" t="s">
        <v>358</v>
      </c>
      <c r="E357" s="103" t="s">
        <v>1191</v>
      </c>
      <c r="F357" s="103" t="n">
        <v>773831508</v>
      </c>
      <c r="G357" s="103" t="s">
        <v>533</v>
      </c>
      <c r="H357" s="103" t="s">
        <v>174</v>
      </c>
      <c r="I357" s="103" t="n">
        <v>13</v>
      </c>
      <c r="J357" s="103" t="s">
        <v>175</v>
      </c>
      <c r="K357" s="103" t="n">
        <v>0</v>
      </c>
      <c r="L357" s="103" t="n">
        <v>0</v>
      </c>
      <c r="M357" s="103" t="n">
        <v>0</v>
      </c>
      <c r="N357" s="103" t="n">
        <v>40</v>
      </c>
      <c r="O357" s="103" t="n">
        <v>9298.61</v>
      </c>
      <c r="P357" s="103" t="n">
        <v>0</v>
      </c>
      <c r="Q357" s="103" t="n">
        <v>0</v>
      </c>
      <c r="R357" s="103" t="n">
        <v>9298.61</v>
      </c>
      <c r="S357" s="103" t="s">
        <v>176</v>
      </c>
      <c r="T357" s="103" t="n">
        <v>60</v>
      </c>
      <c r="U357" s="103" t="s">
        <v>177</v>
      </c>
      <c r="V357" s="103" t="n">
        <v>500</v>
      </c>
      <c r="W357" s="103" t="n">
        <f aca="false">DATA_PIPELINE!$K357</f>
        <v>0</v>
      </c>
      <c r="X357" s="103" t="n">
        <f aca="false">DATA_PIPELINE!$V357-DATA_PIPELINE!$W357</f>
        <v>500</v>
      </c>
      <c r="Y357" s="103" t="str">
        <f aca="false">IF(DATA_PIPELINE!$X357=0,"Paid",IF(DATA_PIPELINE!$W357=0,"Unpaid","Partly Paid"))</f>
        <v>Unpaid</v>
      </c>
    </row>
    <row r="358" customFormat="false" ht="15" hidden="false" customHeight="true" outlineLevel="0" collapsed="false">
      <c r="A358" s="103" t="n">
        <v>353</v>
      </c>
      <c r="B358" s="103" t="s">
        <v>1192</v>
      </c>
      <c r="C358" s="103" t="s">
        <v>1193</v>
      </c>
      <c r="D358" s="107" t="s">
        <v>358</v>
      </c>
      <c r="E358" s="103" t="s">
        <v>1194</v>
      </c>
      <c r="F358" s="103" t="n">
        <v>778077997</v>
      </c>
      <c r="G358" s="103" t="s">
        <v>533</v>
      </c>
      <c r="H358" s="103" t="s">
        <v>174</v>
      </c>
      <c r="I358" s="103" t="n">
        <v>13</v>
      </c>
      <c r="J358" s="103" t="s">
        <v>175</v>
      </c>
      <c r="K358" s="103" t="n">
        <v>0</v>
      </c>
      <c r="L358" s="103" t="n">
        <v>0</v>
      </c>
      <c r="M358" s="103" t="n">
        <v>0</v>
      </c>
      <c r="N358" s="103" t="n">
        <v>20</v>
      </c>
      <c r="O358" s="103" t="n">
        <v>4173</v>
      </c>
      <c r="P358" s="103" t="n">
        <v>0</v>
      </c>
      <c r="Q358" s="103" t="n">
        <v>0</v>
      </c>
      <c r="R358" s="103" t="n">
        <v>4173</v>
      </c>
      <c r="S358" s="103" t="s">
        <v>176</v>
      </c>
      <c r="T358" s="103" t="n">
        <v>6</v>
      </c>
      <c r="U358" s="103" t="s">
        <v>177</v>
      </c>
      <c r="V358" s="103" t="n">
        <v>500</v>
      </c>
      <c r="W358" s="103" t="n">
        <f aca="false">DATA_PIPELINE!$K358</f>
        <v>0</v>
      </c>
      <c r="X358" s="103" t="n">
        <f aca="false">DATA_PIPELINE!$V358-DATA_PIPELINE!$W358</f>
        <v>500</v>
      </c>
      <c r="Y358" s="103" t="str">
        <f aca="false">IF(DATA_PIPELINE!$X358=0,"Paid",IF(DATA_PIPELINE!$W358=0,"Unpaid","Partly Paid"))</f>
        <v>Unpaid</v>
      </c>
    </row>
    <row r="359" customFormat="false" ht="15" hidden="false" customHeight="true" outlineLevel="0" collapsed="false">
      <c r="A359" s="103" t="n">
        <v>354</v>
      </c>
      <c r="B359" s="103" t="s">
        <v>1195</v>
      </c>
      <c r="C359" s="103" t="s">
        <v>1196</v>
      </c>
      <c r="D359" s="107" t="s">
        <v>358</v>
      </c>
      <c r="E359" s="103" t="s">
        <v>1197</v>
      </c>
      <c r="F359" s="103" t="n">
        <v>786750690</v>
      </c>
      <c r="G359" s="103" t="s">
        <v>533</v>
      </c>
      <c r="H359" s="103" t="s">
        <v>174</v>
      </c>
      <c r="I359" s="103" t="n">
        <v>13</v>
      </c>
      <c r="J359" s="103" t="s">
        <v>175</v>
      </c>
      <c r="K359" s="103" t="n">
        <v>0</v>
      </c>
      <c r="L359" s="103" t="n">
        <v>0</v>
      </c>
      <c r="M359" s="103" t="n">
        <v>0</v>
      </c>
      <c r="N359" s="103" t="n">
        <v>5</v>
      </c>
      <c r="O359" s="103" t="n">
        <v>568.14</v>
      </c>
      <c r="P359" s="103" t="n">
        <v>0</v>
      </c>
      <c r="Q359" s="103" t="n">
        <v>0</v>
      </c>
      <c r="R359" s="103" t="n">
        <v>568.14</v>
      </c>
      <c r="S359" s="103" t="s">
        <v>176</v>
      </c>
      <c r="T359" s="103" t="n">
        <v>6</v>
      </c>
      <c r="U359" s="103" t="s">
        <v>177</v>
      </c>
      <c r="V359" s="103" t="n">
        <v>500</v>
      </c>
      <c r="W359" s="103" t="n">
        <f aca="false">DATA_PIPELINE!$K359</f>
        <v>0</v>
      </c>
      <c r="X359" s="103" t="n">
        <f aca="false">DATA_PIPELINE!$V359-DATA_PIPELINE!$W359</f>
        <v>500</v>
      </c>
      <c r="Y359" s="103" t="str">
        <f aca="false">IF(DATA_PIPELINE!$X359=0,"Paid",IF(DATA_PIPELINE!$W359=0,"Unpaid","Partly Paid"))</f>
        <v>Unpaid</v>
      </c>
    </row>
    <row r="360" customFormat="false" ht="15" hidden="false" customHeight="true" outlineLevel="0" collapsed="false">
      <c r="A360" s="103" t="n">
        <v>355</v>
      </c>
      <c r="B360" s="103" t="s">
        <v>1198</v>
      </c>
      <c r="C360" s="103" t="s">
        <v>1199</v>
      </c>
      <c r="D360" s="107" t="s">
        <v>358</v>
      </c>
      <c r="E360" s="103" t="s">
        <v>1200</v>
      </c>
      <c r="F360" s="103" t="n">
        <v>777511661</v>
      </c>
      <c r="G360" s="103" t="s">
        <v>533</v>
      </c>
      <c r="H360" s="103" t="s">
        <v>174</v>
      </c>
      <c r="I360" s="103" t="n">
        <v>13</v>
      </c>
      <c r="J360" s="103" t="s">
        <v>175</v>
      </c>
      <c r="K360" s="103" t="n">
        <v>0</v>
      </c>
      <c r="L360" s="103" t="n">
        <v>0</v>
      </c>
      <c r="M360" s="103" t="n">
        <v>0</v>
      </c>
      <c r="N360" s="103" t="n">
        <v>5</v>
      </c>
      <c r="O360" s="103" t="n">
        <v>670.79</v>
      </c>
      <c r="P360" s="103" t="n">
        <v>0</v>
      </c>
      <c r="Q360" s="103" t="n">
        <v>0</v>
      </c>
      <c r="R360" s="103" t="n">
        <v>670.79</v>
      </c>
      <c r="S360" s="103" t="s">
        <v>176</v>
      </c>
      <c r="T360" s="103" t="n">
        <v>6</v>
      </c>
      <c r="U360" s="103" t="s">
        <v>177</v>
      </c>
      <c r="V360" s="103" t="n">
        <v>500</v>
      </c>
      <c r="W360" s="103" t="n">
        <f aca="false">DATA_PIPELINE!$K360</f>
        <v>0</v>
      </c>
      <c r="X360" s="103" t="n">
        <f aca="false">DATA_PIPELINE!$V360-DATA_PIPELINE!$W360</f>
        <v>500</v>
      </c>
      <c r="Y360" s="103" t="str">
        <f aca="false">IF(DATA_PIPELINE!$X360=0,"Paid",IF(DATA_PIPELINE!$W360=0,"Unpaid","Partly Paid"))</f>
        <v>Unpaid</v>
      </c>
    </row>
    <row r="361" customFormat="false" ht="15" hidden="false" customHeight="true" outlineLevel="0" collapsed="false">
      <c r="A361" s="103" t="n">
        <v>356</v>
      </c>
      <c r="B361" s="103" t="s">
        <v>1201</v>
      </c>
      <c r="C361" s="103" t="s">
        <v>1202</v>
      </c>
      <c r="D361" s="107" t="s">
        <v>358</v>
      </c>
      <c r="E361" s="103" t="s">
        <v>1203</v>
      </c>
      <c r="F361" s="103" t="n">
        <v>785883580</v>
      </c>
      <c r="G361" s="103" t="s">
        <v>533</v>
      </c>
      <c r="H361" s="103" t="s">
        <v>174</v>
      </c>
      <c r="I361" s="103" t="n">
        <v>11</v>
      </c>
      <c r="J361" s="103" t="s">
        <v>175</v>
      </c>
      <c r="K361" s="103" t="n">
        <v>0</v>
      </c>
      <c r="L361" s="103" t="n">
        <v>0</v>
      </c>
      <c r="M361" s="103" t="n">
        <v>0</v>
      </c>
      <c r="N361" s="103" t="n">
        <v>6</v>
      </c>
      <c r="O361" s="103" t="n">
        <v>670.79</v>
      </c>
      <c r="P361" s="103" t="n">
        <v>0</v>
      </c>
      <c r="Q361" s="103" t="n">
        <v>0</v>
      </c>
      <c r="R361" s="103" t="n">
        <v>670.79</v>
      </c>
      <c r="S361" s="103" t="s">
        <v>176</v>
      </c>
      <c r="T361" s="103" t="n">
        <v>6</v>
      </c>
      <c r="U361" s="103" t="s">
        <v>177</v>
      </c>
      <c r="V361" s="103" t="n">
        <v>500</v>
      </c>
      <c r="W361" s="103" t="n">
        <f aca="false">DATA_PIPELINE!$K361</f>
        <v>0</v>
      </c>
      <c r="X361" s="103" t="n">
        <f aca="false">DATA_PIPELINE!$V361-DATA_PIPELINE!$W361</f>
        <v>500</v>
      </c>
      <c r="Y361" s="103" t="str">
        <f aca="false">IF(DATA_PIPELINE!$X361=0,"Paid",IF(DATA_PIPELINE!$W361=0,"Unpaid","Partly Paid"))</f>
        <v>Unpaid</v>
      </c>
    </row>
    <row r="362" customFormat="false" ht="15" hidden="false" customHeight="true" outlineLevel="0" collapsed="false">
      <c r="A362" s="103" t="n">
        <v>357</v>
      </c>
      <c r="B362" s="105" t="s">
        <v>1204</v>
      </c>
      <c r="C362" s="103" t="s">
        <v>1205</v>
      </c>
      <c r="D362" s="107" t="s">
        <v>994</v>
      </c>
      <c r="E362" s="103" t="s">
        <v>1206</v>
      </c>
      <c r="F362" s="103" t="n">
        <v>776688460</v>
      </c>
      <c r="G362" s="103" t="s">
        <v>533</v>
      </c>
      <c r="H362" s="103" t="s">
        <v>174</v>
      </c>
      <c r="I362" s="103" t="n">
        <v>16</v>
      </c>
      <c r="J362" s="103" t="s">
        <v>175</v>
      </c>
      <c r="K362" s="103" t="n">
        <v>0</v>
      </c>
      <c r="L362" s="103" t="n">
        <v>0</v>
      </c>
      <c r="M362" s="103" t="n">
        <v>0</v>
      </c>
      <c r="N362" s="103" t="n">
        <v>20</v>
      </c>
      <c r="O362" s="103" t="n">
        <v>5513.86</v>
      </c>
      <c r="P362" s="103" t="n">
        <v>0</v>
      </c>
      <c r="Q362" s="103" t="n">
        <v>0</v>
      </c>
      <c r="R362" s="103" t="n">
        <v>5513.86</v>
      </c>
      <c r="S362" s="103" t="s">
        <v>176</v>
      </c>
      <c r="T362" s="103" t="n">
        <v>20</v>
      </c>
      <c r="U362" s="103" t="s">
        <v>177</v>
      </c>
      <c r="V362" s="103" t="n">
        <v>500</v>
      </c>
      <c r="W362" s="103" t="n">
        <f aca="false">DATA_PIPELINE!$K362</f>
        <v>0</v>
      </c>
      <c r="X362" s="103" t="n">
        <f aca="false">DATA_PIPELINE!$V362-DATA_PIPELINE!$W362</f>
        <v>500</v>
      </c>
      <c r="Y362" s="103" t="str">
        <f aca="false">IF(DATA_PIPELINE!$X362=0,"Paid",IF(DATA_PIPELINE!$W362=0,"Unpaid","Partly Paid"))</f>
        <v>Unpaid</v>
      </c>
    </row>
    <row r="363" customFormat="false" ht="15" hidden="false" customHeight="true" outlineLevel="0" collapsed="false">
      <c r="A363" s="103" t="n">
        <v>358</v>
      </c>
      <c r="B363" s="103" t="s">
        <v>1207</v>
      </c>
      <c r="C363" s="103" t="s">
        <v>1208</v>
      </c>
      <c r="D363" s="107" t="s">
        <v>1209</v>
      </c>
      <c r="E363" s="103" t="s">
        <v>1210</v>
      </c>
      <c r="F363" s="103" t="n">
        <v>719976172</v>
      </c>
      <c r="G363" s="103" t="s">
        <v>533</v>
      </c>
      <c r="H363" s="103" t="s">
        <v>174</v>
      </c>
      <c r="I363" s="103" t="n">
        <v>16</v>
      </c>
      <c r="J363" s="103" t="s">
        <v>175</v>
      </c>
      <c r="K363" s="103" t="n">
        <v>0</v>
      </c>
      <c r="L363" s="103" t="n">
        <v>0</v>
      </c>
      <c r="M363" s="103" t="n">
        <v>0</v>
      </c>
      <c r="N363" s="103" t="n">
        <v>70</v>
      </c>
      <c r="O363" s="103" t="n">
        <v>24850.39</v>
      </c>
      <c r="P363" s="103" t="n">
        <v>0</v>
      </c>
      <c r="Q363" s="103" t="n">
        <v>0</v>
      </c>
      <c r="R363" s="103" t="n">
        <v>24850.39</v>
      </c>
      <c r="S363" s="103" t="s">
        <v>176</v>
      </c>
      <c r="T363" s="103" t="n">
        <v>70</v>
      </c>
      <c r="U363" s="103" t="s">
        <v>177</v>
      </c>
      <c r="V363" s="103" t="n">
        <v>500</v>
      </c>
      <c r="W363" s="103" t="n">
        <f aca="false">DATA_PIPELINE!$K363</f>
        <v>0</v>
      </c>
      <c r="X363" s="103" t="n">
        <f aca="false">DATA_PIPELINE!$V363-DATA_PIPELINE!$W363</f>
        <v>500</v>
      </c>
      <c r="Y363" s="103" t="str">
        <f aca="false">IF(DATA_PIPELINE!$X363=0,"Paid",IF(DATA_PIPELINE!$W363=0,"Unpaid","Partly Paid"))</f>
        <v>Unpaid</v>
      </c>
    </row>
    <row r="364" customFormat="false" ht="15" hidden="false" customHeight="true" outlineLevel="0" collapsed="false">
      <c r="A364" s="103" t="n">
        <v>359</v>
      </c>
      <c r="B364" s="103" t="s">
        <v>1211</v>
      </c>
      <c r="C364" s="103" t="s">
        <v>1212</v>
      </c>
      <c r="D364" s="107" t="s">
        <v>1209</v>
      </c>
      <c r="E364" s="103" t="s">
        <v>1213</v>
      </c>
      <c r="F364" s="103" t="n">
        <v>772880710</v>
      </c>
      <c r="G364" s="103" t="s">
        <v>533</v>
      </c>
      <c r="H364" s="103" t="s">
        <v>174</v>
      </c>
      <c r="I364" s="103" t="n">
        <v>1</v>
      </c>
      <c r="J364" s="103" t="s">
        <v>175</v>
      </c>
      <c r="K364" s="103" t="n">
        <v>0</v>
      </c>
      <c r="L364" s="103" t="n">
        <v>0</v>
      </c>
      <c r="M364" s="103" t="n">
        <v>0</v>
      </c>
      <c r="N364" s="103" t="n">
        <v>10</v>
      </c>
      <c r="O364" s="103" t="n">
        <v>6682.05</v>
      </c>
      <c r="P364" s="103" t="n">
        <v>0</v>
      </c>
      <c r="Q364" s="103" t="n">
        <v>0</v>
      </c>
      <c r="R364" s="103" t="n">
        <v>6682.05</v>
      </c>
      <c r="S364" s="103" t="s">
        <v>176</v>
      </c>
      <c r="T364" s="103" t="n">
        <v>10</v>
      </c>
      <c r="U364" s="103" t="s">
        <v>177</v>
      </c>
      <c r="V364" s="103" t="n">
        <v>500</v>
      </c>
      <c r="W364" s="103" t="n">
        <f aca="false">DATA_PIPELINE!$K364</f>
        <v>0</v>
      </c>
      <c r="X364" s="103" t="n">
        <f aca="false">DATA_PIPELINE!$V364-DATA_PIPELINE!$W364</f>
        <v>500</v>
      </c>
      <c r="Y364" s="103" t="str">
        <f aca="false">IF(DATA_PIPELINE!$X364=0,"Paid",IF(DATA_PIPELINE!$W364=0,"Unpaid","Partly Paid"))</f>
        <v>Unpaid</v>
      </c>
    </row>
    <row r="365" customFormat="false" ht="15" hidden="false" customHeight="true" outlineLevel="0" collapsed="false">
      <c r="A365" s="103" t="n">
        <v>360</v>
      </c>
      <c r="B365" s="103" t="s">
        <v>1214</v>
      </c>
      <c r="C365" s="103" t="s">
        <v>1215</v>
      </c>
      <c r="D365" s="107" t="s">
        <v>1209</v>
      </c>
      <c r="E365" s="103" t="s">
        <v>1216</v>
      </c>
      <c r="F365" s="103" t="n">
        <v>78401274</v>
      </c>
      <c r="G365" s="103" t="s">
        <v>533</v>
      </c>
      <c r="H365" s="103" t="s">
        <v>174</v>
      </c>
      <c r="I365" s="103" t="n">
        <v>16</v>
      </c>
      <c r="J365" s="103" t="s">
        <v>175</v>
      </c>
      <c r="K365" s="103" t="n">
        <v>0</v>
      </c>
      <c r="L365" s="103" t="n">
        <v>0</v>
      </c>
      <c r="M365" s="103" t="n">
        <v>0</v>
      </c>
      <c r="N365" s="103" t="n">
        <v>10</v>
      </c>
      <c r="O365" s="103" t="n">
        <v>4569.04</v>
      </c>
      <c r="P365" s="103" t="n">
        <v>0</v>
      </c>
      <c r="Q365" s="103" t="n">
        <v>0</v>
      </c>
      <c r="R365" s="103" t="n">
        <v>4569.04</v>
      </c>
      <c r="S365" s="103" t="s">
        <v>176</v>
      </c>
      <c r="T365" s="103" t="n">
        <v>10</v>
      </c>
      <c r="U365" s="103" t="s">
        <v>177</v>
      </c>
      <c r="V365" s="103" t="n">
        <v>500</v>
      </c>
      <c r="W365" s="103" t="n">
        <f aca="false">DATA_PIPELINE!$K365</f>
        <v>0</v>
      </c>
      <c r="X365" s="103" t="n">
        <f aca="false">DATA_PIPELINE!$V365-DATA_PIPELINE!$W365</f>
        <v>500</v>
      </c>
      <c r="Y365" s="103" t="str">
        <f aca="false">IF(DATA_PIPELINE!$X365=0,"Paid",IF(DATA_PIPELINE!$W365=0,"Unpaid","Partly Paid"))</f>
        <v>Unpaid</v>
      </c>
    </row>
    <row r="366" customFormat="false" ht="15" hidden="false" customHeight="true" outlineLevel="0" collapsed="false">
      <c r="A366" s="103" t="n">
        <v>361</v>
      </c>
      <c r="B366" s="103" t="s">
        <v>1217</v>
      </c>
      <c r="C366" s="103" t="s">
        <v>1218</v>
      </c>
      <c r="D366" s="107" t="s">
        <v>1209</v>
      </c>
      <c r="E366" s="103" t="s">
        <v>1219</v>
      </c>
      <c r="F366" s="103" t="n">
        <v>716257240</v>
      </c>
      <c r="G366" s="103" t="s">
        <v>533</v>
      </c>
      <c r="H366" s="103" t="s">
        <v>174</v>
      </c>
      <c r="I366" s="103" t="n">
        <v>16</v>
      </c>
      <c r="J366" s="103" t="s">
        <v>175</v>
      </c>
      <c r="K366" s="103" t="n">
        <v>0</v>
      </c>
      <c r="L366" s="103" t="n">
        <v>0</v>
      </c>
      <c r="M366" s="103" t="n">
        <v>0</v>
      </c>
      <c r="N366" s="103" t="n">
        <v>20</v>
      </c>
      <c r="O366" s="103" t="n">
        <v>5876.71</v>
      </c>
      <c r="P366" s="103" t="n">
        <v>0</v>
      </c>
      <c r="Q366" s="103" t="n">
        <v>0</v>
      </c>
      <c r="R366" s="103" t="n">
        <v>5876.71</v>
      </c>
      <c r="S366" s="103" t="s">
        <v>176</v>
      </c>
      <c r="T366" s="103" t="n">
        <v>20</v>
      </c>
      <c r="U366" s="103" t="s">
        <v>177</v>
      </c>
      <c r="V366" s="103" t="n">
        <v>500</v>
      </c>
      <c r="W366" s="103" t="n">
        <f aca="false">DATA_PIPELINE!$K366</f>
        <v>0</v>
      </c>
      <c r="X366" s="103" t="n">
        <f aca="false">DATA_PIPELINE!$V366-DATA_PIPELINE!$W366</f>
        <v>500</v>
      </c>
      <c r="Y366" s="103" t="str">
        <f aca="false">IF(DATA_PIPELINE!$X366=0,"Paid",IF(DATA_PIPELINE!$W366=0,"Unpaid","Partly Paid"))</f>
        <v>Unpaid</v>
      </c>
    </row>
    <row r="367" customFormat="false" ht="15" hidden="false" customHeight="true" outlineLevel="0" collapsed="false">
      <c r="A367" s="103" t="n">
        <v>362</v>
      </c>
      <c r="B367" s="103" t="s">
        <v>1220</v>
      </c>
      <c r="C367" s="103" t="s">
        <v>1221</v>
      </c>
      <c r="D367" s="107" t="s">
        <v>1209</v>
      </c>
      <c r="E367" s="103" t="s">
        <v>1222</v>
      </c>
      <c r="F367" s="103" t="n">
        <v>773938878</v>
      </c>
      <c r="G367" s="103" t="s">
        <v>533</v>
      </c>
      <c r="H367" s="103" t="s">
        <v>174</v>
      </c>
      <c r="I367" s="103" t="n">
        <v>1</v>
      </c>
      <c r="J367" s="103" t="s">
        <v>175</v>
      </c>
      <c r="K367" s="103" t="n">
        <v>0</v>
      </c>
      <c r="L367" s="103" t="n">
        <v>0</v>
      </c>
      <c r="M367" s="103" t="n">
        <v>0</v>
      </c>
      <c r="N367" s="103" t="n">
        <v>20</v>
      </c>
      <c r="O367" s="103" t="n">
        <v>4915.67</v>
      </c>
      <c r="P367" s="103" t="n">
        <v>0</v>
      </c>
      <c r="Q367" s="103" t="n">
        <v>0</v>
      </c>
      <c r="R367" s="103" t="n">
        <v>4915.67</v>
      </c>
      <c r="S367" s="103" t="s">
        <v>176</v>
      </c>
      <c r="T367" s="103" t="n">
        <v>20</v>
      </c>
      <c r="U367" s="103" t="s">
        <v>177</v>
      </c>
      <c r="V367" s="103" t="n">
        <v>500</v>
      </c>
      <c r="W367" s="103" t="n">
        <f aca="false">DATA_PIPELINE!$K367</f>
        <v>0</v>
      </c>
      <c r="X367" s="103" t="n">
        <f aca="false">DATA_PIPELINE!$V367-DATA_PIPELINE!$W367</f>
        <v>500</v>
      </c>
      <c r="Y367" s="103" t="str">
        <f aca="false">IF(DATA_PIPELINE!$X367=0,"Paid",IF(DATA_PIPELINE!$W367=0,"Unpaid","Partly Paid"))</f>
        <v>Unpaid</v>
      </c>
    </row>
    <row r="368" customFormat="false" ht="15" hidden="false" customHeight="true" outlineLevel="0" collapsed="false">
      <c r="A368" s="103" t="n">
        <v>363</v>
      </c>
      <c r="B368" s="103" t="s">
        <v>1223</v>
      </c>
      <c r="C368" s="103" t="s">
        <v>1224</v>
      </c>
      <c r="D368" s="107" t="s">
        <v>1209</v>
      </c>
      <c r="E368" s="103" t="s">
        <v>1225</v>
      </c>
      <c r="F368" s="103" t="n">
        <v>712501870</v>
      </c>
      <c r="G368" s="103" t="s">
        <v>533</v>
      </c>
      <c r="H368" s="103" t="s">
        <v>174</v>
      </c>
      <c r="I368" s="103" t="n">
        <v>1</v>
      </c>
      <c r="J368" s="103" t="s">
        <v>175</v>
      </c>
      <c r="K368" s="103" t="n">
        <v>0</v>
      </c>
      <c r="L368" s="103" t="n">
        <v>0</v>
      </c>
      <c r="M368" s="103" t="n">
        <v>0</v>
      </c>
      <c r="N368" s="103" t="n">
        <v>10</v>
      </c>
      <c r="O368" s="103" t="n">
        <v>4050.83</v>
      </c>
      <c r="P368" s="103" t="n">
        <v>0</v>
      </c>
      <c r="Q368" s="103" t="n">
        <v>0</v>
      </c>
      <c r="R368" s="103" t="n">
        <v>4050.83</v>
      </c>
      <c r="S368" s="103" t="s">
        <v>176</v>
      </c>
      <c r="T368" s="103" t="n">
        <v>10</v>
      </c>
      <c r="U368" s="103" t="s">
        <v>177</v>
      </c>
      <c r="V368" s="103" t="n">
        <v>500</v>
      </c>
      <c r="W368" s="103" t="n">
        <f aca="false">DATA_PIPELINE!$K368</f>
        <v>0</v>
      </c>
      <c r="X368" s="103" t="n">
        <f aca="false">DATA_PIPELINE!$V368-DATA_PIPELINE!$W368</f>
        <v>500</v>
      </c>
      <c r="Y368" s="103" t="str">
        <f aca="false">IF(DATA_PIPELINE!$X368=0,"Paid",IF(DATA_PIPELINE!$W368=0,"Unpaid","Partly Paid"))</f>
        <v>Unpaid</v>
      </c>
    </row>
    <row r="369" customFormat="false" ht="15" hidden="false" customHeight="true" outlineLevel="0" collapsed="false">
      <c r="A369" s="103" t="n">
        <v>364</v>
      </c>
      <c r="B369" s="103" t="s">
        <v>1226</v>
      </c>
      <c r="C369" s="103" t="s">
        <v>1227</v>
      </c>
      <c r="D369" s="107" t="s">
        <v>1209</v>
      </c>
      <c r="E369" s="103" t="s">
        <v>1228</v>
      </c>
      <c r="F369" s="103" t="n">
        <v>714700443</v>
      </c>
      <c r="G369" s="103" t="s">
        <v>533</v>
      </c>
      <c r="H369" s="103" t="s">
        <v>174</v>
      </c>
      <c r="I369" s="103" t="n">
        <v>1</v>
      </c>
      <c r="J369" s="103" t="s">
        <v>175</v>
      </c>
      <c r="K369" s="103" t="n">
        <v>0</v>
      </c>
      <c r="L369" s="103" t="n">
        <v>0</v>
      </c>
      <c r="M369" s="103" t="n">
        <v>0</v>
      </c>
      <c r="N369" s="103" t="n">
        <v>10</v>
      </c>
      <c r="O369" s="103" t="n">
        <v>2355.48</v>
      </c>
      <c r="P369" s="103" t="n">
        <v>0</v>
      </c>
      <c r="Q369" s="103" t="n">
        <v>0</v>
      </c>
      <c r="R369" s="103" t="n">
        <v>2355.48</v>
      </c>
      <c r="S369" s="103" t="s">
        <v>176</v>
      </c>
      <c r="T369" s="103" t="n">
        <v>10</v>
      </c>
      <c r="U369" s="103" t="s">
        <v>177</v>
      </c>
      <c r="V369" s="103" t="n">
        <v>500</v>
      </c>
      <c r="W369" s="103" t="n">
        <f aca="false">DATA_PIPELINE!$K369</f>
        <v>0</v>
      </c>
      <c r="X369" s="103" t="n">
        <f aca="false">DATA_PIPELINE!$V369-DATA_PIPELINE!$W369</f>
        <v>500</v>
      </c>
      <c r="Y369" s="103" t="str">
        <f aca="false">IF(DATA_PIPELINE!$X369=0,"Paid",IF(DATA_PIPELINE!$W369=0,"Unpaid","Partly Paid"))</f>
        <v>Unpaid</v>
      </c>
    </row>
    <row r="370" customFormat="false" ht="15" hidden="false" customHeight="true" outlineLevel="0" collapsed="false">
      <c r="A370" s="103" t="n">
        <v>365</v>
      </c>
      <c r="B370" s="103" t="s">
        <v>1229</v>
      </c>
      <c r="C370" s="103" t="s">
        <v>1230</v>
      </c>
      <c r="D370" s="107" t="s">
        <v>1209</v>
      </c>
      <c r="E370" s="103" t="s">
        <v>1231</v>
      </c>
      <c r="F370" s="103" t="n">
        <v>711640396</v>
      </c>
      <c r="G370" s="103" t="s">
        <v>533</v>
      </c>
      <c r="H370" s="103" t="s">
        <v>174</v>
      </c>
      <c r="I370" s="103" t="n">
        <v>1</v>
      </c>
      <c r="J370" s="103" t="s">
        <v>175</v>
      </c>
      <c r="K370" s="103" t="n">
        <v>0</v>
      </c>
      <c r="L370" s="103" t="n">
        <v>0</v>
      </c>
      <c r="M370" s="103" t="n">
        <v>0</v>
      </c>
      <c r="N370" s="103" t="n">
        <v>10</v>
      </c>
      <c r="O370" s="103" t="n">
        <v>2545.48</v>
      </c>
      <c r="P370" s="103" t="n">
        <v>0</v>
      </c>
      <c r="Q370" s="103" t="n">
        <v>0</v>
      </c>
      <c r="R370" s="103" t="n">
        <v>2545.48</v>
      </c>
      <c r="S370" s="103" t="s">
        <v>176</v>
      </c>
      <c r="T370" s="103" t="n">
        <v>10</v>
      </c>
      <c r="U370" s="103" t="s">
        <v>177</v>
      </c>
      <c r="V370" s="103" t="n">
        <v>500</v>
      </c>
      <c r="W370" s="103" t="n">
        <f aca="false">DATA_PIPELINE!$K370</f>
        <v>0</v>
      </c>
      <c r="X370" s="103" t="n">
        <f aca="false">DATA_PIPELINE!$V370-DATA_PIPELINE!$W370</f>
        <v>500</v>
      </c>
      <c r="Y370" s="103" t="str">
        <f aca="false">IF(DATA_PIPELINE!$X370=0,"Paid",IF(DATA_PIPELINE!$W370=0,"Unpaid","Partly Paid"))</f>
        <v>Unpaid</v>
      </c>
    </row>
    <row r="371" customFormat="false" ht="15" hidden="false" customHeight="true" outlineLevel="0" collapsed="false">
      <c r="A371" s="103" t="n">
        <v>366</v>
      </c>
      <c r="B371" s="103" t="s">
        <v>1232</v>
      </c>
      <c r="C371" s="103" t="s">
        <v>776</v>
      </c>
      <c r="D371" s="107" t="s">
        <v>1209</v>
      </c>
      <c r="E371" s="103" t="s">
        <v>1233</v>
      </c>
      <c r="F371" s="103" t="n">
        <v>719030554</v>
      </c>
      <c r="G371" s="103" t="s">
        <v>533</v>
      </c>
      <c r="H371" s="103" t="s">
        <v>174</v>
      </c>
      <c r="I371" s="103" t="n">
        <v>1</v>
      </c>
      <c r="J371" s="103" t="s">
        <v>175</v>
      </c>
      <c r="K371" s="103" t="n">
        <v>0</v>
      </c>
      <c r="L371" s="103" t="n">
        <v>0</v>
      </c>
      <c r="M371" s="103" t="n">
        <v>0</v>
      </c>
      <c r="N371" s="103" t="n">
        <v>10</v>
      </c>
      <c r="O371" s="103" t="n">
        <v>3904.5</v>
      </c>
      <c r="P371" s="103" t="n">
        <v>0</v>
      </c>
      <c r="Q371" s="103" t="n">
        <v>0</v>
      </c>
      <c r="R371" s="103" t="n">
        <v>3904.5</v>
      </c>
      <c r="S371" s="103" t="s">
        <v>176</v>
      </c>
      <c r="T371" s="103" t="n">
        <v>10</v>
      </c>
      <c r="U371" s="103" t="s">
        <v>177</v>
      </c>
      <c r="V371" s="103" t="n">
        <v>500</v>
      </c>
      <c r="W371" s="103" t="n">
        <f aca="false">DATA_PIPELINE!$K371</f>
        <v>0</v>
      </c>
      <c r="X371" s="103" t="n">
        <f aca="false">DATA_PIPELINE!$V371-DATA_PIPELINE!$W371</f>
        <v>500</v>
      </c>
      <c r="Y371" s="103" t="str">
        <f aca="false">IF(DATA_PIPELINE!$X371=0,"Paid",IF(DATA_PIPELINE!$W371=0,"Unpaid","Partly Paid"))</f>
        <v>Unpaid</v>
      </c>
    </row>
    <row r="372" customFormat="false" ht="15" hidden="false" customHeight="true" outlineLevel="0" collapsed="false">
      <c r="A372" s="103" t="n">
        <v>367</v>
      </c>
      <c r="B372" s="103" t="s">
        <v>1234</v>
      </c>
      <c r="C372" s="103" t="s">
        <v>776</v>
      </c>
      <c r="D372" s="107" t="s">
        <v>1209</v>
      </c>
      <c r="E372" s="103" t="s">
        <v>1235</v>
      </c>
      <c r="F372" s="103" t="n">
        <v>772828414</v>
      </c>
      <c r="G372" s="103" t="s">
        <v>533</v>
      </c>
      <c r="H372" s="103" t="s">
        <v>174</v>
      </c>
      <c r="I372" s="103" t="n">
        <v>1</v>
      </c>
      <c r="J372" s="103" t="s">
        <v>175</v>
      </c>
      <c r="K372" s="103" t="n">
        <v>0</v>
      </c>
      <c r="L372" s="103" t="n">
        <v>0</v>
      </c>
      <c r="M372" s="103" t="n">
        <v>0</v>
      </c>
      <c r="N372" s="103" t="n">
        <v>10</v>
      </c>
      <c r="O372" s="103" t="n">
        <v>4050.83</v>
      </c>
      <c r="P372" s="103" t="n">
        <v>0</v>
      </c>
      <c r="Q372" s="103" t="n">
        <v>0</v>
      </c>
      <c r="R372" s="103" t="n">
        <v>4050.83</v>
      </c>
      <c r="S372" s="103" t="s">
        <v>176</v>
      </c>
      <c r="T372" s="103" t="n">
        <v>10</v>
      </c>
      <c r="U372" s="103" t="s">
        <v>177</v>
      </c>
      <c r="V372" s="103" t="n">
        <v>500</v>
      </c>
      <c r="W372" s="103" t="n">
        <f aca="false">DATA_PIPELINE!$K372</f>
        <v>0</v>
      </c>
      <c r="X372" s="103" t="n">
        <f aca="false">DATA_PIPELINE!$V372-DATA_PIPELINE!$W372</f>
        <v>500</v>
      </c>
      <c r="Y372" s="103" t="str">
        <f aca="false">IF(DATA_PIPELINE!$X372=0,"Paid",IF(DATA_PIPELINE!$W372=0,"Unpaid","Partly Paid"))</f>
        <v>Unpaid</v>
      </c>
    </row>
    <row r="373" customFormat="false" ht="15" hidden="false" customHeight="true" outlineLevel="0" collapsed="false">
      <c r="A373" s="103" t="n">
        <v>368</v>
      </c>
      <c r="B373" s="103" t="s">
        <v>1236</v>
      </c>
      <c r="C373" s="103" t="s">
        <v>776</v>
      </c>
      <c r="D373" s="107" t="s">
        <v>1209</v>
      </c>
      <c r="E373" s="103" t="s">
        <v>1237</v>
      </c>
      <c r="F373" s="103"/>
      <c r="G373" s="103" t="s">
        <v>533</v>
      </c>
      <c r="H373" s="103" t="s">
        <v>174</v>
      </c>
      <c r="I373" s="103" t="n">
        <v>1</v>
      </c>
      <c r="J373" s="103" t="s">
        <v>175</v>
      </c>
      <c r="K373" s="103" t="n">
        <v>0</v>
      </c>
      <c r="L373" s="103" t="n">
        <v>0</v>
      </c>
      <c r="M373" s="103" t="n">
        <v>0</v>
      </c>
      <c r="N373" s="103" t="n">
        <v>10</v>
      </c>
      <c r="O373" s="103" t="n">
        <v>1226.26</v>
      </c>
      <c r="P373" s="103" t="n">
        <v>0</v>
      </c>
      <c r="Q373" s="103" t="n">
        <v>0</v>
      </c>
      <c r="R373" s="103" t="n">
        <v>1226.26</v>
      </c>
      <c r="S373" s="103" t="s">
        <v>176</v>
      </c>
      <c r="T373" s="103" t="n">
        <v>10</v>
      </c>
      <c r="U373" s="103" t="s">
        <v>177</v>
      </c>
      <c r="V373" s="103" t="n">
        <v>500</v>
      </c>
      <c r="W373" s="103" t="n">
        <f aca="false">DATA_PIPELINE!$K373</f>
        <v>0</v>
      </c>
      <c r="X373" s="103" t="n">
        <f aca="false">DATA_PIPELINE!$V373-DATA_PIPELINE!$W373</f>
        <v>500</v>
      </c>
      <c r="Y373" s="103" t="str">
        <f aca="false">IF(DATA_PIPELINE!$X373=0,"Paid",IF(DATA_PIPELINE!$W373=0,"Unpaid","Partly Paid"))</f>
        <v>Unpaid</v>
      </c>
    </row>
    <row r="374" customFormat="false" ht="15" hidden="false" customHeight="true" outlineLevel="0" collapsed="false">
      <c r="A374" s="103" t="n">
        <v>369</v>
      </c>
      <c r="B374" s="103" t="s">
        <v>1238</v>
      </c>
      <c r="C374" s="103" t="s">
        <v>776</v>
      </c>
      <c r="D374" s="107" t="s">
        <v>1209</v>
      </c>
      <c r="E374" s="103" t="s">
        <v>1239</v>
      </c>
      <c r="F374" s="103"/>
      <c r="G374" s="103" t="s">
        <v>533</v>
      </c>
      <c r="H374" s="103" t="s">
        <v>174</v>
      </c>
      <c r="I374" s="103" t="n">
        <v>1</v>
      </c>
      <c r="J374" s="103" t="s">
        <v>175</v>
      </c>
      <c r="K374" s="103" t="n">
        <v>0</v>
      </c>
      <c r="L374" s="103" t="n">
        <v>0</v>
      </c>
      <c r="M374" s="103" t="n">
        <v>0</v>
      </c>
      <c r="N374" s="103" t="n">
        <v>10</v>
      </c>
      <c r="O374" s="103" t="n">
        <v>1226.26</v>
      </c>
      <c r="P374" s="103" t="n">
        <v>0</v>
      </c>
      <c r="Q374" s="103" t="n">
        <v>0</v>
      </c>
      <c r="R374" s="103" t="n">
        <v>1226.26</v>
      </c>
      <c r="S374" s="103" t="s">
        <v>176</v>
      </c>
      <c r="T374" s="103" t="n">
        <v>10</v>
      </c>
      <c r="U374" s="103" t="s">
        <v>177</v>
      </c>
      <c r="V374" s="103" t="n">
        <v>500</v>
      </c>
      <c r="W374" s="103" t="n">
        <f aca="false">DATA_PIPELINE!$K374</f>
        <v>0</v>
      </c>
      <c r="X374" s="103" t="n">
        <f aca="false">DATA_PIPELINE!$V374-DATA_PIPELINE!$W374</f>
        <v>500</v>
      </c>
      <c r="Y374" s="103" t="str">
        <f aca="false">IF(DATA_PIPELINE!$X374=0,"Paid",IF(DATA_PIPELINE!$W374=0,"Unpaid","Partly Paid"))</f>
        <v>Unpaid</v>
      </c>
    </row>
    <row r="375" customFormat="false" ht="15" hidden="false" customHeight="true" outlineLevel="0" collapsed="false">
      <c r="A375" s="103" t="n">
        <v>370</v>
      </c>
      <c r="B375" s="103" t="s">
        <v>1240</v>
      </c>
      <c r="C375" s="103" t="s">
        <v>1241</v>
      </c>
      <c r="D375" s="107" t="s">
        <v>1209</v>
      </c>
      <c r="E375" s="103" t="s">
        <v>1242</v>
      </c>
      <c r="F375" s="103" t="n">
        <v>715210466</v>
      </c>
      <c r="G375" s="103" t="s">
        <v>533</v>
      </c>
      <c r="H375" s="103" t="s">
        <v>174</v>
      </c>
      <c r="I375" s="103" t="n">
        <v>1</v>
      </c>
      <c r="J375" s="103" t="s">
        <v>175</v>
      </c>
      <c r="K375" s="103" t="n">
        <v>0</v>
      </c>
      <c r="L375" s="103" t="n">
        <v>0</v>
      </c>
      <c r="M375" s="103" t="n">
        <v>0</v>
      </c>
      <c r="N375" s="103" t="n">
        <v>4</v>
      </c>
      <c r="O375" s="103" t="n">
        <v>4050.83</v>
      </c>
      <c r="P375" s="103" t="n">
        <v>0</v>
      </c>
      <c r="Q375" s="103" t="n">
        <v>0</v>
      </c>
      <c r="R375" s="103" t="n">
        <v>4050.83</v>
      </c>
      <c r="S375" s="103" t="s">
        <v>176</v>
      </c>
      <c r="T375" s="103" t="n">
        <v>4</v>
      </c>
      <c r="U375" s="103" t="s">
        <v>177</v>
      </c>
      <c r="V375" s="103" t="n">
        <v>500</v>
      </c>
      <c r="W375" s="103" t="n">
        <f aca="false">DATA_PIPELINE!$K375</f>
        <v>0</v>
      </c>
      <c r="X375" s="103" t="n">
        <f aca="false">DATA_PIPELINE!$V375-DATA_PIPELINE!$W375</f>
        <v>500</v>
      </c>
      <c r="Y375" s="103" t="str">
        <f aca="false">IF(DATA_PIPELINE!$X375=0,"Paid",IF(DATA_PIPELINE!$W375=0,"Unpaid","Partly Paid"))</f>
        <v>Unpaid</v>
      </c>
    </row>
    <row r="376" customFormat="false" ht="15" hidden="false" customHeight="true" outlineLevel="0" collapsed="false">
      <c r="A376" s="103" t="n">
        <v>371</v>
      </c>
      <c r="B376" s="103" t="s">
        <v>1243</v>
      </c>
      <c r="C376" s="103" t="s">
        <v>1244</v>
      </c>
      <c r="D376" s="107" t="s">
        <v>1209</v>
      </c>
      <c r="E376" s="103" t="s">
        <v>1245</v>
      </c>
      <c r="F376" s="103" t="n">
        <v>773015083</v>
      </c>
      <c r="G376" s="103" t="s">
        <v>533</v>
      </c>
      <c r="H376" s="103" t="s">
        <v>174</v>
      </c>
      <c r="I376" s="103" t="n">
        <v>1</v>
      </c>
      <c r="J376" s="103" t="s">
        <v>175</v>
      </c>
      <c r="K376" s="103" t="n">
        <v>0</v>
      </c>
      <c r="L376" s="103" t="n">
        <v>0</v>
      </c>
      <c r="M376" s="103" t="n">
        <v>0</v>
      </c>
      <c r="N376" s="103" t="n">
        <v>10</v>
      </c>
      <c r="O376" s="103" t="n">
        <v>2123.45</v>
      </c>
      <c r="P376" s="103" t="n">
        <v>0</v>
      </c>
      <c r="Q376" s="103" t="n">
        <v>0</v>
      </c>
      <c r="R376" s="103" t="n">
        <v>2123.45</v>
      </c>
      <c r="S376" s="103" t="s">
        <v>176</v>
      </c>
      <c r="T376" s="103" t="n">
        <v>10</v>
      </c>
      <c r="U376" s="103" t="s">
        <v>177</v>
      </c>
      <c r="V376" s="103" t="n">
        <v>500</v>
      </c>
      <c r="W376" s="103" t="n">
        <f aca="false">DATA_PIPELINE!$K376</f>
        <v>0</v>
      </c>
      <c r="X376" s="103" t="n">
        <f aca="false">DATA_PIPELINE!$V376-DATA_PIPELINE!$W376</f>
        <v>500</v>
      </c>
      <c r="Y376" s="103" t="str">
        <f aca="false">IF(DATA_PIPELINE!$X376=0,"Paid",IF(DATA_PIPELINE!$W376=0,"Unpaid","Partly Paid"))</f>
        <v>Unpaid</v>
      </c>
    </row>
    <row r="377" customFormat="false" ht="15" hidden="false" customHeight="true" outlineLevel="0" collapsed="false">
      <c r="A377" s="103" t="n">
        <v>372</v>
      </c>
      <c r="B377" s="103" t="s">
        <v>1246</v>
      </c>
      <c r="C377" s="103" t="s">
        <v>1247</v>
      </c>
      <c r="D377" s="107" t="s">
        <v>1209</v>
      </c>
      <c r="E377" s="103" t="s">
        <v>1248</v>
      </c>
      <c r="F377" s="103" t="n">
        <v>718938795</v>
      </c>
      <c r="G377" s="103" t="s">
        <v>533</v>
      </c>
      <c r="H377" s="103" t="s">
        <v>174</v>
      </c>
      <c r="I377" s="103" t="n">
        <v>10</v>
      </c>
      <c r="J377" s="103" t="s">
        <v>175</v>
      </c>
      <c r="K377" s="103" t="n">
        <v>0</v>
      </c>
      <c r="L377" s="103" t="n">
        <v>0</v>
      </c>
      <c r="M377" s="103" t="n">
        <v>0</v>
      </c>
      <c r="N377" s="103" t="n">
        <v>10</v>
      </c>
      <c r="O377" s="103" t="n">
        <v>4050.83</v>
      </c>
      <c r="P377" s="103" t="n">
        <v>0</v>
      </c>
      <c r="Q377" s="103" t="n">
        <v>0</v>
      </c>
      <c r="R377" s="103" t="n">
        <v>4050.83</v>
      </c>
      <c r="S377" s="103" t="s">
        <v>176</v>
      </c>
      <c r="T377" s="103" t="n">
        <v>10</v>
      </c>
      <c r="U377" s="103" t="s">
        <v>177</v>
      </c>
      <c r="V377" s="103" t="n">
        <v>500</v>
      </c>
      <c r="W377" s="103" t="n">
        <f aca="false">DATA_PIPELINE!$K377</f>
        <v>0</v>
      </c>
      <c r="X377" s="103" t="n">
        <f aca="false">DATA_PIPELINE!$V377-DATA_PIPELINE!$W377</f>
        <v>500</v>
      </c>
      <c r="Y377" s="103" t="str">
        <f aca="false">IF(DATA_PIPELINE!$X377=0,"Paid",IF(DATA_PIPELINE!$W377=0,"Unpaid","Partly Paid"))</f>
        <v>Unpaid</v>
      </c>
    </row>
    <row r="378" customFormat="false" ht="15" hidden="false" customHeight="true" outlineLevel="0" collapsed="false">
      <c r="A378" s="103" t="n">
        <v>373</v>
      </c>
      <c r="B378" s="103" t="s">
        <v>1249</v>
      </c>
      <c r="C378" s="103" t="s">
        <v>1250</v>
      </c>
      <c r="D378" s="107" t="s">
        <v>1209</v>
      </c>
      <c r="E378" s="103" t="s">
        <v>1251</v>
      </c>
      <c r="F378" s="103" t="n">
        <v>784071111</v>
      </c>
      <c r="G378" s="103" t="s">
        <v>533</v>
      </c>
      <c r="H378" s="103" t="s">
        <v>174</v>
      </c>
      <c r="I378" s="103" t="n">
        <v>1</v>
      </c>
      <c r="J378" s="103" t="s">
        <v>175</v>
      </c>
      <c r="K378" s="103" t="n">
        <v>0</v>
      </c>
      <c r="L378" s="103" t="n">
        <v>0</v>
      </c>
      <c r="M378" s="103" t="n">
        <v>0</v>
      </c>
      <c r="N378" s="103" t="n">
        <v>20</v>
      </c>
      <c r="O378" s="103" t="n">
        <v>7770.35</v>
      </c>
      <c r="P378" s="103" t="n">
        <v>0</v>
      </c>
      <c r="Q378" s="103" t="n">
        <v>0</v>
      </c>
      <c r="R378" s="103" t="n">
        <v>7770.35</v>
      </c>
      <c r="S378" s="103" t="s">
        <v>176</v>
      </c>
      <c r="T378" s="103" t="n">
        <v>20</v>
      </c>
      <c r="U378" s="103" t="s">
        <v>177</v>
      </c>
      <c r="V378" s="103" t="n">
        <v>500</v>
      </c>
      <c r="W378" s="103" t="n">
        <f aca="false">DATA_PIPELINE!$K378</f>
        <v>0</v>
      </c>
      <c r="X378" s="103" t="n">
        <f aca="false">DATA_PIPELINE!$V378-DATA_PIPELINE!$W378</f>
        <v>500</v>
      </c>
      <c r="Y378" s="103" t="str">
        <f aca="false">IF(DATA_PIPELINE!$X378=0,"Paid",IF(DATA_PIPELINE!$W378=0,"Unpaid","Partly Paid"))</f>
        <v>Unpaid</v>
      </c>
    </row>
    <row r="379" customFormat="false" ht="15" hidden="false" customHeight="true" outlineLevel="0" collapsed="false">
      <c r="A379" s="103" t="n">
        <v>374</v>
      </c>
      <c r="B379" s="103" t="s">
        <v>1252</v>
      </c>
      <c r="C379" s="103" t="s">
        <v>1253</v>
      </c>
      <c r="D379" s="107" t="s">
        <v>1209</v>
      </c>
      <c r="E379" s="103" t="s">
        <v>1254</v>
      </c>
      <c r="F379" s="103" t="n">
        <v>714682534</v>
      </c>
      <c r="G379" s="103" t="s">
        <v>533</v>
      </c>
      <c r="H379" s="103" t="s">
        <v>174</v>
      </c>
      <c r="I379" s="103" t="n">
        <v>1</v>
      </c>
      <c r="J379" s="103" t="s">
        <v>175</v>
      </c>
      <c r="K379" s="103" t="n">
        <v>0</v>
      </c>
      <c r="L379" s="103" t="n">
        <v>0</v>
      </c>
      <c r="M379" s="103" t="n">
        <v>0</v>
      </c>
      <c r="N379" s="103" t="n">
        <v>10</v>
      </c>
      <c r="O379" s="103" t="n">
        <v>2287.77</v>
      </c>
      <c r="P379" s="103" t="n">
        <v>0</v>
      </c>
      <c r="Q379" s="103" t="n">
        <v>0</v>
      </c>
      <c r="R379" s="103" t="n">
        <v>2287.77</v>
      </c>
      <c r="S379" s="103" t="s">
        <v>176</v>
      </c>
      <c r="T379" s="103" t="n">
        <v>10</v>
      </c>
      <c r="U379" s="103" t="s">
        <v>177</v>
      </c>
      <c r="V379" s="103" t="n">
        <v>500</v>
      </c>
      <c r="W379" s="103" t="n">
        <f aca="false">DATA_PIPELINE!$K379</f>
        <v>0</v>
      </c>
      <c r="X379" s="103" t="n">
        <f aca="false">DATA_PIPELINE!$V379-DATA_PIPELINE!$W379</f>
        <v>500</v>
      </c>
      <c r="Y379" s="103" t="str">
        <f aca="false">IF(DATA_PIPELINE!$X379=0,"Paid",IF(DATA_PIPELINE!$W379=0,"Unpaid","Partly Paid"))</f>
        <v>Unpaid</v>
      </c>
    </row>
    <row r="380" customFormat="false" ht="15" hidden="false" customHeight="true" outlineLevel="0" collapsed="false">
      <c r="A380" s="103" t="n">
        <v>375</v>
      </c>
      <c r="B380" s="103" t="s">
        <v>1255</v>
      </c>
      <c r="C380" s="103" t="s">
        <v>1256</v>
      </c>
      <c r="D380" s="107" t="s">
        <v>1209</v>
      </c>
      <c r="E380" s="103" t="s">
        <v>1257</v>
      </c>
      <c r="F380" s="103" t="n">
        <v>716962306</v>
      </c>
      <c r="G380" s="103" t="s">
        <v>533</v>
      </c>
      <c r="H380" s="103" t="s">
        <v>174</v>
      </c>
      <c r="I380" s="103" t="n">
        <v>1</v>
      </c>
      <c r="J380" s="103" t="s">
        <v>175</v>
      </c>
      <c r="K380" s="103" t="n">
        <v>0</v>
      </c>
      <c r="L380" s="103" t="n">
        <v>0</v>
      </c>
      <c r="M380" s="103" t="n">
        <v>0</v>
      </c>
      <c r="N380" s="103" t="n">
        <v>10</v>
      </c>
      <c r="O380" s="103" t="n">
        <v>1667</v>
      </c>
      <c r="P380" s="103" t="n">
        <v>0</v>
      </c>
      <c r="Q380" s="103" t="n">
        <v>0</v>
      </c>
      <c r="R380" s="103" t="n">
        <v>1667</v>
      </c>
      <c r="S380" s="103" t="s">
        <v>176</v>
      </c>
      <c r="T380" s="103" t="n">
        <v>10</v>
      </c>
      <c r="U380" s="103" t="s">
        <v>177</v>
      </c>
      <c r="V380" s="103" t="n">
        <v>500</v>
      </c>
      <c r="W380" s="103" t="n">
        <f aca="false">DATA_PIPELINE!$K380</f>
        <v>0</v>
      </c>
      <c r="X380" s="103" t="n">
        <f aca="false">DATA_PIPELINE!$V380-DATA_PIPELINE!$W380</f>
        <v>500</v>
      </c>
      <c r="Y380" s="103" t="str">
        <f aca="false">IF(DATA_PIPELINE!$X380=0,"Paid",IF(DATA_PIPELINE!$W380=0,"Unpaid","Partly Paid"))</f>
        <v>Unpaid</v>
      </c>
    </row>
    <row r="381" customFormat="false" ht="15" hidden="false" customHeight="true" outlineLevel="0" collapsed="false">
      <c r="A381" s="103" t="n">
        <v>376</v>
      </c>
      <c r="B381" s="103" t="s">
        <v>1258</v>
      </c>
      <c r="C381" s="103" t="s">
        <v>1259</v>
      </c>
      <c r="D381" s="107" t="s">
        <v>1209</v>
      </c>
      <c r="E381" s="103" t="s">
        <v>1260</v>
      </c>
      <c r="F381" s="103" t="n">
        <v>716864975</v>
      </c>
      <c r="G381" s="103" t="s">
        <v>533</v>
      </c>
      <c r="H381" s="103" t="s">
        <v>174</v>
      </c>
      <c r="I381" s="103" t="n">
        <v>1</v>
      </c>
      <c r="J381" s="103" t="s">
        <v>175</v>
      </c>
      <c r="K381" s="103" t="n">
        <v>0</v>
      </c>
      <c r="L381" s="103" t="n">
        <v>0</v>
      </c>
      <c r="M381" s="103" t="n">
        <v>0</v>
      </c>
      <c r="N381" s="103" t="n">
        <v>10</v>
      </c>
      <c r="O381" s="103" t="n">
        <v>2092.88</v>
      </c>
      <c r="P381" s="103" t="n">
        <v>0</v>
      </c>
      <c r="Q381" s="103" t="n">
        <v>0</v>
      </c>
      <c r="R381" s="103" t="n">
        <v>2092.88</v>
      </c>
      <c r="S381" s="103" t="s">
        <v>176</v>
      </c>
      <c r="T381" s="103" t="n">
        <v>10</v>
      </c>
      <c r="U381" s="103" t="s">
        <v>177</v>
      </c>
      <c r="V381" s="103" t="n">
        <v>500</v>
      </c>
      <c r="W381" s="103" t="n">
        <f aca="false">DATA_PIPELINE!$K381</f>
        <v>0</v>
      </c>
      <c r="X381" s="103" t="n">
        <f aca="false">DATA_PIPELINE!$V381-DATA_PIPELINE!$W381</f>
        <v>500</v>
      </c>
      <c r="Y381" s="103" t="str">
        <f aca="false">IF(DATA_PIPELINE!$X381=0,"Paid",IF(DATA_PIPELINE!$W381=0,"Unpaid","Partly Paid"))</f>
        <v>Unpaid</v>
      </c>
    </row>
    <row r="382" customFormat="false" ht="15" hidden="false" customHeight="true" outlineLevel="0" collapsed="false">
      <c r="A382" s="103" t="n">
        <v>377</v>
      </c>
      <c r="B382" s="103" t="s">
        <v>1261</v>
      </c>
      <c r="C382" s="103" t="s">
        <v>1262</v>
      </c>
      <c r="D382" s="107" t="s">
        <v>1209</v>
      </c>
      <c r="E382" s="103" t="s">
        <v>1263</v>
      </c>
      <c r="F382" s="103" t="n">
        <v>713118800</v>
      </c>
      <c r="G382" s="103" t="s">
        <v>533</v>
      </c>
      <c r="H382" s="103" t="s">
        <v>174</v>
      </c>
      <c r="I382" s="103" t="n">
        <v>1</v>
      </c>
      <c r="J382" s="103" t="s">
        <v>175</v>
      </c>
      <c r="K382" s="103" t="n">
        <v>0</v>
      </c>
      <c r="L382" s="103" t="n">
        <v>0</v>
      </c>
      <c r="M382" s="103" t="n">
        <v>0</v>
      </c>
      <c r="N382" s="103" t="n">
        <v>5</v>
      </c>
      <c r="O382" s="103" t="n">
        <v>3645.67</v>
      </c>
      <c r="P382" s="103" t="n">
        <v>0</v>
      </c>
      <c r="Q382" s="103" t="n">
        <v>0</v>
      </c>
      <c r="R382" s="103" t="n">
        <v>3645.67</v>
      </c>
      <c r="S382" s="103" t="s">
        <v>176</v>
      </c>
      <c r="T382" s="103" t="n">
        <v>5</v>
      </c>
      <c r="U382" s="103" t="s">
        <v>177</v>
      </c>
      <c r="V382" s="103" t="n">
        <v>500</v>
      </c>
      <c r="W382" s="103" t="n">
        <f aca="false">DATA_PIPELINE!$K382</f>
        <v>0</v>
      </c>
      <c r="X382" s="103" t="n">
        <f aca="false">DATA_PIPELINE!$V382-DATA_PIPELINE!$W382</f>
        <v>500</v>
      </c>
      <c r="Y382" s="103" t="str">
        <f aca="false">IF(DATA_PIPELINE!$X382=0,"Paid",IF(DATA_PIPELINE!$W382=0,"Unpaid","Partly Paid"))</f>
        <v>Unpaid</v>
      </c>
    </row>
    <row r="383" customFormat="false" ht="15" hidden="false" customHeight="true" outlineLevel="0" collapsed="false">
      <c r="A383" s="103" t="n">
        <v>378</v>
      </c>
      <c r="B383" s="103" t="s">
        <v>1226</v>
      </c>
      <c r="C383" s="103" t="s">
        <v>1264</v>
      </c>
      <c r="D383" s="107" t="s">
        <v>1209</v>
      </c>
      <c r="E383" s="103" t="s">
        <v>1265</v>
      </c>
      <c r="F383" s="103" t="n">
        <v>763608970</v>
      </c>
      <c r="G383" s="103" t="s">
        <v>533</v>
      </c>
      <c r="H383" s="103" t="s">
        <v>174</v>
      </c>
      <c r="I383" s="103" t="n">
        <v>1</v>
      </c>
      <c r="J383" s="103" t="s">
        <v>175</v>
      </c>
      <c r="K383" s="103" t="n">
        <v>0</v>
      </c>
      <c r="L383" s="103" t="n">
        <v>0</v>
      </c>
      <c r="M383" s="103" t="n">
        <v>0</v>
      </c>
      <c r="N383" s="103" t="n">
        <v>10</v>
      </c>
      <c r="O383" s="103" t="n">
        <v>2250.12</v>
      </c>
      <c r="P383" s="103" t="n">
        <v>0</v>
      </c>
      <c r="Q383" s="103" t="n">
        <v>0</v>
      </c>
      <c r="R383" s="103" t="n">
        <v>2250.12</v>
      </c>
      <c r="S383" s="103" t="s">
        <v>176</v>
      </c>
      <c r="T383" s="103" t="n">
        <v>10</v>
      </c>
      <c r="U383" s="103" t="s">
        <v>177</v>
      </c>
      <c r="V383" s="103" t="n">
        <v>500</v>
      </c>
      <c r="W383" s="103" t="n">
        <f aca="false">DATA_PIPELINE!$K383</f>
        <v>0</v>
      </c>
      <c r="X383" s="103" t="n">
        <f aca="false">DATA_PIPELINE!$V383-DATA_PIPELINE!$W383</f>
        <v>500</v>
      </c>
      <c r="Y383" s="103" t="str">
        <f aca="false">IF(DATA_PIPELINE!$X383=0,"Paid",IF(DATA_PIPELINE!$W383=0,"Unpaid","Partly Paid"))</f>
        <v>Unpaid</v>
      </c>
    </row>
    <row r="384" customFormat="false" ht="15" hidden="false" customHeight="true" outlineLevel="0" collapsed="false">
      <c r="A384" s="103" t="n">
        <v>379</v>
      </c>
      <c r="B384" s="103" t="s">
        <v>775</v>
      </c>
      <c r="C384" s="103" t="s">
        <v>1266</v>
      </c>
      <c r="D384" s="107" t="s">
        <v>1209</v>
      </c>
      <c r="E384" s="103" t="s">
        <v>1267</v>
      </c>
      <c r="F384" s="103" t="n">
        <v>763583450</v>
      </c>
      <c r="G384" s="103" t="s">
        <v>533</v>
      </c>
      <c r="H384" s="103" t="s">
        <v>174</v>
      </c>
      <c r="I384" s="103" t="n">
        <v>16</v>
      </c>
      <c r="J384" s="103" t="s">
        <v>175</v>
      </c>
      <c r="K384" s="103" t="n">
        <v>0</v>
      </c>
      <c r="L384" s="103" t="n">
        <v>0</v>
      </c>
      <c r="M384" s="103" t="n">
        <v>0</v>
      </c>
      <c r="N384" s="103" t="n">
        <v>10</v>
      </c>
      <c r="O384" s="103" t="n">
        <v>3236.72</v>
      </c>
      <c r="P384" s="103" t="n">
        <v>0</v>
      </c>
      <c r="Q384" s="103" t="n">
        <v>0</v>
      </c>
      <c r="R384" s="103" t="n">
        <v>3236.72</v>
      </c>
      <c r="S384" s="103" t="s">
        <v>176</v>
      </c>
      <c r="T384" s="103" t="n">
        <v>10</v>
      </c>
      <c r="U384" s="103" t="s">
        <v>177</v>
      </c>
      <c r="V384" s="103" t="n">
        <v>500</v>
      </c>
      <c r="W384" s="103" t="n">
        <f aca="false">DATA_PIPELINE!$K384</f>
        <v>0</v>
      </c>
      <c r="X384" s="103" t="n">
        <f aca="false">DATA_PIPELINE!$V384-DATA_PIPELINE!$W384</f>
        <v>500</v>
      </c>
      <c r="Y384" s="103" t="str">
        <f aca="false">IF(DATA_PIPELINE!$X384=0,"Paid",IF(DATA_PIPELINE!$W384=0,"Unpaid","Partly Paid"))</f>
        <v>Unpaid</v>
      </c>
    </row>
    <row r="385" customFormat="false" ht="15" hidden="false" customHeight="true" outlineLevel="0" collapsed="false">
      <c r="A385" s="103" t="n">
        <v>380</v>
      </c>
      <c r="B385" s="103" t="s">
        <v>1268</v>
      </c>
      <c r="C385" s="103" t="s">
        <v>1269</v>
      </c>
      <c r="D385" s="107" t="s">
        <v>1209</v>
      </c>
      <c r="E385" s="103" t="s">
        <v>1270</v>
      </c>
      <c r="F385" s="103" t="n">
        <v>763557930</v>
      </c>
      <c r="G385" s="103" t="s">
        <v>533</v>
      </c>
      <c r="H385" s="103" t="s">
        <v>174</v>
      </c>
      <c r="I385" s="103" t="n">
        <v>16</v>
      </c>
      <c r="J385" s="103" t="s">
        <v>175</v>
      </c>
      <c r="K385" s="103" t="n">
        <v>0</v>
      </c>
      <c r="L385" s="103" t="n">
        <v>0</v>
      </c>
      <c r="M385" s="103" t="n">
        <v>0</v>
      </c>
      <c r="N385" s="103" t="n">
        <v>10</v>
      </c>
      <c r="O385" s="103" t="n">
        <v>2434.1</v>
      </c>
      <c r="P385" s="103" t="n">
        <v>0</v>
      </c>
      <c r="Q385" s="103" t="n">
        <v>0</v>
      </c>
      <c r="R385" s="103" t="n">
        <v>2434.1</v>
      </c>
      <c r="S385" s="103" t="s">
        <v>176</v>
      </c>
      <c r="T385" s="103" t="n">
        <v>10</v>
      </c>
      <c r="U385" s="103" t="s">
        <v>177</v>
      </c>
      <c r="V385" s="103" t="n">
        <v>500</v>
      </c>
      <c r="W385" s="103" t="n">
        <f aca="false">DATA_PIPELINE!$K385</f>
        <v>0</v>
      </c>
      <c r="X385" s="103" t="n">
        <f aca="false">DATA_PIPELINE!$V385-DATA_PIPELINE!$W385</f>
        <v>500</v>
      </c>
      <c r="Y385" s="103" t="str">
        <f aca="false">IF(DATA_PIPELINE!$X385=0,"Paid",IF(DATA_PIPELINE!$W385=0,"Unpaid","Partly Paid"))</f>
        <v>Unpaid</v>
      </c>
    </row>
    <row r="386" customFormat="false" ht="15" hidden="false" customHeight="true" outlineLevel="0" collapsed="false">
      <c r="A386" s="103" t="n">
        <v>381</v>
      </c>
      <c r="B386" s="103" t="s">
        <v>1271</v>
      </c>
      <c r="C386" s="103" t="s">
        <v>1272</v>
      </c>
      <c r="D386" s="107" t="s">
        <v>1209</v>
      </c>
      <c r="E386" s="103" t="s">
        <v>1273</v>
      </c>
      <c r="F386" s="103" t="n">
        <v>714878715</v>
      </c>
      <c r="G386" s="103" t="s">
        <v>533</v>
      </c>
      <c r="H386" s="103" t="s">
        <v>174</v>
      </c>
      <c r="I386" s="103" t="n">
        <v>9</v>
      </c>
      <c r="J386" s="103" t="s">
        <v>175</v>
      </c>
      <c r="K386" s="103" t="n">
        <v>0</v>
      </c>
      <c r="L386" s="103" t="n">
        <v>0</v>
      </c>
      <c r="M386" s="103" t="n">
        <v>0</v>
      </c>
      <c r="N386" s="103" t="n">
        <v>6</v>
      </c>
      <c r="O386" s="103" t="n">
        <v>863.52</v>
      </c>
      <c r="P386" s="103" t="n">
        <v>0</v>
      </c>
      <c r="Q386" s="103" t="n">
        <v>0</v>
      </c>
      <c r="R386" s="103" t="n">
        <v>863.52</v>
      </c>
      <c r="S386" s="103" t="s">
        <v>176</v>
      </c>
      <c r="T386" s="103" t="n">
        <v>6</v>
      </c>
      <c r="U386" s="103" t="s">
        <v>177</v>
      </c>
      <c r="V386" s="103" t="n">
        <v>500</v>
      </c>
      <c r="W386" s="103" t="n">
        <f aca="false">DATA_PIPELINE!$K386</f>
        <v>0</v>
      </c>
      <c r="X386" s="103" t="n">
        <f aca="false">DATA_PIPELINE!$V386-DATA_PIPELINE!$W386</f>
        <v>500</v>
      </c>
      <c r="Y386" s="103" t="str">
        <f aca="false">IF(DATA_PIPELINE!$X386=0,"Paid",IF(DATA_PIPELINE!$W386=0,"Unpaid","Partly Paid"))</f>
        <v>Unpaid</v>
      </c>
    </row>
    <row r="387" customFormat="false" ht="15" hidden="false" customHeight="true" outlineLevel="0" collapsed="false">
      <c r="A387" s="103" t="n">
        <v>382</v>
      </c>
      <c r="B387" s="103" t="s">
        <v>1274</v>
      </c>
      <c r="C387" s="103" t="s">
        <v>1275</v>
      </c>
      <c r="D387" s="107" t="s">
        <v>1209</v>
      </c>
      <c r="E387" s="103" t="s">
        <v>1276</v>
      </c>
      <c r="F387" s="103" t="n">
        <v>779619659</v>
      </c>
      <c r="G387" s="103" t="s">
        <v>533</v>
      </c>
      <c r="H387" s="103" t="s">
        <v>174</v>
      </c>
      <c r="I387" s="103" t="n">
        <v>16</v>
      </c>
      <c r="J387" s="103" t="s">
        <v>175</v>
      </c>
      <c r="K387" s="103" t="n">
        <v>0</v>
      </c>
      <c r="L387" s="103" t="n">
        <v>0</v>
      </c>
      <c r="M387" s="103" t="n">
        <v>0</v>
      </c>
      <c r="N387" s="103" t="n">
        <v>20</v>
      </c>
      <c r="O387" s="103" t="n">
        <v>1367.73</v>
      </c>
      <c r="P387" s="103" t="n">
        <v>0</v>
      </c>
      <c r="Q387" s="103" t="n">
        <v>0</v>
      </c>
      <c r="R387" s="103" t="n">
        <v>1367.73</v>
      </c>
      <c r="S387" s="103" t="s">
        <v>176</v>
      </c>
      <c r="T387" s="103" t="n">
        <v>20</v>
      </c>
      <c r="U387" s="103" t="s">
        <v>177</v>
      </c>
      <c r="V387" s="103" t="n">
        <v>500</v>
      </c>
      <c r="W387" s="103" t="n">
        <f aca="false">DATA_PIPELINE!$K387</f>
        <v>0</v>
      </c>
      <c r="X387" s="103" t="n">
        <f aca="false">DATA_PIPELINE!$V387-DATA_PIPELINE!$W387</f>
        <v>500</v>
      </c>
      <c r="Y387" s="103" t="str">
        <f aca="false">IF(DATA_PIPELINE!$X387=0,"Paid",IF(DATA_PIPELINE!$W387=0,"Unpaid","Partly Paid"))</f>
        <v>Unpaid</v>
      </c>
    </row>
    <row r="388" customFormat="false" ht="15" hidden="false" customHeight="true" outlineLevel="0" collapsed="false">
      <c r="A388" s="103" t="n">
        <v>383</v>
      </c>
      <c r="B388" s="103" t="s">
        <v>1277</v>
      </c>
      <c r="C388" s="103" t="s">
        <v>1278</v>
      </c>
      <c r="D388" s="108" t="s">
        <v>1137</v>
      </c>
      <c r="E388" s="103" t="s">
        <v>1279</v>
      </c>
      <c r="F388" s="103" t="n">
        <v>773920085</v>
      </c>
      <c r="G388" s="103" t="s">
        <v>533</v>
      </c>
      <c r="H388" s="103" t="s">
        <v>174</v>
      </c>
      <c r="I388" s="103" t="n">
        <v>10</v>
      </c>
      <c r="J388" s="103" t="s">
        <v>175</v>
      </c>
      <c r="K388" s="103" t="n">
        <v>0</v>
      </c>
      <c r="L388" s="103" t="n">
        <v>0</v>
      </c>
      <c r="M388" s="103" t="n">
        <v>0</v>
      </c>
      <c r="N388" s="103" t="n">
        <v>20</v>
      </c>
      <c r="O388" s="103" t="n">
        <v>5510.4</v>
      </c>
      <c r="P388" s="103" t="n">
        <v>0</v>
      </c>
      <c r="Q388" s="103" t="n">
        <v>0</v>
      </c>
      <c r="R388" s="103" t="n">
        <v>5510.4</v>
      </c>
      <c r="S388" s="103" t="s">
        <v>176</v>
      </c>
      <c r="T388" s="103" t="n">
        <v>20</v>
      </c>
      <c r="U388" s="103" t="s">
        <v>177</v>
      </c>
      <c r="V388" s="103" t="n">
        <v>500</v>
      </c>
      <c r="W388" s="103" t="n">
        <f aca="false">DATA_PIPELINE!$K388</f>
        <v>0</v>
      </c>
      <c r="X388" s="103" t="n">
        <f aca="false">DATA_PIPELINE!$V388-DATA_PIPELINE!$W388</f>
        <v>500</v>
      </c>
      <c r="Y388" s="103" t="str">
        <f aca="false">IF(DATA_PIPELINE!$X388=0,"Paid",IF(DATA_PIPELINE!$W388=0,"Unpaid","Partly Paid"))</f>
        <v>Unpaid</v>
      </c>
    </row>
    <row r="389" customFormat="false" ht="15" hidden="false" customHeight="true" outlineLevel="0" collapsed="false">
      <c r="A389" s="103" t="n">
        <v>384</v>
      </c>
      <c r="B389" s="103" t="s">
        <v>1280</v>
      </c>
      <c r="C389" s="103" t="s">
        <v>1281</v>
      </c>
      <c r="D389" s="103" t="s">
        <v>914</v>
      </c>
      <c r="E389" s="103" t="s">
        <v>1282</v>
      </c>
      <c r="F389" s="103" t="n">
        <v>718449551</v>
      </c>
      <c r="G389" s="103" t="s">
        <v>533</v>
      </c>
      <c r="H389" s="103" t="s">
        <v>174</v>
      </c>
      <c r="I389" s="103" t="n">
        <v>10</v>
      </c>
      <c r="J389" s="103" t="s">
        <v>175</v>
      </c>
      <c r="K389" s="103" t="n">
        <v>100</v>
      </c>
      <c r="L389" s="103" t="n">
        <v>400</v>
      </c>
      <c r="M389" s="103" t="n">
        <v>10</v>
      </c>
      <c r="N389" s="103" t="n">
        <v>100</v>
      </c>
      <c r="O389" s="103" t="n">
        <v>15945.35</v>
      </c>
      <c r="P389" s="103" t="n">
        <v>0</v>
      </c>
      <c r="Q389" s="103" t="n">
        <v>0</v>
      </c>
      <c r="R389" s="103" t="n">
        <v>15945.35</v>
      </c>
      <c r="S389" s="103" t="s">
        <v>176</v>
      </c>
      <c r="T389" s="103" t="n">
        <v>40</v>
      </c>
      <c r="U389" s="103" t="s">
        <v>177</v>
      </c>
      <c r="V389" s="103" t="n">
        <v>500</v>
      </c>
      <c r="W389" s="103" t="n">
        <f aca="false">DATA_PIPELINE!$K389</f>
        <v>100</v>
      </c>
      <c r="X389" s="103" t="n">
        <f aca="false">DATA_PIPELINE!$V389-DATA_PIPELINE!$W389</f>
        <v>400</v>
      </c>
      <c r="Y389" s="103" t="str">
        <f aca="false">IF(DATA_PIPELINE!$X389=0,"Paid",IF(DATA_PIPELINE!$W389=0,"Unpaid","Partly Paid"))</f>
        <v>Partly Paid</v>
      </c>
    </row>
    <row r="390" customFormat="false" ht="15" hidden="false" customHeight="true" outlineLevel="0" collapsed="false">
      <c r="A390" s="103" t="n">
        <v>385</v>
      </c>
      <c r="B390" s="103" t="s">
        <v>1283</v>
      </c>
      <c r="C390" s="103" t="s">
        <v>1284</v>
      </c>
      <c r="D390" s="103" t="s">
        <v>803</v>
      </c>
      <c r="E390" s="103" t="s">
        <v>1285</v>
      </c>
      <c r="F390" s="103" t="n">
        <v>771290682</v>
      </c>
      <c r="G390" s="103" t="s">
        <v>533</v>
      </c>
      <c r="H390" s="103" t="s">
        <v>174</v>
      </c>
      <c r="I390" s="103" t="n">
        <v>11</v>
      </c>
      <c r="J390" s="103" t="s">
        <v>175</v>
      </c>
      <c r="K390" s="103" t="n">
        <v>0</v>
      </c>
      <c r="L390" s="103" t="n">
        <v>0</v>
      </c>
      <c r="M390" s="103" t="n">
        <v>0</v>
      </c>
      <c r="N390" s="103" t="n">
        <v>0</v>
      </c>
      <c r="O390" s="103" t="n">
        <v>25315.47</v>
      </c>
      <c r="P390" s="103" t="n">
        <v>0</v>
      </c>
      <c r="Q390" s="103" t="n">
        <v>0</v>
      </c>
      <c r="R390" s="103" t="n">
        <v>25315.47</v>
      </c>
      <c r="S390" s="103" t="s">
        <v>176</v>
      </c>
      <c r="T390" s="103" t="n">
        <v>0</v>
      </c>
      <c r="U390" s="103" t="s">
        <v>177</v>
      </c>
      <c r="V390" s="103" t="n">
        <v>500</v>
      </c>
      <c r="W390" s="103" t="n">
        <f aca="false">DATA_PIPELINE!$K390</f>
        <v>0</v>
      </c>
      <c r="X390" s="103" t="n">
        <f aca="false">DATA_PIPELINE!$V390-DATA_PIPELINE!$W390</f>
        <v>500</v>
      </c>
      <c r="Y390" s="103" t="str">
        <f aca="false">IF(DATA_PIPELINE!$X390=0,"Paid",IF(DATA_PIPELINE!$W390=0,"Unpaid","Partly Paid"))</f>
        <v>Unpaid</v>
      </c>
    </row>
    <row r="391" customFormat="false" ht="15" hidden="false" customHeight="true" outlineLevel="0" collapsed="false">
      <c r="A391" s="103" t="n">
        <v>386</v>
      </c>
      <c r="B391" s="103" t="s">
        <v>1286</v>
      </c>
      <c r="C391" s="103" t="s">
        <v>1287</v>
      </c>
      <c r="D391" s="103" t="s">
        <v>1288</v>
      </c>
      <c r="E391" s="103" t="s">
        <v>1289</v>
      </c>
      <c r="F391" s="103" t="n">
        <v>772529887</v>
      </c>
      <c r="G391" s="103" t="s">
        <v>533</v>
      </c>
      <c r="H391" s="103" t="s">
        <v>174</v>
      </c>
      <c r="I391" s="103" t="n">
        <v>16</v>
      </c>
      <c r="J391" s="103" t="s">
        <v>175</v>
      </c>
      <c r="K391" s="103" t="n">
        <v>0</v>
      </c>
      <c r="L391" s="103" t="n">
        <v>0</v>
      </c>
      <c r="M391" s="103" t="n">
        <v>0</v>
      </c>
      <c r="N391" s="103" t="n">
        <v>10</v>
      </c>
      <c r="O391" s="103" t="n">
        <v>3812.23</v>
      </c>
      <c r="P391" s="103" t="n">
        <v>0</v>
      </c>
      <c r="Q391" s="103" t="n">
        <v>0</v>
      </c>
      <c r="R391" s="103" t="n">
        <v>3812.23</v>
      </c>
      <c r="S391" s="103" t="s">
        <v>176</v>
      </c>
      <c r="T391" s="103" t="n">
        <v>10</v>
      </c>
      <c r="U391" s="103" t="s">
        <v>177</v>
      </c>
      <c r="V391" s="103" t="n">
        <v>500</v>
      </c>
      <c r="W391" s="103" t="n">
        <f aca="false">DATA_PIPELINE!$K391</f>
        <v>0</v>
      </c>
      <c r="X391" s="103" t="n">
        <f aca="false">DATA_PIPELINE!$V391-DATA_PIPELINE!$W391</f>
        <v>500</v>
      </c>
      <c r="Y391" s="103" t="str">
        <f aca="false">IF(DATA_PIPELINE!$X391=0,"Paid",IF(DATA_PIPELINE!$W391=0,"Unpaid","Partly Paid"))</f>
        <v>Unpaid</v>
      </c>
    </row>
    <row r="392" customFormat="false" ht="15" hidden="false" customHeight="true" outlineLevel="0" collapsed="false">
      <c r="A392" s="103" t="n">
        <v>387</v>
      </c>
      <c r="B392" s="103" t="s">
        <v>1290</v>
      </c>
      <c r="C392" s="103" t="s">
        <v>1291</v>
      </c>
      <c r="D392" s="103" t="s">
        <v>803</v>
      </c>
      <c r="E392" s="103" t="s">
        <v>1292</v>
      </c>
      <c r="F392" s="103" t="n">
        <v>773085594</v>
      </c>
      <c r="G392" s="103" t="s">
        <v>533</v>
      </c>
      <c r="H392" s="103" t="s">
        <v>174</v>
      </c>
      <c r="I392" s="103" t="n">
        <v>10</v>
      </c>
      <c r="J392" s="103" t="s">
        <v>175</v>
      </c>
      <c r="K392" s="103" t="n">
        <v>0</v>
      </c>
      <c r="L392" s="103" t="n">
        <v>0</v>
      </c>
      <c r="M392" s="103" t="n">
        <v>0</v>
      </c>
      <c r="N392" s="103" t="n">
        <v>20</v>
      </c>
      <c r="O392" s="103" t="n">
        <v>5637.53</v>
      </c>
      <c r="P392" s="103" t="n">
        <v>0</v>
      </c>
      <c r="Q392" s="103" t="n">
        <v>0</v>
      </c>
      <c r="R392" s="103" t="n">
        <v>5637.53</v>
      </c>
      <c r="S392" s="103" t="s">
        <v>176</v>
      </c>
      <c r="T392" s="103" t="n">
        <v>20</v>
      </c>
      <c r="U392" s="103" t="s">
        <v>177</v>
      </c>
      <c r="V392" s="103" t="n">
        <v>500</v>
      </c>
      <c r="W392" s="103" t="n">
        <f aca="false">DATA_PIPELINE!$K392</f>
        <v>0</v>
      </c>
      <c r="X392" s="103" t="n">
        <f aca="false">DATA_PIPELINE!$V392-DATA_PIPELINE!$W392</f>
        <v>500</v>
      </c>
      <c r="Y392" s="103" t="str">
        <f aca="false">IF(DATA_PIPELINE!$X392=0,"Paid",IF(DATA_PIPELINE!$W392=0,"Unpaid","Partly Paid"))</f>
        <v>Unpaid</v>
      </c>
    </row>
    <row r="393" customFormat="false" ht="15" hidden="false" customHeight="true" outlineLevel="0" collapsed="false">
      <c r="A393" s="103" t="n">
        <v>388</v>
      </c>
      <c r="B393" s="103" t="s">
        <v>1293</v>
      </c>
      <c r="C393" s="103" t="s">
        <v>1294</v>
      </c>
      <c r="D393" s="103" t="s">
        <v>531</v>
      </c>
      <c r="E393" s="103" t="s">
        <v>1295</v>
      </c>
      <c r="F393" s="103" t="n">
        <v>779838642</v>
      </c>
      <c r="G393" s="103" t="s">
        <v>533</v>
      </c>
      <c r="H393" s="103" t="s">
        <v>174</v>
      </c>
      <c r="I393" s="103" t="n">
        <v>10</v>
      </c>
      <c r="J393" s="103" t="s">
        <v>175</v>
      </c>
      <c r="K393" s="103" t="n">
        <v>0</v>
      </c>
      <c r="L393" s="103" t="n">
        <v>0</v>
      </c>
      <c r="M393" s="103" t="n">
        <v>40</v>
      </c>
      <c r="N393" s="103" t="n">
        <v>20</v>
      </c>
      <c r="O393" s="103" t="n">
        <v>3052.74</v>
      </c>
      <c r="P393" s="103" t="n">
        <v>0</v>
      </c>
      <c r="Q393" s="103" t="n">
        <v>2.72</v>
      </c>
      <c r="R393" s="103" t="n">
        <v>3050.03</v>
      </c>
      <c r="S393" s="103" t="n">
        <v>0.09</v>
      </c>
      <c r="T393" s="103" t="n">
        <v>60</v>
      </c>
      <c r="U393" s="103" t="s">
        <v>177</v>
      </c>
      <c r="V393" s="103" t="n">
        <v>500</v>
      </c>
      <c r="W393" s="103" t="n">
        <f aca="false">DATA_PIPELINE!$K393</f>
        <v>0</v>
      </c>
      <c r="X393" s="103" t="n">
        <f aca="false">DATA_PIPELINE!$V393-DATA_PIPELINE!$W393</f>
        <v>500</v>
      </c>
      <c r="Y393" s="103" t="str">
        <f aca="false">IF(DATA_PIPELINE!$X393=0,"Paid",IF(DATA_PIPELINE!$W393=0,"Unpaid","Partly Paid"))</f>
        <v>Unpaid</v>
      </c>
    </row>
    <row r="394" customFormat="false" ht="15" hidden="false" customHeight="true" outlineLevel="0" collapsed="false">
      <c r="A394" s="103" t="n">
        <v>389</v>
      </c>
      <c r="B394" s="103" t="s">
        <v>1296</v>
      </c>
      <c r="C394" s="103" t="s">
        <v>1297</v>
      </c>
      <c r="D394" s="103" t="s">
        <v>1288</v>
      </c>
      <c r="E394" s="103" t="s">
        <v>1298</v>
      </c>
      <c r="F394" s="103" t="n">
        <v>719852327</v>
      </c>
      <c r="G394" s="103" t="s">
        <v>533</v>
      </c>
      <c r="H394" s="103" t="s">
        <v>174</v>
      </c>
      <c r="I394" s="103" t="n">
        <v>16</v>
      </c>
      <c r="J394" s="103" t="s">
        <v>175</v>
      </c>
      <c r="K394" s="103" t="n">
        <v>50</v>
      </c>
      <c r="L394" s="103" t="n">
        <v>450</v>
      </c>
      <c r="M394" s="103" t="n">
        <v>0</v>
      </c>
      <c r="N394" s="103" t="n">
        <v>15</v>
      </c>
      <c r="O394" s="103" t="n">
        <v>2653.07</v>
      </c>
      <c r="P394" s="103" t="n">
        <v>0</v>
      </c>
      <c r="Q394" s="103" t="n">
        <v>0</v>
      </c>
      <c r="R394" s="103" t="n">
        <v>2653.07</v>
      </c>
      <c r="S394" s="103" t="s">
        <v>176</v>
      </c>
      <c r="T394" s="103" t="n">
        <v>15</v>
      </c>
      <c r="U394" s="103" t="s">
        <v>177</v>
      </c>
      <c r="V394" s="103" t="n">
        <v>500</v>
      </c>
      <c r="W394" s="103" t="n">
        <f aca="false">DATA_PIPELINE!$K394</f>
        <v>50</v>
      </c>
      <c r="X394" s="103" t="n">
        <f aca="false">DATA_PIPELINE!$V394-DATA_PIPELINE!$W394</f>
        <v>450</v>
      </c>
      <c r="Y394" s="103" t="str">
        <f aca="false">IF(DATA_PIPELINE!$X394=0,"Paid",IF(DATA_PIPELINE!$W394=0,"Unpaid","Partly Paid"))</f>
        <v>Partly Paid</v>
      </c>
    </row>
    <row r="395" customFormat="false" ht="15" hidden="false" customHeight="true" outlineLevel="0" collapsed="false">
      <c r="A395" s="103" t="n">
        <v>390</v>
      </c>
      <c r="B395" s="103" t="s">
        <v>1299</v>
      </c>
      <c r="C395" s="103" t="s">
        <v>1297</v>
      </c>
      <c r="D395" s="103" t="s">
        <v>1288</v>
      </c>
      <c r="E395" s="103" t="s">
        <v>1300</v>
      </c>
      <c r="F395" s="103" t="n">
        <v>717778573</v>
      </c>
      <c r="G395" s="103" t="s">
        <v>533</v>
      </c>
      <c r="H395" s="103" t="s">
        <v>174</v>
      </c>
      <c r="I395" s="103" t="n">
        <v>16</v>
      </c>
      <c r="J395" s="103" t="s">
        <v>175</v>
      </c>
      <c r="K395" s="103" t="n">
        <v>0</v>
      </c>
      <c r="L395" s="103" t="n">
        <v>0</v>
      </c>
      <c r="M395" s="103" t="n">
        <v>0</v>
      </c>
      <c r="N395" s="103" t="n">
        <v>10</v>
      </c>
      <c r="O395" s="103" t="n">
        <v>2014.25</v>
      </c>
      <c r="P395" s="103" t="n">
        <v>0</v>
      </c>
      <c r="Q395" s="103" t="n">
        <v>0</v>
      </c>
      <c r="R395" s="103" t="n">
        <v>2014.25</v>
      </c>
      <c r="S395" s="103" t="s">
        <v>176</v>
      </c>
      <c r="T395" s="103" t="n">
        <v>10</v>
      </c>
      <c r="U395" s="103" t="s">
        <v>177</v>
      </c>
      <c r="V395" s="103" t="n">
        <v>500</v>
      </c>
      <c r="W395" s="103" t="n">
        <f aca="false">DATA_PIPELINE!$K395</f>
        <v>0</v>
      </c>
      <c r="X395" s="103" t="n">
        <f aca="false">DATA_PIPELINE!$V395-DATA_PIPELINE!$W395</f>
        <v>500</v>
      </c>
      <c r="Y395" s="103" t="str">
        <f aca="false">IF(DATA_PIPELINE!$X395=0,"Paid",IF(DATA_PIPELINE!$W395=0,"Unpaid","Partly Paid"))</f>
        <v>Unpaid</v>
      </c>
    </row>
    <row r="396" customFormat="false" ht="15" hidden="false" customHeight="true" outlineLevel="0" collapsed="false">
      <c r="A396" s="103" t="n">
        <v>391</v>
      </c>
      <c r="B396" s="103" t="s">
        <v>1301</v>
      </c>
      <c r="C396" s="103" t="s">
        <v>1302</v>
      </c>
      <c r="D396" s="103" t="s">
        <v>914</v>
      </c>
      <c r="E396" s="103" t="s">
        <v>1303</v>
      </c>
      <c r="F396" s="103" t="n">
        <v>772527510</v>
      </c>
      <c r="G396" s="103" t="s">
        <v>533</v>
      </c>
      <c r="H396" s="103" t="s">
        <v>174</v>
      </c>
      <c r="I396" s="103" t="n">
        <v>16</v>
      </c>
      <c r="J396" s="103" t="s">
        <v>175</v>
      </c>
      <c r="K396" s="103" t="n">
        <v>0</v>
      </c>
      <c r="L396" s="103" t="n">
        <v>0</v>
      </c>
      <c r="M396" s="103" t="n">
        <v>0</v>
      </c>
      <c r="N396" s="103" t="n">
        <v>20</v>
      </c>
      <c r="O396" s="103" t="n">
        <v>5972.26</v>
      </c>
      <c r="P396" s="103" t="n">
        <v>0</v>
      </c>
      <c r="Q396" s="103" t="n">
        <v>0</v>
      </c>
      <c r="R396" s="103" t="n">
        <v>5972.26</v>
      </c>
      <c r="S396" s="103" t="s">
        <v>176</v>
      </c>
      <c r="T396" s="103" t="n">
        <v>20</v>
      </c>
      <c r="U396" s="103" t="s">
        <v>177</v>
      </c>
      <c r="V396" s="103" t="n">
        <v>500</v>
      </c>
      <c r="W396" s="103" t="n">
        <f aca="false">DATA_PIPELINE!$K396</f>
        <v>0</v>
      </c>
      <c r="X396" s="103" t="n">
        <f aca="false">DATA_PIPELINE!$V396-DATA_PIPELINE!$W396</f>
        <v>500</v>
      </c>
      <c r="Y396" s="103" t="str">
        <f aca="false">IF(DATA_PIPELINE!$X396=0,"Paid",IF(DATA_PIPELINE!$W396=0,"Unpaid","Partly Paid"))</f>
        <v>Unpaid</v>
      </c>
    </row>
    <row r="397" customFormat="false" ht="15" hidden="false" customHeight="true" outlineLevel="0" collapsed="false">
      <c r="A397" s="103" t="n">
        <v>392</v>
      </c>
      <c r="B397" s="103" t="s">
        <v>1304</v>
      </c>
      <c r="C397" s="103" t="s">
        <v>1302</v>
      </c>
      <c r="D397" s="103" t="s">
        <v>914</v>
      </c>
      <c r="E397" s="103" t="s">
        <v>1305</v>
      </c>
      <c r="F397" s="103" t="n">
        <v>776607775</v>
      </c>
      <c r="G397" s="103" t="s">
        <v>533</v>
      </c>
      <c r="H397" s="103" t="s">
        <v>174</v>
      </c>
      <c r="I397" s="103" t="n">
        <v>16</v>
      </c>
      <c r="J397" s="103" t="s">
        <v>175</v>
      </c>
      <c r="K397" s="103" t="n">
        <v>0</v>
      </c>
      <c r="L397" s="103" t="n">
        <v>0</v>
      </c>
      <c r="M397" s="103" t="n">
        <v>0</v>
      </c>
      <c r="N397" s="103" t="n">
        <v>20</v>
      </c>
      <c r="O397" s="103" t="n">
        <v>6357.74</v>
      </c>
      <c r="P397" s="103" t="n">
        <v>0</v>
      </c>
      <c r="Q397" s="103" t="n">
        <v>0</v>
      </c>
      <c r="R397" s="103" t="n">
        <v>6357.74</v>
      </c>
      <c r="S397" s="103" t="s">
        <v>176</v>
      </c>
      <c r="T397" s="103" t="n">
        <v>20</v>
      </c>
      <c r="U397" s="103" t="s">
        <v>177</v>
      </c>
      <c r="V397" s="103" t="n">
        <v>500</v>
      </c>
      <c r="W397" s="103" t="n">
        <f aca="false">DATA_PIPELINE!$K397</f>
        <v>0</v>
      </c>
      <c r="X397" s="103" t="n">
        <f aca="false">DATA_PIPELINE!$V397-DATA_PIPELINE!$W397</f>
        <v>500</v>
      </c>
      <c r="Y397" s="103" t="str">
        <f aca="false">IF(DATA_PIPELINE!$X397=0,"Paid",IF(DATA_PIPELINE!$W397=0,"Unpaid","Partly Paid"))</f>
        <v>Unpaid</v>
      </c>
    </row>
    <row r="398" customFormat="false" ht="15" hidden="false" customHeight="true" outlineLevel="0" collapsed="false">
      <c r="A398" s="103" t="n">
        <v>393</v>
      </c>
      <c r="B398" s="103" t="s">
        <v>1306</v>
      </c>
      <c r="C398" s="103" t="s">
        <v>1307</v>
      </c>
      <c r="D398" s="103" t="s">
        <v>914</v>
      </c>
      <c r="E398" s="103" t="s">
        <v>1308</v>
      </c>
      <c r="F398" s="103" t="n">
        <v>773535944</v>
      </c>
      <c r="G398" s="103" t="s">
        <v>533</v>
      </c>
      <c r="H398" s="103" t="s">
        <v>174</v>
      </c>
      <c r="I398" s="103" t="n">
        <v>16</v>
      </c>
      <c r="J398" s="103" t="s">
        <v>175</v>
      </c>
      <c r="K398" s="103" t="n">
        <v>0</v>
      </c>
      <c r="L398" s="103" t="n">
        <v>0</v>
      </c>
      <c r="M398" s="103" t="n">
        <v>0</v>
      </c>
      <c r="N398" s="103" t="n">
        <v>20</v>
      </c>
      <c r="O398" s="103" t="n">
        <v>4421.62</v>
      </c>
      <c r="P398" s="103" t="n">
        <v>0</v>
      </c>
      <c r="Q398" s="103" t="n">
        <v>0</v>
      </c>
      <c r="R398" s="103" t="n">
        <v>4421.62</v>
      </c>
      <c r="S398" s="103" t="s">
        <v>176</v>
      </c>
      <c r="T398" s="103" t="n">
        <v>20</v>
      </c>
      <c r="U398" s="103" t="s">
        <v>177</v>
      </c>
      <c r="V398" s="103" t="n">
        <v>500</v>
      </c>
      <c r="W398" s="103" t="n">
        <f aca="false">DATA_PIPELINE!$K398</f>
        <v>0</v>
      </c>
      <c r="X398" s="103" t="n">
        <f aca="false">DATA_PIPELINE!$V398-DATA_PIPELINE!$W398</f>
        <v>500</v>
      </c>
      <c r="Y398" s="103" t="str">
        <f aca="false">IF(DATA_PIPELINE!$X398=0,"Paid",IF(DATA_PIPELINE!$W398=0,"Unpaid","Partly Paid"))</f>
        <v>Unpaid</v>
      </c>
    </row>
    <row r="399" customFormat="false" ht="15" hidden="false" customHeight="true" outlineLevel="0" collapsed="false">
      <c r="A399" s="103" t="n">
        <v>394</v>
      </c>
      <c r="B399" s="103" t="s">
        <v>1309</v>
      </c>
      <c r="C399" s="103" t="s">
        <v>1310</v>
      </c>
      <c r="D399" s="103" t="s">
        <v>803</v>
      </c>
      <c r="E399" s="103" t="s">
        <v>1311</v>
      </c>
      <c r="F399" s="103" t="n">
        <v>773518435</v>
      </c>
      <c r="G399" s="103" t="s">
        <v>533</v>
      </c>
      <c r="H399" s="103" t="s">
        <v>174</v>
      </c>
      <c r="I399" s="103" t="n">
        <v>16</v>
      </c>
      <c r="J399" s="103" t="s">
        <v>175</v>
      </c>
      <c r="K399" s="103" t="n">
        <v>0</v>
      </c>
      <c r="L399" s="103" t="n">
        <v>0</v>
      </c>
      <c r="M399" s="103" t="n">
        <v>0</v>
      </c>
      <c r="N399" s="103" t="n">
        <v>20</v>
      </c>
      <c r="O399" s="103" t="n">
        <v>2587.55</v>
      </c>
      <c r="P399" s="103" t="n">
        <v>0</v>
      </c>
      <c r="Q399" s="103" t="n">
        <v>0</v>
      </c>
      <c r="R399" s="103" t="n">
        <v>2587.55</v>
      </c>
      <c r="S399" s="103" t="s">
        <v>176</v>
      </c>
      <c r="T399" s="103" t="n">
        <v>20</v>
      </c>
      <c r="U399" s="103" t="s">
        <v>177</v>
      </c>
      <c r="V399" s="103" t="n">
        <v>500</v>
      </c>
      <c r="W399" s="103" t="n">
        <f aca="false">DATA_PIPELINE!$K399</f>
        <v>0</v>
      </c>
      <c r="X399" s="103" t="n">
        <f aca="false">DATA_PIPELINE!$V399-DATA_PIPELINE!$W399</f>
        <v>500</v>
      </c>
      <c r="Y399" s="103" t="str">
        <f aca="false">IF(DATA_PIPELINE!$X399=0,"Paid",IF(DATA_PIPELINE!$W399=0,"Unpaid","Partly Paid"))</f>
        <v>Unpaid</v>
      </c>
    </row>
    <row r="400" customFormat="false" ht="15" hidden="false" customHeight="true" outlineLevel="0" collapsed="false">
      <c r="A400" s="103" t="n">
        <v>395</v>
      </c>
      <c r="B400" s="103" t="s">
        <v>1312</v>
      </c>
      <c r="C400" s="103" t="s">
        <v>1313</v>
      </c>
      <c r="D400" s="103" t="s">
        <v>803</v>
      </c>
      <c r="E400" s="103" t="s">
        <v>1314</v>
      </c>
      <c r="F400" s="103" t="n">
        <v>773097433</v>
      </c>
      <c r="G400" s="103" t="s">
        <v>533</v>
      </c>
      <c r="H400" s="103" t="s">
        <v>174</v>
      </c>
      <c r="I400" s="103" t="n">
        <v>16</v>
      </c>
      <c r="J400" s="103" t="s">
        <v>175</v>
      </c>
      <c r="K400" s="103" t="n">
        <v>0</v>
      </c>
      <c r="L400" s="103" t="n">
        <v>0</v>
      </c>
      <c r="M400" s="103" t="n">
        <v>0</v>
      </c>
      <c r="N400" s="103" t="n">
        <v>100</v>
      </c>
      <c r="O400" s="103" t="n">
        <v>29509.14</v>
      </c>
      <c r="P400" s="103" t="n">
        <v>0</v>
      </c>
      <c r="Q400" s="103" t="n">
        <v>0</v>
      </c>
      <c r="R400" s="103" t="n">
        <v>29509.14</v>
      </c>
      <c r="S400" s="103" t="s">
        <v>176</v>
      </c>
      <c r="T400" s="103" t="n">
        <v>100</v>
      </c>
      <c r="U400" s="103" t="s">
        <v>177</v>
      </c>
      <c r="V400" s="103" t="n">
        <v>500</v>
      </c>
      <c r="W400" s="103" t="n">
        <f aca="false">DATA_PIPELINE!$K400</f>
        <v>0</v>
      </c>
      <c r="X400" s="103" t="n">
        <f aca="false">DATA_PIPELINE!$V400-DATA_PIPELINE!$W400</f>
        <v>500</v>
      </c>
      <c r="Y400" s="103" t="str">
        <f aca="false">IF(DATA_PIPELINE!$X400=0,"Paid",IF(DATA_PIPELINE!$W400=0,"Unpaid","Partly Paid"))</f>
        <v>Unpaid</v>
      </c>
    </row>
    <row r="401" customFormat="false" ht="15" hidden="false" customHeight="true" outlineLevel="0" collapsed="false">
      <c r="A401" s="103" t="n">
        <v>396</v>
      </c>
      <c r="B401" s="103" t="s">
        <v>1315</v>
      </c>
      <c r="C401" s="103" t="s">
        <v>1316</v>
      </c>
      <c r="D401" s="103" t="s">
        <v>914</v>
      </c>
      <c r="E401" s="103" t="s">
        <v>1317</v>
      </c>
      <c r="F401" s="103" t="n">
        <v>773465727</v>
      </c>
      <c r="G401" s="103" t="s">
        <v>533</v>
      </c>
      <c r="H401" s="103" t="s">
        <v>174</v>
      </c>
      <c r="I401" s="103" t="n">
        <v>16</v>
      </c>
      <c r="J401" s="103" t="s">
        <v>175</v>
      </c>
      <c r="K401" s="103" t="n">
        <v>0</v>
      </c>
      <c r="L401" s="103" t="n">
        <v>0</v>
      </c>
      <c r="M401" s="103" t="n">
        <v>0</v>
      </c>
      <c r="N401" s="103" t="n">
        <v>20</v>
      </c>
      <c r="O401" s="103" t="n">
        <v>1711.79</v>
      </c>
      <c r="P401" s="103" t="n">
        <v>0</v>
      </c>
      <c r="Q401" s="103" t="n">
        <v>0</v>
      </c>
      <c r="R401" s="103" t="n">
        <v>1711.79</v>
      </c>
      <c r="S401" s="103" t="s">
        <v>176</v>
      </c>
      <c r="T401" s="103" t="n">
        <v>20</v>
      </c>
      <c r="U401" s="103" t="s">
        <v>177</v>
      </c>
      <c r="V401" s="103" t="n">
        <v>500</v>
      </c>
      <c r="W401" s="103" t="n">
        <f aca="false">DATA_PIPELINE!$K401</f>
        <v>0</v>
      </c>
      <c r="X401" s="103" t="n">
        <f aca="false">DATA_PIPELINE!$V401-DATA_PIPELINE!$W401</f>
        <v>500</v>
      </c>
      <c r="Y401" s="103" t="str">
        <f aca="false">IF(DATA_PIPELINE!$X401=0,"Paid",IF(DATA_PIPELINE!$W401=0,"Unpaid","Partly Paid"))</f>
        <v>Unpaid</v>
      </c>
    </row>
    <row r="402" customFormat="false" ht="15" hidden="false" customHeight="true" outlineLevel="0" collapsed="false">
      <c r="A402" s="103" t="n">
        <v>397</v>
      </c>
      <c r="B402" s="103" t="s">
        <v>1318</v>
      </c>
      <c r="C402" s="103" t="s">
        <v>1319</v>
      </c>
      <c r="D402" s="103" t="s">
        <v>531</v>
      </c>
      <c r="E402" s="103" t="s">
        <v>1320</v>
      </c>
      <c r="F402" s="103" t="n">
        <v>773581020</v>
      </c>
      <c r="G402" s="103" t="s">
        <v>533</v>
      </c>
      <c r="H402" s="103" t="s">
        <v>174</v>
      </c>
      <c r="I402" s="103" t="n">
        <v>16</v>
      </c>
      <c r="J402" s="103" t="s">
        <v>175</v>
      </c>
      <c r="K402" s="103" t="n">
        <v>100</v>
      </c>
      <c r="L402" s="103" t="n">
        <v>400</v>
      </c>
      <c r="M402" s="103" t="n">
        <v>10</v>
      </c>
      <c r="N402" s="103" t="n">
        <v>20</v>
      </c>
      <c r="O402" s="103" t="n">
        <v>7214.96</v>
      </c>
      <c r="P402" s="103" t="n">
        <v>0</v>
      </c>
      <c r="Q402" s="103" t="n">
        <v>0</v>
      </c>
      <c r="R402" s="103" t="n">
        <v>7214.96</v>
      </c>
      <c r="S402" s="103" t="s">
        <v>176</v>
      </c>
      <c r="T402" s="103" t="n">
        <v>30</v>
      </c>
      <c r="U402" s="103" t="s">
        <v>177</v>
      </c>
      <c r="V402" s="103" t="n">
        <v>500</v>
      </c>
      <c r="W402" s="103" t="n">
        <f aca="false">DATA_PIPELINE!$K402</f>
        <v>100</v>
      </c>
      <c r="X402" s="103" t="n">
        <f aca="false">DATA_PIPELINE!$V402-DATA_PIPELINE!$W402</f>
        <v>400</v>
      </c>
      <c r="Y402" s="103" t="str">
        <f aca="false">IF(DATA_PIPELINE!$X402=0,"Paid",IF(DATA_PIPELINE!$W402=0,"Unpaid","Partly Paid"))</f>
        <v>Partly Paid</v>
      </c>
    </row>
    <row r="403" customFormat="false" ht="15" hidden="false" customHeight="true" outlineLevel="0" collapsed="false">
      <c r="A403" s="103" t="n">
        <v>398</v>
      </c>
      <c r="B403" s="103" t="s">
        <v>1321</v>
      </c>
      <c r="C403" s="103" t="s">
        <v>1319</v>
      </c>
      <c r="D403" s="103" t="s">
        <v>531</v>
      </c>
      <c r="E403" s="103" t="s">
        <v>1322</v>
      </c>
      <c r="F403" s="103" t="n">
        <v>772587456</v>
      </c>
      <c r="G403" s="103" t="s">
        <v>533</v>
      </c>
      <c r="H403" s="103" t="s">
        <v>174</v>
      </c>
      <c r="I403" s="103" t="n">
        <v>4</v>
      </c>
      <c r="J403" s="103" t="s">
        <v>175</v>
      </c>
      <c r="K403" s="103" t="n">
        <v>50</v>
      </c>
      <c r="L403" s="103" t="n">
        <v>450</v>
      </c>
      <c r="M403" s="103" t="n">
        <v>0</v>
      </c>
      <c r="N403" s="103" t="n">
        <v>30</v>
      </c>
      <c r="O403" s="103" t="n">
        <v>4050.83</v>
      </c>
      <c r="P403" s="103" t="n">
        <v>2.718</v>
      </c>
      <c r="Q403" s="103" t="n">
        <v>991.39</v>
      </c>
      <c r="R403" s="103" t="n">
        <v>3059.44</v>
      </c>
      <c r="S403" s="103" t="n">
        <v>24.47</v>
      </c>
      <c r="T403" s="103" t="n">
        <v>30</v>
      </c>
      <c r="U403" s="103" t="s">
        <v>177</v>
      </c>
      <c r="V403" s="103" t="n">
        <v>500</v>
      </c>
      <c r="W403" s="103" t="n">
        <f aca="false">DATA_PIPELINE!$K403</f>
        <v>50</v>
      </c>
      <c r="X403" s="103" t="n">
        <f aca="false">DATA_PIPELINE!$V403-DATA_PIPELINE!$W403</f>
        <v>450</v>
      </c>
      <c r="Y403" s="103" t="str">
        <f aca="false">IF(DATA_PIPELINE!$X403=0,"Paid",IF(DATA_PIPELINE!$W403=0,"Unpaid","Partly Paid"))</f>
        <v>Partly Paid</v>
      </c>
    </row>
    <row r="404" customFormat="false" ht="15" hidden="false" customHeight="true" outlineLevel="0" collapsed="false">
      <c r="A404" s="103" t="n">
        <v>399</v>
      </c>
      <c r="B404" s="103" t="s">
        <v>1323</v>
      </c>
      <c r="C404" s="103" t="s">
        <v>1307</v>
      </c>
      <c r="D404" s="103" t="s">
        <v>914</v>
      </c>
      <c r="E404" s="103" t="s">
        <v>1308</v>
      </c>
      <c r="F404" s="103" t="n">
        <v>773535944</v>
      </c>
      <c r="G404" s="103" t="s">
        <v>533</v>
      </c>
      <c r="H404" s="103" t="s">
        <v>174</v>
      </c>
      <c r="I404" s="103" t="n">
        <v>16</v>
      </c>
      <c r="J404" s="103" t="s">
        <v>175</v>
      </c>
      <c r="K404" s="103" t="n">
        <v>0</v>
      </c>
      <c r="L404" s="103" t="n">
        <v>0</v>
      </c>
      <c r="M404" s="103" t="n">
        <v>0</v>
      </c>
      <c r="N404" s="103" t="n">
        <v>10</v>
      </c>
      <c r="O404" s="103" t="n">
        <v>3051.16</v>
      </c>
      <c r="P404" s="103" t="n">
        <v>0</v>
      </c>
      <c r="Q404" s="103" t="n">
        <v>0</v>
      </c>
      <c r="R404" s="103" t="n">
        <v>3051.16</v>
      </c>
      <c r="S404" s="103" t="s">
        <v>176</v>
      </c>
      <c r="T404" s="103" t="n">
        <v>10</v>
      </c>
      <c r="U404" s="103" t="s">
        <v>177</v>
      </c>
      <c r="V404" s="103" t="n">
        <v>500</v>
      </c>
      <c r="W404" s="103" t="n">
        <f aca="false">DATA_PIPELINE!$K404</f>
        <v>0</v>
      </c>
      <c r="X404" s="103" t="n">
        <f aca="false">DATA_PIPELINE!$V404-DATA_PIPELINE!$W404</f>
        <v>500</v>
      </c>
      <c r="Y404" s="103" t="str">
        <f aca="false">IF(DATA_PIPELINE!$X404=0,"Paid",IF(DATA_PIPELINE!$W404=0,"Unpaid","Partly Paid"))</f>
        <v>Unpaid</v>
      </c>
    </row>
    <row r="405" customFormat="false" ht="15" hidden="false" customHeight="true" outlineLevel="0" collapsed="false">
      <c r="A405" s="103" t="n">
        <v>400</v>
      </c>
      <c r="B405" s="103" t="s">
        <v>1324</v>
      </c>
      <c r="C405" s="103" t="s">
        <v>1325</v>
      </c>
      <c r="D405" s="107" t="s">
        <v>358</v>
      </c>
      <c r="E405" s="103" t="s">
        <v>1326</v>
      </c>
      <c r="F405" s="103" t="n">
        <v>776271617</v>
      </c>
      <c r="G405" s="103" t="s">
        <v>533</v>
      </c>
      <c r="H405" s="103" t="s">
        <v>174</v>
      </c>
      <c r="I405" s="103" t="n">
        <v>5</v>
      </c>
      <c r="J405" s="103" t="s">
        <v>175</v>
      </c>
      <c r="K405" s="103" t="n">
        <v>0</v>
      </c>
      <c r="L405" s="103" t="n">
        <v>0</v>
      </c>
      <c r="M405" s="103" t="n">
        <v>0</v>
      </c>
      <c r="N405" s="103" t="n">
        <v>10</v>
      </c>
      <c r="O405" s="103" t="n">
        <v>3476.55</v>
      </c>
      <c r="P405" s="103" t="n">
        <v>0</v>
      </c>
      <c r="Q405" s="103" t="n">
        <v>0</v>
      </c>
      <c r="R405" s="103" t="n">
        <v>3476.55</v>
      </c>
      <c r="S405" s="103" t="s">
        <v>176</v>
      </c>
      <c r="T405" s="103" t="n">
        <v>10</v>
      </c>
      <c r="U405" s="103" t="s">
        <v>177</v>
      </c>
      <c r="V405" s="103" t="n">
        <v>500</v>
      </c>
      <c r="W405" s="103" t="n">
        <f aca="false">DATA_PIPELINE!$K405</f>
        <v>0</v>
      </c>
      <c r="X405" s="103" t="n">
        <f aca="false">DATA_PIPELINE!$V405-DATA_PIPELINE!$W405</f>
        <v>500</v>
      </c>
      <c r="Y405" s="103" t="str">
        <f aca="false">IF(DATA_PIPELINE!$X405=0,"Paid",IF(DATA_PIPELINE!$W405=0,"Unpaid","Partly Paid"))</f>
        <v>Unpaid</v>
      </c>
    </row>
    <row r="406" customFormat="false" ht="15" hidden="false" customHeight="true" outlineLevel="0" collapsed="false">
      <c r="A406" s="103" t="n">
        <v>401</v>
      </c>
      <c r="B406" s="103" t="s">
        <v>1327</v>
      </c>
      <c r="C406" s="103" t="s">
        <v>1328</v>
      </c>
      <c r="D406" s="103" t="s">
        <v>531</v>
      </c>
      <c r="E406" s="103" t="s">
        <v>1329</v>
      </c>
      <c r="F406" s="103" t="n">
        <v>712001122</v>
      </c>
      <c r="G406" s="103" t="s">
        <v>533</v>
      </c>
      <c r="H406" s="103" t="s">
        <v>174</v>
      </c>
      <c r="I406" s="103" t="n">
        <v>13</v>
      </c>
      <c r="J406" s="103" t="s">
        <v>175</v>
      </c>
      <c r="K406" s="103" t="n">
        <v>50</v>
      </c>
      <c r="L406" s="103" t="n">
        <v>450</v>
      </c>
      <c r="M406" s="103" t="n">
        <v>10</v>
      </c>
      <c r="N406" s="103" t="n">
        <v>10</v>
      </c>
      <c r="O406" s="103" t="n">
        <v>3675.18</v>
      </c>
      <c r="P406" s="103" t="n">
        <v>0</v>
      </c>
      <c r="Q406" s="103" t="n">
        <v>0</v>
      </c>
      <c r="R406" s="103" t="n">
        <v>3675.18</v>
      </c>
      <c r="S406" s="103" t="s">
        <v>176</v>
      </c>
      <c r="T406" s="103" t="n">
        <v>20</v>
      </c>
      <c r="U406" s="103" t="s">
        <v>177</v>
      </c>
      <c r="V406" s="103" t="n">
        <v>500</v>
      </c>
      <c r="W406" s="103" t="n">
        <f aca="false">DATA_PIPELINE!$K406</f>
        <v>50</v>
      </c>
      <c r="X406" s="103" t="n">
        <f aca="false">DATA_PIPELINE!$V406-DATA_PIPELINE!$W406</f>
        <v>450</v>
      </c>
      <c r="Y406" s="103" t="str">
        <f aca="false">IF(DATA_PIPELINE!$X406=0,"Paid",IF(DATA_PIPELINE!$W406=0,"Unpaid","Partly Paid"))</f>
        <v>Partly Paid</v>
      </c>
    </row>
    <row r="407" customFormat="false" ht="15" hidden="false" customHeight="true" outlineLevel="0" collapsed="false">
      <c r="A407" s="103" t="n">
        <v>402</v>
      </c>
      <c r="B407" s="103" t="s">
        <v>1330</v>
      </c>
      <c r="C407" s="103" t="s">
        <v>1331</v>
      </c>
      <c r="D407" s="107" t="s">
        <v>358</v>
      </c>
      <c r="E407" s="103" t="s">
        <v>1332</v>
      </c>
      <c r="F407" s="103" t="n">
        <v>772744097</v>
      </c>
      <c r="G407" s="103" t="s">
        <v>533</v>
      </c>
      <c r="H407" s="103" t="s">
        <v>174</v>
      </c>
      <c r="I407" s="103" t="n">
        <v>13</v>
      </c>
      <c r="J407" s="103" t="s">
        <v>175</v>
      </c>
      <c r="K407" s="103" t="n">
        <v>0</v>
      </c>
      <c r="L407" s="103" t="n">
        <v>0</v>
      </c>
      <c r="M407" s="103" t="n">
        <v>30</v>
      </c>
      <c r="N407" s="103" t="n">
        <v>50</v>
      </c>
      <c r="O407" s="103" t="n">
        <v>8655.42</v>
      </c>
      <c r="P407" s="103" t="n">
        <v>0</v>
      </c>
      <c r="Q407" s="103" t="n">
        <v>0</v>
      </c>
      <c r="R407" s="103" t="n">
        <v>8655.42</v>
      </c>
      <c r="S407" s="103" t="s">
        <v>176</v>
      </c>
      <c r="T407" s="103" t="n">
        <v>20</v>
      </c>
      <c r="U407" s="103" t="s">
        <v>177</v>
      </c>
      <c r="V407" s="103" t="n">
        <v>500</v>
      </c>
      <c r="W407" s="103" t="n">
        <f aca="false">DATA_PIPELINE!$K407</f>
        <v>0</v>
      </c>
      <c r="X407" s="103" t="n">
        <f aca="false">DATA_PIPELINE!$V407-DATA_PIPELINE!$W407</f>
        <v>500</v>
      </c>
      <c r="Y407" s="103" t="str">
        <f aca="false">IF(DATA_PIPELINE!$X407=0,"Paid",IF(DATA_PIPELINE!$W407=0,"Unpaid","Partly Paid"))</f>
        <v>Unpaid</v>
      </c>
    </row>
    <row r="408" customFormat="false" ht="15" hidden="false" customHeight="true" outlineLevel="0" collapsed="false">
      <c r="A408" s="103" t="n">
        <v>403</v>
      </c>
      <c r="B408" s="103" t="s">
        <v>1333</v>
      </c>
      <c r="C408" s="103" t="s">
        <v>1334</v>
      </c>
      <c r="D408" s="107" t="s">
        <v>358</v>
      </c>
      <c r="E408" s="103" t="s">
        <v>1335</v>
      </c>
      <c r="F408" s="103" t="n">
        <v>716041198</v>
      </c>
      <c r="G408" s="103" t="s">
        <v>533</v>
      </c>
      <c r="H408" s="103" t="s">
        <v>174</v>
      </c>
      <c r="I408" s="103" t="n">
        <v>16</v>
      </c>
      <c r="J408" s="103" t="s">
        <v>175</v>
      </c>
      <c r="K408" s="103" t="n">
        <v>0</v>
      </c>
      <c r="L408" s="103" t="n">
        <v>0</v>
      </c>
      <c r="M408" s="103" t="n">
        <v>0</v>
      </c>
      <c r="N408" s="103" t="n">
        <v>20</v>
      </c>
      <c r="O408" s="103" t="n">
        <v>5426.26</v>
      </c>
      <c r="P408" s="103" t="n">
        <v>0</v>
      </c>
      <c r="Q408" s="103" t="n">
        <v>0</v>
      </c>
      <c r="R408" s="103" t="n">
        <v>5426.26</v>
      </c>
      <c r="S408" s="103" t="s">
        <v>176</v>
      </c>
      <c r="T408" s="103" t="n">
        <v>20</v>
      </c>
      <c r="U408" s="103" t="s">
        <v>177</v>
      </c>
      <c r="V408" s="103" t="n">
        <v>500</v>
      </c>
      <c r="W408" s="103" t="n">
        <f aca="false">DATA_PIPELINE!$K408</f>
        <v>0</v>
      </c>
      <c r="X408" s="103" t="n">
        <f aca="false">DATA_PIPELINE!$V408-DATA_PIPELINE!$W408</f>
        <v>500</v>
      </c>
      <c r="Y408" s="103" t="str">
        <f aca="false">IF(DATA_PIPELINE!$X408=0,"Paid",IF(DATA_PIPELINE!$W408=0,"Unpaid","Partly Paid"))</f>
        <v>Unpaid</v>
      </c>
    </row>
    <row r="409" customFormat="false" ht="15" hidden="false" customHeight="true" outlineLevel="0" collapsed="false">
      <c r="A409" s="103" t="n">
        <v>404</v>
      </c>
      <c r="B409" s="103" t="s">
        <v>1336</v>
      </c>
      <c r="C409" s="103"/>
      <c r="D409" s="107" t="s">
        <v>358</v>
      </c>
      <c r="E409" s="103" t="s">
        <v>1337</v>
      </c>
      <c r="F409" s="103" t="n">
        <v>773254978</v>
      </c>
      <c r="G409" s="103" t="s">
        <v>533</v>
      </c>
      <c r="H409" s="103" t="s">
        <v>174</v>
      </c>
      <c r="I409" s="103" t="n">
        <v>1</v>
      </c>
      <c r="J409" s="103" t="s">
        <v>175</v>
      </c>
      <c r="K409" s="103" t="n">
        <v>0</v>
      </c>
      <c r="L409" s="103" t="n">
        <v>0</v>
      </c>
      <c r="M409" s="103" t="n">
        <v>0</v>
      </c>
      <c r="N409" s="103" t="n">
        <v>20</v>
      </c>
      <c r="O409" s="103" t="n">
        <v>5490.8</v>
      </c>
      <c r="P409" s="103" t="n">
        <v>0</v>
      </c>
      <c r="Q409" s="103" t="n">
        <v>0</v>
      </c>
      <c r="R409" s="103" t="n">
        <v>5490.8</v>
      </c>
      <c r="S409" s="103" t="s">
        <v>176</v>
      </c>
      <c r="T409" s="103" t="n">
        <v>20</v>
      </c>
      <c r="U409" s="103" t="s">
        <v>177</v>
      </c>
      <c r="V409" s="103" t="n">
        <v>500</v>
      </c>
      <c r="W409" s="103" t="n">
        <f aca="false">DATA_PIPELINE!$K409</f>
        <v>0</v>
      </c>
      <c r="X409" s="103" t="n">
        <f aca="false">DATA_PIPELINE!$V409-DATA_PIPELINE!$W409</f>
        <v>500</v>
      </c>
      <c r="Y409" s="103" t="str">
        <f aca="false">IF(DATA_PIPELINE!$X409=0,"Paid",IF(DATA_PIPELINE!$W409=0,"Unpaid","Partly Paid"))</f>
        <v>Unpaid</v>
      </c>
    </row>
    <row r="410" customFormat="false" ht="15" hidden="false" customHeight="true" outlineLevel="0" collapsed="false">
      <c r="A410" s="103" t="n">
        <v>405</v>
      </c>
      <c r="B410" s="103" t="s">
        <v>1338</v>
      </c>
      <c r="C410" s="103" t="s">
        <v>1339</v>
      </c>
      <c r="D410" s="103" t="s">
        <v>531</v>
      </c>
      <c r="E410" s="103" t="s">
        <v>1340</v>
      </c>
      <c r="F410" s="103" t="n">
        <v>772331868</v>
      </c>
      <c r="G410" s="103" t="s">
        <v>533</v>
      </c>
      <c r="H410" s="103" t="s">
        <v>174</v>
      </c>
      <c r="I410" s="103" t="n">
        <v>16</v>
      </c>
      <c r="J410" s="103" t="s">
        <v>175</v>
      </c>
      <c r="K410" s="103" t="n">
        <v>0</v>
      </c>
      <c r="L410" s="103" t="n">
        <v>0</v>
      </c>
      <c r="M410" s="103" t="n">
        <v>0</v>
      </c>
      <c r="N410" s="103" t="n">
        <v>20</v>
      </c>
      <c r="O410" s="103" t="n">
        <v>3445.75</v>
      </c>
      <c r="P410" s="103" t="n">
        <v>0</v>
      </c>
      <c r="Q410" s="103" t="n">
        <v>0</v>
      </c>
      <c r="R410" s="103" t="n">
        <v>3445.75</v>
      </c>
      <c r="S410" s="103" t="s">
        <v>176</v>
      </c>
      <c r="T410" s="103" t="n">
        <v>20</v>
      </c>
      <c r="U410" s="103" t="s">
        <v>177</v>
      </c>
      <c r="V410" s="103" t="n">
        <v>500</v>
      </c>
      <c r="W410" s="103" t="n">
        <f aca="false">DATA_PIPELINE!$K410</f>
        <v>0</v>
      </c>
      <c r="X410" s="103" t="n">
        <f aca="false">DATA_PIPELINE!$V410-DATA_PIPELINE!$W410</f>
        <v>500</v>
      </c>
      <c r="Y410" s="103" t="str">
        <f aca="false">IF(DATA_PIPELINE!$X410=0,"Paid",IF(DATA_PIPELINE!$W410=0,"Unpaid","Partly Paid"))</f>
        <v>Unpaid</v>
      </c>
    </row>
    <row r="411" customFormat="false" ht="15" hidden="false" customHeight="true" outlineLevel="0" collapsed="false">
      <c r="A411" s="103" t="n">
        <v>406</v>
      </c>
      <c r="B411" s="103" t="s">
        <v>1341</v>
      </c>
      <c r="C411" s="103" t="s">
        <v>1342</v>
      </c>
      <c r="D411" s="103" t="s">
        <v>914</v>
      </c>
      <c r="E411" s="103" t="s">
        <v>1343</v>
      </c>
      <c r="F411" s="103" t="n">
        <v>772743326</v>
      </c>
      <c r="G411" s="103" t="s">
        <v>533</v>
      </c>
      <c r="H411" s="103" t="s">
        <v>174</v>
      </c>
      <c r="I411" s="103" t="n">
        <v>16</v>
      </c>
      <c r="J411" s="103" t="s">
        <v>175</v>
      </c>
      <c r="K411" s="103" t="n">
        <v>0</v>
      </c>
      <c r="L411" s="103" t="n">
        <v>0</v>
      </c>
      <c r="M411" s="103" t="n">
        <v>0</v>
      </c>
      <c r="N411" s="103" t="n">
        <v>20</v>
      </c>
      <c r="O411" s="103" t="n">
        <v>4148.62</v>
      </c>
      <c r="P411" s="103" t="n">
        <v>0</v>
      </c>
      <c r="Q411" s="103" t="n">
        <v>0</v>
      </c>
      <c r="R411" s="103" t="n">
        <v>4148.62</v>
      </c>
      <c r="S411" s="103" t="s">
        <v>176</v>
      </c>
      <c r="T411" s="103" t="n">
        <v>20</v>
      </c>
      <c r="U411" s="103" t="s">
        <v>177</v>
      </c>
      <c r="V411" s="103" t="n">
        <v>500</v>
      </c>
      <c r="W411" s="103" t="n">
        <f aca="false">DATA_PIPELINE!$K411</f>
        <v>0</v>
      </c>
      <c r="X411" s="103" t="n">
        <f aca="false">DATA_PIPELINE!$V411-DATA_PIPELINE!$W411</f>
        <v>500</v>
      </c>
      <c r="Y411" s="103" t="str">
        <f aca="false">IF(DATA_PIPELINE!$X411=0,"Paid",IF(DATA_PIPELINE!$W411=0,"Unpaid","Partly Paid"))</f>
        <v>Unpaid</v>
      </c>
    </row>
    <row r="412" customFormat="false" ht="15" hidden="false" customHeight="true" outlineLevel="0" collapsed="false">
      <c r="A412" s="103" t="n">
        <v>407</v>
      </c>
      <c r="B412" s="103" t="s">
        <v>1344</v>
      </c>
      <c r="C412" s="103" t="s">
        <v>1345</v>
      </c>
      <c r="D412" s="103" t="s">
        <v>914</v>
      </c>
      <c r="E412" s="103" t="s">
        <v>1346</v>
      </c>
      <c r="F412" s="103" t="n">
        <v>773877145</v>
      </c>
      <c r="G412" s="103" t="s">
        <v>533</v>
      </c>
      <c r="H412" s="103" t="s">
        <v>174</v>
      </c>
      <c r="I412" s="103" t="n">
        <v>16</v>
      </c>
      <c r="J412" s="103" t="s">
        <v>175</v>
      </c>
      <c r="K412" s="103" t="n">
        <v>0</v>
      </c>
      <c r="L412" s="103" t="n">
        <v>0</v>
      </c>
      <c r="M412" s="103" t="n">
        <v>0</v>
      </c>
      <c r="N412" s="103" t="n">
        <v>50</v>
      </c>
      <c r="O412" s="103" t="n">
        <v>4478.95</v>
      </c>
      <c r="P412" s="103" t="n">
        <v>0</v>
      </c>
      <c r="Q412" s="103" t="n">
        <v>0</v>
      </c>
      <c r="R412" s="103" t="n">
        <v>4478.95</v>
      </c>
      <c r="S412" s="103" t="s">
        <v>176</v>
      </c>
      <c r="T412" s="103" t="n">
        <v>50</v>
      </c>
      <c r="U412" s="103" t="s">
        <v>177</v>
      </c>
      <c r="V412" s="103" t="n">
        <v>500</v>
      </c>
      <c r="W412" s="103" t="n">
        <f aca="false">DATA_PIPELINE!$K412</f>
        <v>0</v>
      </c>
      <c r="X412" s="103" t="n">
        <f aca="false">DATA_PIPELINE!$V412-DATA_PIPELINE!$W412</f>
        <v>500</v>
      </c>
      <c r="Y412" s="103" t="str">
        <f aca="false">IF(DATA_PIPELINE!$X412=0,"Paid",IF(DATA_PIPELINE!$W412=0,"Unpaid","Partly Paid"))</f>
        <v>Unpaid</v>
      </c>
    </row>
    <row r="413" customFormat="false" ht="15" hidden="false" customHeight="true" outlineLevel="0" collapsed="false">
      <c r="A413" s="103" t="n">
        <v>408</v>
      </c>
      <c r="B413" s="103" t="s">
        <v>1347</v>
      </c>
      <c r="C413" s="103" t="s">
        <v>1348</v>
      </c>
      <c r="D413" s="108" t="s">
        <v>1137</v>
      </c>
      <c r="E413" s="103" t="s">
        <v>1349</v>
      </c>
      <c r="F413" s="103" t="n">
        <v>775035155</v>
      </c>
      <c r="G413" s="103" t="s">
        <v>533</v>
      </c>
      <c r="H413" s="103" t="s">
        <v>174</v>
      </c>
      <c r="I413" s="103" t="n">
        <v>16</v>
      </c>
      <c r="J413" s="103" t="s">
        <v>175</v>
      </c>
      <c r="K413" s="103" t="n">
        <v>0</v>
      </c>
      <c r="L413" s="103" t="n">
        <v>0</v>
      </c>
      <c r="M413" s="103" t="n">
        <v>0</v>
      </c>
      <c r="N413" s="103" t="n">
        <v>20</v>
      </c>
      <c r="O413" s="103" t="n">
        <v>3480.1</v>
      </c>
      <c r="P413" s="103" t="n">
        <v>0</v>
      </c>
      <c r="Q413" s="103" t="n">
        <v>0</v>
      </c>
      <c r="R413" s="103" t="n">
        <v>3480.1</v>
      </c>
      <c r="S413" s="103" t="s">
        <v>176</v>
      </c>
      <c r="T413" s="103" t="n">
        <v>20</v>
      </c>
      <c r="U413" s="103" t="s">
        <v>177</v>
      </c>
      <c r="V413" s="103" t="n">
        <v>500</v>
      </c>
      <c r="W413" s="103" t="n">
        <f aca="false">DATA_PIPELINE!$K413</f>
        <v>0</v>
      </c>
      <c r="X413" s="103" t="n">
        <f aca="false">DATA_PIPELINE!$V413-DATA_PIPELINE!$W413</f>
        <v>500</v>
      </c>
      <c r="Y413" s="103" t="str">
        <f aca="false">IF(DATA_PIPELINE!$X413=0,"Paid",IF(DATA_PIPELINE!$W413=0,"Unpaid","Partly Paid"))</f>
        <v>Unpaid</v>
      </c>
    </row>
    <row r="414" customFormat="false" ht="15" hidden="false" customHeight="true" outlineLevel="0" collapsed="false">
      <c r="A414" s="103" t="n">
        <v>409</v>
      </c>
      <c r="B414" s="103" t="s">
        <v>1042</v>
      </c>
      <c r="C414" s="103" t="s">
        <v>1350</v>
      </c>
      <c r="D414" s="103" t="s">
        <v>914</v>
      </c>
      <c r="E414" s="103" t="s">
        <v>1351</v>
      </c>
      <c r="F414" s="103" t="n">
        <v>763711050</v>
      </c>
      <c r="G414" s="103" t="s">
        <v>533</v>
      </c>
      <c r="H414" s="103" t="s">
        <v>174</v>
      </c>
      <c r="I414" s="103" t="n">
        <v>10</v>
      </c>
      <c r="J414" s="103" t="s">
        <v>175</v>
      </c>
      <c r="K414" s="103" t="n">
        <v>0</v>
      </c>
      <c r="L414" s="103" t="n">
        <v>0</v>
      </c>
      <c r="M414" s="103" t="n">
        <v>0</v>
      </c>
      <c r="N414" s="103" t="n">
        <v>20</v>
      </c>
      <c r="O414" s="103" t="n">
        <v>1457.59</v>
      </c>
      <c r="P414" s="103" t="n">
        <v>0</v>
      </c>
      <c r="Q414" s="103" t="n">
        <v>0</v>
      </c>
      <c r="R414" s="103" t="n">
        <v>1457.59</v>
      </c>
      <c r="S414" s="103" t="s">
        <v>176</v>
      </c>
      <c r="T414" s="103" t="n">
        <v>20</v>
      </c>
      <c r="U414" s="103" t="s">
        <v>177</v>
      </c>
      <c r="V414" s="103" t="n">
        <v>500</v>
      </c>
      <c r="W414" s="103" t="n">
        <f aca="false">DATA_PIPELINE!$K414</f>
        <v>0</v>
      </c>
      <c r="X414" s="103" t="n">
        <f aca="false">DATA_PIPELINE!$V414-DATA_PIPELINE!$W414</f>
        <v>500</v>
      </c>
      <c r="Y414" s="103" t="str">
        <f aca="false">IF(DATA_PIPELINE!$X414=0,"Paid",IF(DATA_PIPELINE!$W414=0,"Unpaid","Partly Paid"))</f>
        <v>Unpaid</v>
      </c>
    </row>
    <row r="415" customFormat="false" ht="15" hidden="false" customHeight="true" outlineLevel="0" collapsed="false">
      <c r="A415" s="103" t="n">
        <v>410</v>
      </c>
      <c r="B415" s="103" t="s">
        <v>1352</v>
      </c>
      <c r="C415" s="103" t="s">
        <v>1353</v>
      </c>
      <c r="D415" s="103" t="s">
        <v>914</v>
      </c>
      <c r="E415" s="103" t="s">
        <v>1354</v>
      </c>
      <c r="F415" s="103" t="n">
        <v>772851248</v>
      </c>
      <c r="G415" s="103" t="s">
        <v>533</v>
      </c>
      <c r="H415" s="103" t="s">
        <v>174</v>
      </c>
      <c r="I415" s="103" t="n">
        <v>9</v>
      </c>
      <c r="J415" s="103" t="s">
        <v>175</v>
      </c>
      <c r="K415" s="103" t="n">
        <v>0</v>
      </c>
      <c r="L415" s="103" t="n">
        <v>0</v>
      </c>
      <c r="M415" s="103" t="n">
        <v>0</v>
      </c>
      <c r="N415" s="103" t="n">
        <v>30</v>
      </c>
      <c r="O415" s="103" t="n">
        <v>6981.38</v>
      </c>
      <c r="P415" s="103" t="n">
        <v>0</v>
      </c>
      <c r="Q415" s="103" t="n">
        <v>0</v>
      </c>
      <c r="R415" s="103" t="n">
        <v>6981.38</v>
      </c>
      <c r="S415" s="103" t="s">
        <v>176</v>
      </c>
      <c r="T415" s="103" t="n">
        <v>30</v>
      </c>
      <c r="U415" s="103" t="s">
        <v>177</v>
      </c>
      <c r="V415" s="103" t="n">
        <v>500</v>
      </c>
      <c r="W415" s="103" t="n">
        <f aca="false">DATA_PIPELINE!$K415</f>
        <v>0</v>
      </c>
      <c r="X415" s="103" t="n">
        <f aca="false">DATA_PIPELINE!$V415-DATA_PIPELINE!$W415</f>
        <v>500</v>
      </c>
      <c r="Y415" s="103" t="str">
        <f aca="false">IF(DATA_PIPELINE!$X415=0,"Paid",IF(DATA_PIPELINE!$W415=0,"Unpaid","Partly Paid"))</f>
        <v>Unpaid</v>
      </c>
    </row>
    <row r="416" customFormat="false" ht="15" hidden="false" customHeight="true" outlineLevel="0" collapsed="false">
      <c r="A416" s="103" t="n">
        <v>411</v>
      </c>
      <c r="B416" s="103" t="s">
        <v>1355</v>
      </c>
      <c r="C416" s="103" t="s">
        <v>1356</v>
      </c>
      <c r="D416" s="103" t="s">
        <v>1288</v>
      </c>
      <c r="E416" s="103" t="s">
        <v>1357</v>
      </c>
      <c r="F416" s="103" t="n">
        <v>772854374</v>
      </c>
      <c r="G416" s="103" t="s">
        <v>533</v>
      </c>
      <c r="H416" s="103" t="s">
        <v>174</v>
      </c>
      <c r="I416" s="103" t="n">
        <v>16</v>
      </c>
      <c r="J416" s="103" t="s">
        <v>175</v>
      </c>
      <c r="K416" s="103" t="n">
        <v>0</v>
      </c>
      <c r="L416" s="103" t="n">
        <v>0</v>
      </c>
      <c r="M416" s="103" t="n">
        <v>0</v>
      </c>
      <c r="N416" s="103" t="n">
        <v>60</v>
      </c>
      <c r="O416" s="103" t="n">
        <v>14049.46</v>
      </c>
      <c r="P416" s="103" t="n">
        <v>41.38</v>
      </c>
      <c r="Q416" s="103" t="n">
        <v>15093.36</v>
      </c>
      <c r="R416" s="103" t="n">
        <v>-1043.89</v>
      </c>
      <c r="S416" s="103" t="n">
        <v>107.43</v>
      </c>
      <c r="T416" s="103" t="n">
        <v>60</v>
      </c>
      <c r="U416" s="103" t="s">
        <v>177</v>
      </c>
      <c r="V416" s="103" t="n">
        <v>500</v>
      </c>
      <c r="W416" s="103" t="n">
        <f aca="false">DATA_PIPELINE!$K416</f>
        <v>0</v>
      </c>
      <c r="X416" s="103" t="n">
        <f aca="false">DATA_PIPELINE!$V416-DATA_PIPELINE!$W416</f>
        <v>500</v>
      </c>
      <c r="Y416" s="103" t="str">
        <f aca="false">IF(DATA_PIPELINE!$X416=0,"Paid",IF(DATA_PIPELINE!$W416=0,"Unpaid","Partly Paid"))</f>
        <v>Unpaid</v>
      </c>
    </row>
    <row r="417" customFormat="false" ht="15" hidden="false" customHeight="true" outlineLevel="0" collapsed="false">
      <c r="A417" s="103" t="n">
        <v>412</v>
      </c>
      <c r="B417" s="103" t="s">
        <v>1358</v>
      </c>
      <c r="C417" s="103" t="s">
        <v>1179</v>
      </c>
      <c r="D417" s="108" t="s">
        <v>1137</v>
      </c>
      <c r="E417" s="103" t="s">
        <v>1359</v>
      </c>
      <c r="F417" s="103" t="n">
        <v>772402579</v>
      </c>
      <c r="G417" s="103" t="s">
        <v>533</v>
      </c>
      <c r="H417" s="103" t="s">
        <v>174</v>
      </c>
      <c r="I417" s="103" t="n">
        <v>9</v>
      </c>
      <c r="J417" s="103" t="s">
        <v>175</v>
      </c>
      <c r="K417" s="103" t="n">
        <v>0</v>
      </c>
      <c r="L417" s="103" t="n">
        <v>0</v>
      </c>
      <c r="M417" s="103" t="n">
        <v>0</v>
      </c>
      <c r="N417" s="103" t="n">
        <v>50</v>
      </c>
      <c r="O417" s="103" t="n">
        <v>9889.93</v>
      </c>
      <c r="P417" s="103" t="n">
        <v>0</v>
      </c>
      <c r="Q417" s="103" t="n">
        <v>0</v>
      </c>
      <c r="R417" s="103" t="n">
        <v>9889.93</v>
      </c>
      <c r="S417" s="103" t="s">
        <v>176</v>
      </c>
      <c r="T417" s="103" t="n">
        <v>50</v>
      </c>
      <c r="U417" s="103" t="s">
        <v>177</v>
      </c>
      <c r="V417" s="103" t="n">
        <v>500</v>
      </c>
      <c r="W417" s="103" t="n">
        <f aca="false">DATA_PIPELINE!$K417</f>
        <v>0</v>
      </c>
      <c r="X417" s="103" t="n">
        <f aca="false">DATA_PIPELINE!$V417-DATA_PIPELINE!$W417</f>
        <v>500</v>
      </c>
      <c r="Y417" s="103" t="str">
        <f aca="false">IF(DATA_PIPELINE!$X417=0,"Paid",IF(DATA_PIPELINE!$W417=0,"Unpaid","Partly Paid"))</f>
        <v>Unpaid</v>
      </c>
    </row>
    <row r="418" customFormat="false" ht="15" hidden="false" customHeight="true" outlineLevel="0" collapsed="false">
      <c r="A418" s="103" t="n">
        <v>413</v>
      </c>
      <c r="B418" s="103" t="s">
        <v>1360</v>
      </c>
      <c r="C418" s="103" t="s">
        <v>1361</v>
      </c>
      <c r="D418" s="103" t="s">
        <v>1209</v>
      </c>
      <c r="E418" s="103" t="s">
        <v>1362</v>
      </c>
      <c r="F418" s="103" t="n">
        <v>716333459</v>
      </c>
      <c r="G418" s="103" t="s">
        <v>533</v>
      </c>
      <c r="H418" s="103" t="s">
        <v>174</v>
      </c>
      <c r="I418" s="103" t="n">
        <v>9</v>
      </c>
      <c r="J418" s="103" t="s">
        <v>175</v>
      </c>
      <c r="K418" s="103" t="n">
        <v>0</v>
      </c>
      <c r="L418" s="103" t="n">
        <v>0</v>
      </c>
      <c r="M418" s="103" t="n">
        <v>0</v>
      </c>
      <c r="N418" s="103" t="n">
        <v>30</v>
      </c>
      <c r="O418" s="103" t="n">
        <v>2447.07</v>
      </c>
      <c r="P418" s="103" t="n">
        <v>0</v>
      </c>
      <c r="Q418" s="103" t="n">
        <v>0</v>
      </c>
      <c r="R418" s="103" t="n">
        <v>2447.07</v>
      </c>
      <c r="S418" s="103" t="s">
        <v>176</v>
      </c>
      <c r="T418" s="103" t="n">
        <v>30</v>
      </c>
      <c r="U418" s="103" t="s">
        <v>177</v>
      </c>
      <c r="V418" s="103" t="n">
        <v>500</v>
      </c>
      <c r="W418" s="103" t="n">
        <f aca="false">DATA_PIPELINE!$K418</f>
        <v>0</v>
      </c>
      <c r="X418" s="103" t="n">
        <f aca="false">DATA_PIPELINE!$V418-DATA_PIPELINE!$W418</f>
        <v>500</v>
      </c>
      <c r="Y418" s="103" t="str">
        <f aca="false">IF(DATA_PIPELINE!$X418=0,"Paid",IF(DATA_PIPELINE!$W418=0,"Unpaid","Partly Paid"))</f>
        <v>Unpaid</v>
      </c>
    </row>
    <row r="419" customFormat="false" ht="15" hidden="false" customHeight="true" outlineLevel="0" collapsed="false">
      <c r="A419" s="103" t="n">
        <v>414</v>
      </c>
      <c r="B419" s="103" t="s">
        <v>1363</v>
      </c>
      <c r="C419" s="103"/>
      <c r="D419" s="108" t="s">
        <v>1137</v>
      </c>
      <c r="E419" s="103" t="s">
        <v>1364</v>
      </c>
      <c r="F419" s="103" t="n">
        <v>759908578</v>
      </c>
      <c r="G419" s="103" t="s">
        <v>533</v>
      </c>
      <c r="H419" s="103" t="s">
        <v>174</v>
      </c>
      <c r="I419" s="103" t="n">
        <v>16</v>
      </c>
      <c r="J419" s="103" t="s">
        <v>175</v>
      </c>
      <c r="K419" s="103" t="n">
        <v>0</v>
      </c>
      <c r="L419" s="103" t="n">
        <v>0</v>
      </c>
      <c r="M419" s="103" t="n">
        <v>0</v>
      </c>
      <c r="N419" s="103" t="n">
        <v>60</v>
      </c>
      <c r="O419" s="103" t="n">
        <v>9697.19</v>
      </c>
      <c r="P419" s="103" t="n">
        <v>6.004</v>
      </c>
      <c r="Q419" s="103" t="n">
        <v>2189.96</v>
      </c>
      <c r="R419" s="103" t="n">
        <v>7507.23</v>
      </c>
      <c r="S419" s="103" t="n">
        <v>22.58</v>
      </c>
      <c r="T419" s="103" t="n">
        <v>60</v>
      </c>
      <c r="U419" s="103" t="s">
        <v>177</v>
      </c>
      <c r="V419" s="103" t="n">
        <v>500</v>
      </c>
      <c r="W419" s="103" t="n">
        <f aca="false">DATA_PIPELINE!$K419</f>
        <v>0</v>
      </c>
      <c r="X419" s="103" t="n">
        <f aca="false">DATA_PIPELINE!$V419-DATA_PIPELINE!$W419</f>
        <v>500</v>
      </c>
      <c r="Y419" s="103" t="str">
        <f aca="false">IF(DATA_PIPELINE!$X419=0,"Paid",IF(DATA_PIPELINE!$W419=0,"Unpaid","Partly Paid"))</f>
        <v>Unpaid</v>
      </c>
    </row>
    <row r="420" customFormat="false" ht="15" hidden="false" customHeight="true" outlineLevel="0" collapsed="false">
      <c r="A420" s="103" t="n">
        <v>415</v>
      </c>
      <c r="B420" s="103" t="s">
        <v>1365</v>
      </c>
      <c r="C420" s="103"/>
      <c r="D420" s="108" t="s">
        <v>1137</v>
      </c>
      <c r="E420" s="103" t="s">
        <v>1366</v>
      </c>
      <c r="F420" s="103"/>
      <c r="G420" s="103" t="s">
        <v>533</v>
      </c>
      <c r="H420" s="103" t="s">
        <v>174</v>
      </c>
      <c r="I420" s="103" t="n">
        <v>16</v>
      </c>
      <c r="J420" s="103" t="s">
        <v>175</v>
      </c>
      <c r="K420" s="103" t="n">
        <v>0</v>
      </c>
      <c r="L420" s="103" t="n">
        <v>0</v>
      </c>
      <c r="M420" s="103" t="n">
        <v>0</v>
      </c>
      <c r="N420" s="103" t="n">
        <v>20</v>
      </c>
      <c r="O420" s="103" t="n">
        <v>4190.55</v>
      </c>
      <c r="P420" s="103" t="n">
        <v>0</v>
      </c>
      <c r="Q420" s="103" t="n">
        <v>0</v>
      </c>
      <c r="R420" s="103" t="n">
        <v>4190.55</v>
      </c>
      <c r="S420" s="103" t="s">
        <v>176</v>
      </c>
      <c r="T420" s="103" t="n">
        <v>20</v>
      </c>
      <c r="U420" s="103" t="s">
        <v>177</v>
      </c>
      <c r="V420" s="103" t="n">
        <v>500</v>
      </c>
      <c r="W420" s="103" t="n">
        <f aca="false">DATA_PIPELINE!$K420</f>
        <v>0</v>
      </c>
      <c r="X420" s="103" t="n">
        <f aca="false">DATA_PIPELINE!$V420-DATA_PIPELINE!$W420</f>
        <v>500</v>
      </c>
      <c r="Y420" s="103" t="str">
        <f aca="false">IF(DATA_PIPELINE!$X420=0,"Paid",IF(DATA_PIPELINE!$W420=0,"Unpaid","Partly Paid"))</f>
        <v>Unpaid</v>
      </c>
    </row>
    <row r="421" customFormat="false" ht="15" hidden="false" customHeight="true" outlineLevel="0" collapsed="false">
      <c r="A421" s="103" t="n">
        <v>416</v>
      </c>
      <c r="B421" s="103" t="s">
        <v>1367</v>
      </c>
      <c r="C421" s="103" t="s">
        <v>1218</v>
      </c>
      <c r="D421" s="103" t="s">
        <v>531</v>
      </c>
      <c r="E421" s="103" t="s">
        <v>1368</v>
      </c>
      <c r="F421" s="103"/>
      <c r="G421" s="103" t="s">
        <v>533</v>
      </c>
      <c r="H421" s="103" t="s">
        <v>174</v>
      </c>
      <c r="I421" s="103" t="n">
        <v>13</v>
      </c>
      <c r="J421" s="103" t="s">
        <v>175</v>
      </c>
      <c r="K421" s="103" t="n">
        <v>0</v>
      </c>
      <c r="L421" s="103" t="n">
        <v>0</v>
      </c>
      <c r="M421" s="103" t="n">
        <v>0</v>
      </c>
      <c r="N421" s="103" t="n">
        <v>200</v>
      </c>
      <c r="O421" s="103" t="n">
        <v>28322.84</v>
      </c>
      <c r="P421" s="103" t="n">
        <v>0</v>
      </c>
      <c r="Q421" s="103" t="n">
        <v>0</v>
      </c>
      <c r="R421" s="103" t="n">
        <v>28322.84</v>
      </c>
      <c r="S421" s="103" t="s">
        <v>176</v>
      </c>
      <c r="T421" s="103" t="n">
        <v>200</v>
      </c>
      <c r="U421" s="103" t="s">
        <v>247</v>
      </c>
      <c r="V421" s="103" t="n">
        <v>1000</v>
      </c>
      <c r="W421" s="103" t="n">
        <f aca="false">DATA_PIPELINE!$K421</f>
        <v>0</v>
      </c>
      <c r="X421" s="103" t="n">
        <f aca="false">DATA_PIPELINE!$V421-DATA_PIPELINE!$W421</f>
        <v>1000</v>
      </c>
      <c r="Y421" s="103" t="str">
        <f aca="false">IF(DATA_PIPELINE!$X421=0,"Paid",IF(DATA_PIPELINE!$W421=0,"Unpaid","Partly Paid"))</f>
        <v>Unpaid</v>
      </c>
    </row>
    <row r="422" customFormat="false" ht="15" hidden="false" customHeight="true" outlineLevel="0" collapsed="false">
      <c r="A422" s="103" t="n">
        <v>417</v>
      </c>
      <c r="B422" s="103" t="s">
        <v>1369</v>
      </c>
      <c r="C422" s="103" t="s">
        <v>1370</v>
      </c>
      <c r="D422" s="103" t="s">
        <v>531</v>
      </c>
      <c r="E422" s="103" t="s">
        <v>1371</v>
      </c>
      <c r="F422" s="103"/>
      <c r="G422" s="103" t="s">
        <v>533</v>
      </c>
      <c r="H422" s="103" t="s">
        <v>174</v>
      </c>
      <c r="I422" s="103" t="n">
        <v>14</v>
      </c>
      <c r="J422" s="103" t="s">
        <v>175</v>
      </c>
      <c r="K422" s="103" t="n">
        <v>0</v>
      </c>
      <c r="L422" s="103" t="n">
        <v>0</v>
      </c>
      <c r="M422" s="103" t="n">
        <v>100</v>
      </c>
      <c r="N422" s="103" t="n">
        <v>300</v>
      </c>
      <c r="O422" s="103" t="n">
        <v>32552</v>
      </c>
      <c r="P422" s="103" t="n">
        <v>30.065</v>
      </c>
      <c r="Q422" s="103" t="n">
        <v>10966.21</v>
      </c>
      <c r="R422" s="103" t="n">
        <v>21585.79</v>
      </c>
      <c r="S422" s="103" t="n">
        <v>33.69</v>
      </c>
      <c r="T422" s="103" t="n">
        <v>300</v>
      </c>
      <c r="U422" s="103" t="s">
        <v>247</v>
      </c>
      <c r="V422" s="103" t="n">
        <v>1000</v>
      </c>
      <c r="W422" s="103" t="n">
        <f aca="false">DATA_PIPELINE!$K422</f>
        <v>0</v>
      </c>
      <c r="X422" s="103" t="n">
        <f aca="false">DATA_PIPELINE!$V422-DATA_PIPELINE!$W422</f>
        <v>1000</v>
      </c>
      <c r="Y422" s="103" t="str">
        <f aca="false">IF(DATA_PIPELINE!$X422=0,"Paid",IF(DATA_PIPELINE!$W422=0,"Unpaid","Partly Paid"))</f>
        <v>Unpaid</v>
      </c>
    </row>
    <row r="423" customFormat="false" ht="15" hidden="false" customHeight="true" outlineLevel="0" collapsed="false">
      <c r="A423" s="103" t="n">
        <v>418</v>
      </c>
      <c r="B423" s="103" t="s">
        <v>1372</v>
      </c>
      <c r="C423" s="103"/>
      <c r="D423" s="107" t="s">
        <v>358</v>
      </c>
      <c r="E423" s="103" t="s">
        <v>1373</v>
      </c>
      <c r="F423" s="103"/>
      <c r="G423" s="103" t="s">
        <v>533</v>
      </c>
      <c r="H423" s="103" t="s">
        <v>174</v>
      </c>
      <c r="I423" s="103" t="n">
        <v>9</v>
      </c>
      <c r="J423" s="103" t="s">
        <v>175</v>
      </c>
      <c r="K423" s="103" t="n">
        <v>0</v>
      </c>
      <c r="L423" s="103" t="n">
        <v>0</v>
      </c>
      <c r="M423" s="103" t="n">
        <v>0</v>
      </c>
      <c r="N423" s="103" t="n">
        <v>20</v>
      </c>
      <c r="O423" s="103" t="n">
        <v>2728.72</v>
      </c>
      <c r="P423" s="103" t="n">
        <v>0</v>
      </c>
      <c r="Q423" s="103" t="n">
        <v>0</v>
      </c>
      <c r="R423" s="103" t="n">
        <v>2728.72</v>
      </c>
      <c r="S423" s="103" t="s">
        <v>176</v>
      </c>
      <c r="T423" s="103" t="n">
        <v>20</v>
      </c>
      <c r="U423" s="103" t="s">
        <v>177</v>
      </c>
      <c r="V423" s="103" t="n">
        <v>500</v>
      </c>
      <c r="W423" s="103" t="n">
        <f aca="false">DATA_PIPELINE!$K423</f>
        <v>0</v>
      </c>
      <c r="X423" s="103" t="n">
        <f aca="false">DATA_PIPELINE!$V423-DATA_PIPELINE!$W423</f>
        <v>500</v>
      </c>
      <c r="Y423" s="103" t="str">
        <f aca="false">IF(DATA_PIPELINE!$X423=0,"Paid",IF(DATA_PIPELINE!$W423=0,"Unpaid","Partly Paid"))</f>
        <v>Unpaid</v>
      </c>
    </row>
    <row r="424" customFormat="false" ht="15" hidden="false" customHeight="true" outlineLevel="0" collapsed="false">
      <c r="A424" s="103" t="n">
        <v>419</v>
      </c>
      <c r="B424" s="103" t="s">
        <v>1374</v>
      </c>
      <c r="C424" s="103" t="s">
        <v>1375</v>
      </c>
      <c r="D424" s="108" t="s">
        <v>1137</v>
      </c>
      <c r="E424" s="103" t="s">
        <v>1376</v>
      </c>
      <c r="F424" s="103"/>
      <c r="G424" s="103" t="s">
        <v>533</v>
      </c>
      <c r="H424" s="103" t="s">
        <v>174</v>
      </c>
      <c r="I424" s="103" t="n">
        <v>16</v>
      </c>
      <c r="J424" s="103" t="s">
        <v>175</v>
      </c>
      <c r="K424" s="103" t="n">
        <v>0</v>
      </c>
      <c r="L424" s="103" t="n">
        <v>0</v>
      </c>
      <c r="M424" s="103" t="n">
        <v>0</v>
      </c>
      <c r="N424" s="103" t="n">
        <v>20</v>
      </c>
      <c r="O424" s="103" t="n">
        <v>2531.41</v>
      </c>
      <c r="P424" s="103" t="n">
        <v>0</v>
      </c>
      <c r="Q424" s="103" t="n">
        <v>0</v>
      </c>
      <c r="R424" s="103" t="n">
        <v>2531.41</v>
      </c>
      <c r="S424" s="103" t="s">
        <v>176</v>
      </c>
      <c r="T424" s="103" t="n">
        <v>20</v>
      </c>
      <c r="U424" s="103" t="s">
        <v>177</v>
      </c>
      <c r="V424" s="103" t="n">
        <v>500</v>
      </c>
      <c r="W424" s="103" t="n">
        <f aca="false">DATA_PIPELINE!$K424</f>
        <v>0</v>
      </c>
      <c r="X424" s="103" t="n">
        <f aca="false">DATA_PIPELINE!$V424-DATA_PIPELINE!$W424</f>
        <v>500</v>
      </c>
      <c r="Y424" s="103" t="str">
        <f aca="false">IF(DATA_PIPELINE!$X424=0,"Paid",IF(DATA_PIPELINE!$W424=0,"Unpaid","Partly Paid"))</f>
        <v>Unpaid</v>
      </c>
    </row>
    <row r="425" customFormat="false" ht="15" hidden="false" customHeight="true" outlineLevel="0" collapsed="false">
      <c r="A425" s="103" t="n">
        <v>420</v>
      </c>
      <c r="B425" s="103" t="s">
        <v>1377</v>
      </c>
      <c r="C425" s="103" t="s">
        <v>1378</v>
      </c>
      <c r="D425" s="108" t="s">
        <v>1137</v>
      </c>
      <c r="E425" s="103" t="s">
        <v>1379</v>
      </c>
      <c r="F425" s="103"/>
      <c r="G425" s="103" t="s">
        <v>533</v>
      </c>
      <c r="H425" s="103" t="s">
        <v>174</v>
      </c>
      <c r="I425" s="103"/>
      <c r="J425" s="103" t="s">
        <v>175</v>
      </c>
      <c r="K425" s="103" t="n">
        <v>0</v>
      </c>
      <c r="L425" s="103" t="n">
        <v>0</v>
      </c>
      <c r="M425" s="103" t="n">
        <v>0</v>
      </c>
      <c r="N425" s="103" t="n">
        <v>10</v>
      </c>
      <c r="O425" s="103" t="n">
        <v>4618.98</v>
      </c>
      <c r="P425" s="103" t="n">
        <v>0</v>
      </c>
      <c r="Q425" s="103" t="n">
        <v>0</v>
      </c>
      <c r="R425" s="103" t="n">
        <v>4618.98</v>
      </c>
      <c r="S425" s="103" t="s">
        <v>176</v>
      </c>
      <c r="T425" s="103" t="n">
        <v>10</v>
      </c>
      <c r="U425" s="103" t="s">
        <v>177</v>
      </c>
      <c r="V425" s="103" t="n">
        <v>500</v>
      </c>
      <c r="W425" s="103" t="n">
        <f aca="false">DATA_PIPELINE!$K425</f>
        <v>0</v>
      </c>
      <c r="X425" s="103" t="n">
        <f aca="false">DATA_PIPELINE!$V425-DATA_PIPELINE!$W425</f>
        <v>500</v>
      </c>
      <c r="Y425" s="103" t="str">
        <f aca="false">IF(DATA_PIPELINE!$X425=0,"Paid",IF(DATA_PIPELINE!$W425=0,"Unpaid","Partly Paid"))</f>
        <v>Unpaid</v>
      </c>
    </row>
    <row r="426" customFormat="false" ht="15" hidden="false" customHeight="true" outlineLevel="0" collapsed="false">
      <c r="A426" s="103" t="n">
        <v>421</v>
      </c>
      <c r="B426" s="103" t="s">
        <v>1380</v>
      </c>
      <c r="C426" s="103" t="s">
        <v>1370</v>
      </c>
      <c r="D426" s="103" t="s">
        <v>531</v>
      </c>
      <c r="E426" s="103" t="s">
        <v>1381</v>
      </c>
      <c r="F426" s="103"/>
      <c r="G426" s="103" t="s">
        <v>533</v>
      </c>
      <c r="H426" s="103" t="s">
        <v>174</v>
      </c>
      <c r="I426" s="103" t="n">
        <v>3</v>
      </c>
      <c r="J426" s="103" t="s">
        <v>175</v>
      </c>
      <c r="K426" s="103" t="n">
        <v>0</v>
      </c>
      <c r="L426" s="103" t="n">
        <v>0</v>
      </c>
      <c r="M426" s="103" t="n">
        <v>0</v>
      </c>
      <c r="N426" s="103" t="n">
        <v>40</v>
      </c>
      <c r="O426" s="103" t="n">
        <v>7266.28</v>
      </c>
      <c r="P426" s="103" t="n">
        <v>0</v>
      </c>
      <c r="Q426" s="103" t="n">
        <v>0</v>
      </c>
      <c r="R426" s="103" t="n">
        <v>7266.28</v>
      </c>
      <c r="S426" s="103" t="s">
        <v>176</v>
      </c>
      <c r="T426" s="103" t="n">
        <v>40</v>
      </c>
      <c r="U426" s="103" t="s">
        <v>177</v>
      </c>
      <c r="V426" s="103" t="n">
        <v>500</v>
      </c>
      <c r="W426" s="103" t="n">
        <f aca="false">DATA_PIPELINE!$K426</f>
        <v>0</v>
      </c>
      <c r="X426" s="103" t="n">
        <f aca="false">DATA_PIPELINE!$V426-DATA_PIPELINE!$W426</f>
        <v>500</v>
      </c>
      <c r="Y426" s="103" t="str">
        <f aca="false">IF(DATA_PIPELINE!$X426=0,"Paid",IF(DATA_PIPELINE!$W426=0,"Unpaid","Partly Paid"))</f>
        <v>Unpaid</v>
      </c>
    </row>
    <row r="427" customFormat="false" ht="15" hidden="false" customHeight="true" outlineLevel="0" collapsed="false">
      <c r="A427" s="103" t="n">
        <v>422</v>
      </c>
      <c r="B427" s="103" t="s">
        <v>1382</v>
      </c>
      <c r="C427" s="103" t="s">
        <v>1383</v>
      </c>
      <c r="D427" s="103" t="s">
        <v>803</v>
      </c>
      <c r="E427" s="103" t="s">
        <v>1384</v>
      </c>
      <c r="F427" s="103" t="n">
        <v>447394314592</v>
      </c>
      <c r="G427" s="103" t="s">
        <v>533</v>
      </c>
      <c r="H427" s="103" t="s">
        <v>174</v>
      </c>
      <c r="I427" s="103" t="n">
        <v>11</v>
      </c>
      <c r="J427" s="103" t="s">
        <v>350</v>
      </c>
      <c r="K427" s="103" t="n">
        <v>100</v>
      </c>
      <c r="L427" s="103" t="n">
        <v>0</v>
      </c>
      <c r="M427" s="103" t="n">
        <v>5</v>
      </c>
      <c r="N427" s="103" t="n">
        <v>15</v>
      </c>
      <c r="O427" s="103" t="n">
        <v>0</v>
      </c>
      <c r="P427" s="103" t="n">
        <v>0</v>
      </c>
      <c r="Q427" s="103" t="n">
        <v>0</v>
      </c>
      <c r="R427" s="103" t="n">
        <v>0</v>
      </c>
      <c r="S427" s="103"/>
      <c r="T427" s="103" t="n">
        <v>15</v>
      </c>
      <c r="U427" s="103" t="s">
        <v>177</v>
      </c>
      <c r="V427" s="103" t="n">
        <v>500</v>
      </c>
      <c r="W427" s="103" t="n">
        <f aca="false">DATA_PIPELINE!$K427</f>
        <v>100</v>
      </c>
      <c r="X427" s="103" t="n">
        <f aca="false">DATA_PIPELINE!$V427-DATA_PIPELINE!$W427</f>
        <v>400</v>
      </c>
      <c r="Y427" s="103" t="str">
        <f aca="false">IF(DATA_PIPELINE!$X427=0,"Paid",IF(DATA_PIPELINE!$W427=0,"Unpaid","Partly Paid"))</f>
        <v>Partly Paid</v>
      </c>
    </row>
    <row r="428" customFormat="false" ht="15" hidden="false" customHeight="true" outlineLevel="0" collapsed="false">
      <c r="A428" s="103" t="n">
        <v>423</v>
      </c>
      <c r="B428" s="103" t="s">
        <v>1385</v>
      </c>
      <c r="C428" s="103" t="s">
        <v>1386</v>
      </c>
      <c r="D428" s="103" t="s">
        <v>918</v>
      </c>
      <c r="E428" s="103" t="s">
        <v>1387</v>
      </c>
      <c r="F428" s="103" t="n">
        <v>772522584</v>
      </c>
      <c r="G428" s="103" t="s">
        <v>533</v>
      </c>
      <c r="H428" s="103" t="s">
        <v>174</v>
      </c>
      <c r="I428" s="103" t="n">
        <v>10</v>
      </c>
      <c r="J428" s="103" t="s">
        <v>350</v>
      </c>
      <c r="K428" s="103" t="n">
        <v>200</v>
      </c>
      <c r="L428" s="103" t="n">
        <v>0</v>
      </c>
      <c r="M428" s="103" t="n">
        <v>0</v>
      </c>
      <c r="N428" s="103" t="n">
        <v>20</v>
      </c>
      <c r="O428" s="103" t="n">
        <v>0</v>
      </c>
      <c r="P428" s="103" t="n">
        <v>0</v>
      </c>
      <c r="Q428" s="103" t="n">
        <v>0</v>
      </c>
      <c r="R428" s="103" t="n">
        <v>0</v>
      </c>
      <c r="S428" s="103"/>
      <c r="T428" s="103" t="n">
        <v>20</v>
      </c>
      <c r="U428" s="103" t="s">
        <v>177</v>
      </c>
      <c r="V428" s="103" t="n">
        <v>500</v>
      </c>
      <c r="W428" s="103" t="n">
        <f aca="false">DATA_PIPELINE!$K428</f>
        <v>200</v>
      </c>
      <c r="X428" s="103" t="n">
        <f aca="false">DATA_PIPELINE!$V428-DATA_PIPELINE!$W428</f>
        <v>300</v>
      </c>
      <c r="Y428" s="103" t="str">
        <f aca="false">IF(DATA_PIPELINE!$X428=0,"Paid",IF(DATA_PIPELINE!$W428=0,"Unpaid","Partly Paid"))</f>
        <v>Partly Paid</v>
      </c>
    </row>
    <row r="429" customFormat="false" ht="15" hidden="false" customHeight="true" outlineLevel="0" collapsed="false">
      <c r="A429" s="103" t="n">
        <v>424</v>
      </c>
      <c r="B429" s="103" t="s">
        <v>1388</v>
      </c>
      <c r="C429" s="103" t="s">
        <v>1389</v>
      </c>
      <c r="D429" s="103" t="s">
        <v>918</v>
      </c>
      <c r="E429" s="103" t="s">
        <v>1390</v>
      </c>
      <c r="F429" s="103" t="n">
        <v>716962586</v>
      </c>
      <c r="G429" s="103" t="s">
        <v>533</v>
      </c>
      <c r="H429" s="103" t="s">
        <v>174</v>
      </c>
      <c r="I429" s="103" t="n">
        <v>10</v>
      </c>
      <c r="J429" s="103" t="s">
        <v>350</v>
      </c>
      <c r="K429" s="103" t="n">
        <v>0</v>
      </c>
      <c r="L429" s="103" t="n">
        <v>0</v>
      </c>
      <c r="M429" s="103" t="n">
        <v>0</v>
      </c>
      <c r="N429" s="103" t="n">
        <v>50</v>
      </c>
      <c r="O429" s="103" t="n">
        <v>0</v>
      </c>
      <c r="P429" s="103" t="n">
        <v>0</v>
      </c>
      <c r="Q429" s="103" t="n">
        <v>0</v>
      </c>
      <c r="R429" s="103" t="n">
        <v>0</v>
      </c>
      <c r="S429" s="103"/>
      <c r="T429" s="103" t="n">
        <v>50</v>
      </c>
      <c r="U429" s="103" t="s">
        <v>177</v>
      </c>
      <c r="V429" s="103" t="n">
        <v>500</v>
      </c>
      <c r="W429" s="103" t="n">
        <f aca="false">DATA_PIPELINE!$K429</f>
        <v>0</v>
      </c>
      <c r="X429" s="103" t="n">
        <f aca="false">DATA_PIPELINE!$V429-DATA_PIPELINE!$W429</f>
        <v>500</v>
      </c>
      <c r="Y429" s="103" t="str">
        <f aca="false">IF(DATA_PIPELINE!$X429=0,"Paid",IF(DATA_PIPELINE!$W429=0,"Unpaid","Partly Paid"))</f>
        <v>Unpaid</v>
      </c>
    </row>
    <row r="430" customFormat="false" ht="15" hidden="false" customHeight="true" outlineLevel="0" collapsed="false">
      <c r="A430" s="103" t="n">
        <v>425</v>
      </c>
      <c r="B430" s="103" t="s">
        <v>1391</v>
      </c>
      <c r="C430" s="103" t="s">
        <v>858</v>
      </c>
      <c r="D430" s="103" t="s">
        <v>803</v>
      </c>
      <c r="E430" s="103" t="s">
        <v>1392</v>
      </c>
      <c r="F430" s="103" t="n">
        <v>784444208</v>
      </c>
      <c r="G430" s="103" t="s">
        <v>533</v>
      </c>
      <c r="H430" s="103" t="s">
        <v>174</v>
      </c>
      <c r="I430" s="103" t="n">
        <v>16</v>
      </c>
      <c r="J430" s="103" t="s">
        <v>350</v>
      </c>
      <c r="K430" s="103" t="n">
        <v>0</v>
      </c>
      <c r="L430" s="103" t="n">
        <v>0</v>
      </c>
      <c r="M430" s="103" t="n">
        <v>0</v>
      </c>
      <c r="N430" s="103" t="n">
        <v>20</v>
      </c>
      <c r="O430" s="103" t="n">
        <v>0</v>
      </c>
      <c r="P430" s="103" t="n">
        <v>0</v>
      </c>
      <c r="Q430" s="103" t="n">
        <v>0</v>
      </c>
      <c r="R430" s="103" t="n">
        <v>0</v>
      </c>
      <c r="S430" s="103"/>
      <c r="T430" s="103" t="n">
        <v>20</v>
      </c>
      <c r="U430" s="103" t="s">
        <v>177</v>
      </c>
      <c r="V430" s="103" t="n">
        <v>500</v>
      </c>
      <c r="W430" s="103" t="n">
        <f aca="false">DATA_PIPELINE!$K430</f>
        <v>0</v>
      </c>
      <c r="X430" s="103" t="n">
        <f aca="false">DATA_PIPELINE!$V430-DATA_PIPELINE!$W430</f>
        <v>500</v>
      </c>
      <c r="Y430" s="103" t="str">
        <f aca="false">IF(DATA_PIPELINE!$X430=0,"Paid",IF(DATA_PIPELINE!$W430=0,"Unpaid","Partly Paid"))</f>
        <v>Unpaid</v>
      </c>
    </row>
    <row r="431" customFormat="false" ht="15" hidden="false" customHeight="true" outlineLevel="0" collapsed="false">
      <c r="A431" s="103" t="n">
        <v>426</v>
      </c>
      <c r="B431" s="103" t="s">
        <v>1393</v>
      </c>
      <c r="C431" s="103" t="s">
        <v>1394</v>
      </c>
      <c r="D431" s="103" t="s">
        <v>803</v>
      </c>
      <c r="E431" s="103" t="s">
        <v>1395</v>
      </c>
      <c r="F431" s="103" t="n">
        <v>785327125</v>
      </c>
      <c r="G431" s="103" t="s">
        <v>533</v>
      </c>
      <c r="H431" s="103" t="s">
        <v>174</v>
      </c>
      <c r="I431" s="103" t="n">
        <v>10</v>
      </c>
      <c r="J431" s="103" t="s">
        <v>350</v>
      </c>
      <c r="K431" s="103" t="n">
        <v>0</v>
      </c>
      <c r="L431" s="103" t="n">
        <v>0</v>
      </c>
      <c r="M431" s="103" t="n">
        <v>0</v>
      </c>
      <c r="N431" s="103" t="n">
        <v>20</v>
      </c>
      <c r="O431" s="103" t="n">
        <v>0</v>
      </c>
      <c r="P431" s="103" t="n">
        <v>0</v>
      </c>
      <c r="Q431" s="103" t="n">
        <v>0</v>
      </c>
      <c r="R431" s="103" t="n">
        <v>0</v>
      </c>
      <c r="S431" s="103"/>
      <c r="T431" s="103" t="n">
        <v>20</v>
      </c>
      <c r="U431" s="103" t="s">
        <v>177</v>
      </c>
      <c r="V431" s="103" t="n">
        <v>500</v>
      </c>
      <c r="W431" s="103" t="n">
        <f aca="false">DATA_PIPELINE!$K431</f>
        <v>0</v>
      </c>
      <c r="X431" s="103" t="n">
        <f aca="false">DATA_PIPELINE!$V431-DATA_PIPELINE!$W431</f>
        <v>500</v>
      </c>
      <c r="Y431" s="103" t="str">
        <f aca="false">IF(DATA_PIPELINE!$X431=0,"Paid",IF(DATA_PIPELINE!$W431=0,"Unpaid","Partly Paid"))</f>
        <v>Unpaid</v>
      </c>
    </row>
    <row r="432" customFormat="false" ht="15" hidden="false" customHeight="true" outlineLevel="0" collapsed="false">
      <c r="A432" s="103" t="n">
        <v>427</v>
      </c>
      <c r="B432" s="103" t="s">
        <v>1396</v>
      </c>
      <c r="C432" s="103" t="s">
        <v>1397</v>
      </c>
      <c r="D432" s="103" t="s">
        <v>914</v>
      </c>
      <c r="E432" s="103" t="s">
        <v>1398</v>
      </c>
      <c r="F432" s="103" t="n">
        <v>773648719</v>
      </c>
      <c r="G432" s="103" t="s">
        <v>533</v>
      </c>
      <c r="H432" s="103" t="s">
        <v>174</v>
      </c>
      <c r="I432" s="103" t="n">
        <v>10</v>
      </c>
      <c r="J432" s="103" t="s">
        <v>350</v>
      </c>
      <c r="K432" s="103" t="n">
        <v>0</v>
      </c>
      <c r="L432" s="103" t="n">
        <v>0</v>
      </c>
      <c r="M432" s="103" t="n">
        <v>0</v>
      </c>
      <c r="N432" s="103" t="n">
        <v>20</v>
      </c>
      <c r="O432" s="103" t="n">
        <v>0</v>
      </c>
      <c r="P432" s="103" t="n">
        <v>0</v>
      </c>
      <c r="Q432" s="103" t="n">
        <v>0</v>
      </c>
      <c r="R432" s="103" t="n">
        <v>0</v>
      </c>
      <c r="S432" s="103"/>
      <c r="T432" s="103" t="n">
        <v>20</v>
      </c>
      <c r="U432" s="103" t="s">
        <v>177</v>
      </c>
      <c r="V432" s="103" t="n">
        <v>500</v>
      </c>
      <c r="W432" s="103" t="n">
        <f aca="false">DATA_PIPELINE!$K432</f>
        <v>0</v>
      </c>
      <c r="X432" s="103" t="n">
        <f aca="false">DATA_PIPELINE!$V432-DATA_PIPELINE!$W432</f>
        <v>500</v>
      </c>
      <c r="Y432" s="103" t="str">
        <f aca="false">IF(DATA_PIPELINE!$X432=0,"Paid",IF(DATA_PIPELINE!$W432=0,"Unpaid","Partly Paid"))</f>
        <v>Unpaid</v>
      </c>
    </row>
    <row r="433" customFormat="false" ht="15" hidden="false" customHeight="true" outlineLevel="0" collapsed="false">
      <c r="A433" s="103" t="n">
        <v>428</v>
      </c>
      <c r="B433" s="103" t="s">
        <v>1399</v>
      </c>
      <c r="C433" s="103" t="s">
        <v>1400</v>
      </c>
      <c r="D433" s="103" t="s">
        <v>803</v>
      </c>
      <c r="E433" s="103" t="s">
        <v>1401</v>
      </c>
      <c r="F433" s="103" t="n">
        <v>714857896</v>
      </c>
      <c r="G433" s="103" t="s">
        <v>533</v>
      </c>
      <c r="H433" s="103" t="s">
        <v>174</v>
      </c>
      <c r="I433" s="103" t="n">
        <v>10</v>
      </c>
      <c r="J433" s="103" t="s">
        <v>350</v>
      </c>
      <c r="K433" s="103" t="n">
        <v>0</v>
      </c>
      <c r="L433" s="103" t="n">
        <v>0</v>
      </c>
      <c r="M433" s="103" t="n">
        <v>0</v>
      </c>
      <c r="N433" s="103" t="n">
        <v>10</v>
      </c>
      <c r="O433" s="103" t="n">
        <v>0</v>
      </c>
      <c r="P433" s="103" t="n">
        <v>0</v>
      </c>
      <c r="Q433" s="103" t="n">
        <v>0</v>
      </c>
      <c r="R433" s="103" t="n">
        <v>0</v>
      </c>
      <c r="S433" s="103"/>
      <c r="T433" s="103" t="n">
        <v>10</v>
      </c>
      <c r="U433" s="103" t="s">
        <v>177</v>
      </c>
      <c r="V433" s="103" t="n">
        <v>500</v>
      </c>
      <c r="W433" s="103" t="n">
        <f aca="false">DATA_PIPELINE!$K433</f>
        <v>0</v>
      </c>
      <c r="X433" s="103" t="n">
        <f aca="false">DATA_PIPELINE!$V433-DATA_PIPELINE!$W433</f>
        <v>500</v>
      </c>
      <c r="Y433" s="103" t="str">
        <f aca="false">IF(DATA_PIPELINE!$X433=0,"Paid",IF(DATA_PIPELINE!$W433=0,"Unpaid","Partly Paid"))</f>
        <v>Unpaid</v>
      </c>
    </row>
    <row r="434" customFormat="false" ht="15" hidden="false" customHeight="true" outlineLevel="0" collapsed="false">
      <c r="A434" s="103" t="n">
        <v>429</v>
      </c>
      <c r="B434" s="103" t="s">
        <v>1402</v>
      </c>
      <c r="C434" s="103" t="s">
        <v>1403</v>
      </c>
      <c r="D434" s="103" t="s">
        <v>803</v>
      </c>
      <c r="E434" s="103" t="s">
        <v>1404</v>
      </c>
      <c r="F434" s="103" t="n">
        <v>776175224</v>
      </c>
      <c r="G434" s="103" t="s">
        <v>533</v>
      </c>
      <c r="H434" s="103" t="s">
        <v>174</v>
      </c>
      <c r="I434" s="103" t="n">
        <v>10</v>
      </c>
      <c r="J434" s="103" t="s">
        <v>350</v>
      </c>
      <c r="K434" s="103" t="n">
        <v>0</v>
      </c>
      <c r="L434" s="103" t="n">
        <v>0</v>
      </c>
      <c r="M434" s="103" t="n">
        <v>0</v>
      </c>
      <c r="N434" s="103" t="n">
        <v>10</v>
      </c>
      <c r="O434" s="103" t="n">
        <v>0</v>
      </c>
      <c r="P434" s="103" t="n">
        <v>0</v>
      </c>
      <c r="Q434" s="103" t="n">
        <v>0</v>
      </c>
      <c r="R434" s="103" t="n">
        <v>0</v>
      </c>
      <c r="S434" s="103"/>
      <c r="T434" s="103" t="n">
        <v>10</v>
      </c>
      <c r="U434" s="103" t="s">
        <v>177</v>
      </c>
      <c r="V434" s="103" t="n">
        <v>500</v>
      </c>
      <c r="W434" s="103" t="n">
        <f aca="false">DATA_PIPELINE!$K434</f>
        <v>0</v>
      </c>
      <c r="X434" s="103" t="n">
        <f aca="false">DATA_PIPELINE!$V434-DATA_PIPELINE!$W434</f>
        <v>500</v>
      </c>
      <c r="Y434" s="103" t="str">
        <f aca="false">IF(DATA_PIPELINE!$X434=0,"Paid",IF(DATA_PIPELINE!$W434=0,"Unpaid","Partly Paid"))</f>
        <v>Unpaid</v>
      </c>
    </row>
    <row r="435" customFormat="false" ht="15" hidden="false" customHeight="true" outlineLevel="0" collapsed="false">
      <c r="A435" s="103" t="n">
        <v>430</v>
      </c>
      <c r="B435" s="103" t="s">
        <v>1405</v>
      </c>
      <c r="C435" s="103" t="s">
        <v>1406</v>
      </c>
      <c r="D435" s="103" t="s">
        <v>803</v>
      </c>
      <c r="E435" s="103" t="s">
        <v>1407</v>
      </c>
      <c r="F435" s="103" t="n">
        <v>784558222</v>
      </c>
      <c r="G435" s="103" t="s">
        <v>533</v>
      </c>
      <c r="H435" s="103" t="s">
        <v>174</v>
      </c>
      <c r="I435" s="103" t="n">
        <v>16</v>
      </c>
      <c r="J435" s="103" t="s">
        <v>350</v>
      </c>
      <c r="K435" s="103" t="n">
        <v>0</v>
      </c>
      <c r="L435" s="103" t="n">
        <v>0</v>
      </c>
      <c r="M435" s="103" t="n">
        <v>0</v>
      </c>
      <c r="N435" s="103" t="n">
        <v>10</v>
      </c>
      <c r="O435" s="103" t="n">
        <v>0</v>
      </c>
      <c r="P435" s="103" t="n">
        <v>0</v>
      </c>
      <c r="Q435" s="103" t="n">
        <v>0</v>
      </c>
      <c r="R435" s="103" t="n">
        <v>0</v>
      </c>
      <c r="S435" s="103"/>
      <c r="T435" s="103" t="n">
        <v>10</v>
      </c>
      <c r="U435" s="103" t="s">
        <v>177</v>
      </c>
      <c r="V435" s="103" t="n">
        <v>500</v>
      </c>
      <c r="W435" s="103" t="n">
        <f aca="false">DATA_PIPELINE!$K435</f>
        <v>0</v>
      </c>
      <c r="X435" s="103" t="n">
        <f aca="false">DATA_PIPELINE!$V435-DATA_PIPELINE!$W435</f>
        <v>500</v>
      </c>
      <c r="Y435" s="103" t="str">
        <f aca="false">IF(DATA_PIPELINE!$X435=0,"Paid",IF(DATA_PIPELINE!$W435=0,"Unpaid","Partly Paid"))</f>
        <v>Unpaid</v>
      </c>
    </row>
    <row r="436" customFormat="false" ht="15" hidden="false" customHeight="true" outlineLevel="0" collapsed="false">
      <c r="A436" s="103" t="n">
        <v>431</v>
      </c>
      <c r="B436" s="103" t="s">
        <v>1408</v>
      </c>
      <c r="C436" s="103" t="s">
        <v>1409</v>
      </c>
      <c r="D436" s="103" t="s">
        <v>803</v>
      </c>
      <c r="E436" s="103" t="s">
        <v>1410</v>
      </c>
      <c r="F436" s="103" t="n">
        <v>779517522</v>
      </c>
      <c r="G436" s="103" t="s">
        <v>533</v>
      </c>
      <c r="H436" s="103" t="s">
        <v>174</v>
      </c>
      <c r="I436" s="103" t="n">
        <v>10</v>
      </c>
      <c r="J436" s="103" t="s">
        <v>350</v>
      </c>
      <c r="K436" s="103" t="n">
        <v>0</v>
      </c>
      <c r="L436" s="103" t="n">
        <v>0</v>
      </c>
      <c r="M436" s="103" t="n">
        <v>0</v>
      </c>
      <c r="N436" s="103" t="n">
        <v>15</v>
      </c>
      <c r="O436" s="103" t="n">
        <v>0</v>
      </c>
      <c r="P436" s="103" t="n">
        <v>0</v>
      </c>
      <c r="Q436" s="103" t="n">
        <v>0</v>
      </c>
      <c r="R436" s="103" t="n">
        <v>0</v>
      </c>
      <c r="S436" s="103"/>
      <c r="T436" s="103" t="n">
        <v>15</v>
      </c>
      <c r="U436" s="103" t="s">
        <v>177</v>
      </c>
      <c r="V436" s="103" t="n">
        <v>500</v>
      </c>
      <c r="W436" s="103" t="n">
        <f aca="false">DATA_PIPELINE!$K436</f>
        <v>0</v>
      </c>
      <c r="X436" s="103" t="n">
        <f aca="false">DATA_PIPELINE!$V436-DATA_PIPELINE!$W436</f>
        <v>500</v>
      </c>
      <c r="Y436" s="103" t="str">
        <f aca="false">IF(DATA_PIPELINE!$X436=0,"Paid",IF(DATA_PIPELINE!$W436=0,"Unpaid","Partly Paid"))</f>
        <v>Unpaid</v>
      </c>
    </row>
    <row r="437" customFormat="false" ht="15" hidden="false" customHeight="true" outlineLevel="0" collapsed="false">
      <c r="A437" s="103" t="n">
        <v>432</v>
      </c>
      <c r="B437" s="103" t="s">
        <v>1411</v>
      </c>
      <c r="C437" s="103" t="s">
        <v>1412</v>
      </c>
      <c r="D437" s="103" t="s">
        <v>803</v>
      </c>
      <c r="E437" s="103" t="s">
        <v>1413</v>
      </c>
      <c r="F437" s="103" t="n">
        <v>789654783</v>
      </c>
      <c r="G437" s="103" t="s">
        <v>533</v>
      </c>
      <c r="H437" s="103" t="s">
        <v>174</v>
      </c>
      <c r="I437" s="103" t="n">
        <v>2</v>
      </c>
      <c r="J437" s="103" t="s">
        <v>350</v>
      </c>
      <c r="K437" s="103" t="n">
        <v>0</v>
      </c>
      <c r="L437" s="103" t="n">
        <v>0</v>
      </c>
      <c r="M437" s="103" t="n">
        <v>0</v>
      </c>
      <c r="N437" s="103" t="n">
        <v>10</v>
      </c>
      <c r="O437" s="103" t="n">
        <v>0</v>
      </c>
      <c r="P437" s="103" t="n">
        <v>0</v>
      </c>
      <c r="Q437" s="103" t="n">
        <v>0</v>
      </c>
      <c r="R437" s="103" t="n">
        <v>0</v>
      </c>
      <c r="S437" s="103"/>
      <c r="T437" s="103" t="n">
        <v>10</v>
      </c>
      <c r="U437" s="103" t="s">
        <v>177</v>
      </c>
      <c r="V437" s="103" t="n">
        <v>500</v>
      </c>
      <c r="W437" s="103" t="n">
        <f aca="false">DATA_PIPELINE!$K437</f>
        <v>0</v>
      </c>
      <c r="X437" s="103" t="n">
        <f aca="false">DATA_PIPELINE!$V437-DATA_PIPELINE!$W437</f>
        <v>500</v>
      </c>
      <c r="Y437" s="103" t="str">
        <f aca="false">IF(DATA_PIPELINE!$X437=0,"Paid",IF(DATA_PIPELINE!$W437=0,"Unpaid","Partly Paid"))</f>
        <v>Unpaid</v>
      </c>
    </row>
    <row r="438" customFormat="false" ht="15" hidden="false" customHeight="true" outlineLevel="0" collapsed="false">
      <c r="A438" s="103" t="n">
        <v>433</v>
      </c>
      <c r="B438" s="103" t="s">
        <v>1414</v>
      </c>
      <c r="C438" s="103" t="s">
        <v>1415</v>
      </c>
      <c r="D438" s="103" t="s">
        <v>531</v>
      </c>
      <c r="E438" s="103" t="s">
        <v>1416</v>
      </c>
      <c r="F438" s="103" t="n">
        <v>715964076</v>
      </c>
      <c r="G438" s="103" t="s">
        <v>533</v>
      </c>
      <c r="H438" s="103" t="s">
        <v>174</v>
      </c>
      <c r="I438" s="103" t="n">
        <v>10</v>
      </c>
      <c r="J438" s="103" t="s">
        <v>350</v>
      </c>
      <c r="K438" s="103" t="n">
        <v>0</v>
      </c>
      <c r="L438" s="103" t="n">
        <v>0</v>
      </c>
      <c r="M438" s="103" t="n">
        <v>0</v>
      </c>
      <c r="N438" s="103" t="n">
        <v>20</v>
      </c>
      <c r="O438" s="103" t="n">
        <v>0</v>
      </c>
      <c r="P438" s="103" t="n">
        <v>0</v>
      </c>
      <c r="Q438" s="103" t="n">
        <v>0</v>
      </c>
      <c r="R438" s="103" t="n">
        <v>0</v>
      </c>
      <c r="S438" s="103"/>
      <c r="T438" s="103" t="n">
        <v>20</v>
      </c>
      <c r="U438" s="103" t="s">
        <v>177</v>
      </c>
      <c r="V438" s="103" t="n">
        <v>500</v>
      </c>
      <c r="W438" s="103" t="n">
        <f aca="false">DATA_PIPELINE!$K438</f>
        <v>0</v>
      </c>
      <c r="X438" s="103" t="n">
        <f aca="false">DATA_PIPELINE!$V438-DATA_PIPELINE!$W438</f>
        <v>500</v>
      </c>
      <c r="Y438" s="103" t="str">
        <f aca="false">IF(DATA_PIPELINE!$X438=0,"Paid",IF(DATA_PIPELINE!$W438=0,"Unpaid","Partly Paid"))</f>
        <v>Unpaid</v>
      </c>
    </row>
    <row r="439" customFormat="false" ht="15" hidden="false" customHeight="true" outlineLevel="0" collapsed="false">
      <c r="A439" s="103" t="n">
        <v>434</v>
      </c>
      <c r="B439" s="103" t="s">
        <v>1417</v>
      </c>
      <c r="C439" s="103" t="s">
        <v>1418</v>
      </c>
      <c r="D439" s="103" t="s">
        <v>803</v>
      </c>
      <c r="E439" s="103" t="s">
        <v>1419</v>
      </c>
      <c r="F439" s="103" t="n">
        <v>783539763</v>
      </c>
      <c r="G439" s="103" t="s">
        <v>533</v>
      </c>
      <c r="H439" s="103" t="s">
        <v>174</v>
      </c>
      <c r="I439" s="103" t="n">
        <v>16</v>
      </c>
      <c r="J439" s="103" t="s">
        <v>350</v>
      </c>
      <c r="K439" s="103" t="n">
        <v>0</v>
      </c>
      <c r="L439" s="103" t="n">
        <v>0</v>
      </c>
      <c r="M439" s="103" t="n">
        <v>0</v>
      </c>
      <c r="N439" s="103" t="n">
        <v>10</v>
      </c>
      <c r="O439" s="103" t="n">
        <v>0</v>
      </c>
      <c r="P439" s="103" t="n">
        <v>0</v>
      </c>
      <c r="Q439" s="103" t="n">
        <v>0</v>
      </c>
      <c r="R439" s="103" t="n">
        <v>0</v>
      </c>
      <c r="S439" s="103"/>
      <c r="T439" s="103" t="n">
        <v>10</v>
      </c>
      <c r="U439" s="103" t="s">
        <v>177</v>
      </c>
      <c r="V439" s="103" t="n">
        <v>500</v>
      </c>
      <c r="W439" s="103" t="n">
        <f aca="false">DATA_PIPELINE!$K439</f>
        <v>0</v>
      </c>
      <c r="X439" s="103" t="n">
        <f aca="false">DATA_PIPELINE!$V439-DATA_PIPELINE!$W439</f>
        <v>500</v>
      </c>
      <c r="Y439" s="103" t="str">
        <f aca="false">IF(DATA_PIPELINE!$X439=0,"Paid",IF(DATA_PIPELINE!$W439=0,"Unpaid","Partly Paid"))</f>
        <v>Unpaid</v>
      </c>
    </row>
    <row r="440" customFormat="false" ht="15" hidden="false" customHeight="true" outlineLevel="0" collapsed="false">
      <c r="A440" s="103" t="n">
        <v>435</v>
      </c>
      <c r="B440" s="103" t="s">
        <v>1420</v>
      </c>
      <c r="C440" s="103" t="s">
        <v>1421</v>
      </c>
      <c r="D440" s="103" t="s">
        <v>803</v>
      </c>
      <c r="E440" s="103" t="s">
        <v>1422</v>
      </c>
      <c r="F440" s="103" t="n">
        <v>777390616</v>
      </c>
      <c r="G440" s="103" t="s">
        <v>533</v>
      </c>
      <c r="H440" s="103" t="s">
        <v>174</v>
      </c>
      <c r="I440" s="103" t="n">
        <v>10</v>
      </c>
      <c r="J440" s="103" t="s">
        <v>350</v>
      </c>
      <c r="K440" s="103" t="n">
        <v>0</v>
      </c>
      <c r="L440" s="103" t="n">
        <v>0</v>
      </c>
      <c r="M440" s="103" t="n">
        <v>0</v>
      </c>
      <c r="N440" s="103" t="n">
        <v>10</v>
      </c>
      <c r="O440" s="103" t="n">
        <v>0</v>
      </c>
      <c r="P440" s="103" t="n">
        <v>0</v>
      </c>
      <c r="Q440" s="103" t="n">
        <v>0</v>
      </c>
      <c r="R440" s="103" t="n">
        <v>0</v>
      </c>
      <c r="S440" s="103"/>
      <c r="T440" s="103" t="n">
        <v>10</v>
      </c>
      <c r="U440" s="103" t="s">
        <v>177</v>
      </c>
      <c r="V440" s="103" t="n">
        <v>500</v>
      </c>
      <c r="W440" s="103" t="n">
        <f aca="false">DATA_PIPELINE!$K440</f>
        <v>0</v>
      </c>
      <c r="X440" s="103" t="n">
        <f aca="false">DATA_PIPELINE!$V440-DATA_PIPELINE!$W440</f>
        <v>500</v>
      </c>
      <c r="Y440" s="103" t="str">
        <f aca="false">IF(DATA_PIPELINE!$X440=0,"Paid",IF(DATA_PIPELINE!$W440=0,"Unpaid","Partly Paid"))</f>
        <v>Unpaid</v>
      </c>
    </row>
    <row r="441" customFormat="false" ht="15" hidden="false" customHeight="true" outlineLevel="0" collapsed="false">
      <c r="A441" s="103" t="n">
        <v>436</v>
      </c>
      <c r="B441" s="103" t="s">
        <v>1423</v>
      </c>
      <c r="C441" s="103" t="s">
        <v>1424</v>
      </c>
      <c r="D441" s="103" t="s">
        <v>1209</v>
      </c>
      <c r="E441" s="103" t="s">
        <v>1425</v>
      </c>
      <c r="F441" s="103" t="n">
        <v>713689739</v>
      </c>
      <c r="G441" s="103" t="s">
        <v>533</v>
      </c>
      <c r="H441" s="103" t="s">
        <v>174</v>
      </c>
      <c r="I441" s="103" t="n">
        <v>10</v>
      </c>
      <c r="J441" s="103" t="s">
        <v>350</v>
      </c>
      <c r="K441" s="103" t="n">
        <v>0</v>
      </c>
      <c r="L441" s="103" t="n">
        <v>0</v>
      </c>
      <c r="M441" s="103" t="n">
        <v>0</v>
      </c>
      <c r="N441" s="103" t="n">
        <v>5</v>
      </c>
      <c r="O441" s="103" t="n">
        <v>0</v>
      </c>
      <c r="P441" s="103" t="n">
        <v>0</v>
      </c>
      <c r="Q441" s="103" t="n">
        <v>0</v>
      </c>
      <c r="R441" s="103" t="n">
        <v>0</v>
      </c>
      <c r="S441" s="103"/>
      <c r="T441" s="103" t="n">
        <v>5</v>
      </c>
      <c r="U441" s="103" t="s">
        <v>177</v>
      </c>
      <c r="V441" s="103" t="n">
        <v>500</v>
      </c>
      <c r="W441" s="103" t="n">
        <f aca="false">DATA_PIPELINE!$K441</f>
        <v>0</v>
      </c>
      <c r="X441" s="103" t="n">
        <f aca="false">DATA_PIPELINE!$V441-DATA_PIPELINE!$W441</f>
        <v>500</v>
      </c>
      <c r="Y441" s="103" t="str">
        <f aca="false">IF(DATA_PIPELINE!$X441=0,"Paid",IF(DATA_PIPELINE!$W441=0,"Unpaid","Partly Paid"))</f>
        <v>Unpaid</v>
      </c>
    </row>
    <row r="442" customFormat="false" ht="15" hidden="false" customHeight="true" outlineLevel="0" collapsed="false">
      <c r="A442" s="103" t="n">
        <v>437</v>
      </c>
      <c r="B442" s="103" t="s">
        <v>1426</v>
      </c>
      <c r="C442" s="103" t="s">
        <v>1424</v>
      </c>
      <c r="D442" s="103" t="s">
        <v>1209</v>
      </c>
      <c r="E442" s="103" t="s">
        <v>1427</v>
      </c>
      <c r="F442" s="103" t="n">
        <v>713618566</v>
      </c>
      <c r="G442" s="103" t="s">
        <v>533</v>
      </c>
      <c r="H442" s="103" t="s">
        <v>174</v>
      </c>
      <c r="I442" s="103" t="n">
        <v>1</v>
      </c>
      <c r="J442" s="103" t="s">
        <v>350</v>
      </c>
      <c r="K442" s="103" t="n">
        <v>0</v>
      </c>
      <c r="L442" s="103" t="n">
        <v>0</v>
      </c>
      <c r="M442" s="103" t="n">
        <v>0</v>
      </c>
      <c r="N442" s="103" t="n">
        <v>2</v>
      </c>
      <c r="O442" s="103" t="n">
        <v>0</v>
      </c>
      <c r="P442" s="103" t="n">
        <v>0</v>
      </c>
      <c r="Q442" s="103" t="n">
        <v>0</v>
      </c>
      <c r="R442" s="103" t="n">
        <v>0</v>
      </c>
      <c r="S442" s="103"/>
      <c r="T442" s="103" t="n">
        <v>2</v>
      </c>
      <c r="U442" s="103" t="s">
        <v>177</v>
      </c>
      <c r="V442" s="103" t="n">
        <v>500</v>
      </c>
      <c r="W442" s="103" t="n">
        <f aca="false">DATA_PIPELINE!$K442</f>
        <v>0</v>
      </c>
      <c r="X442" s="103" t="n">
        <f aca="false">DATA_PIPELINE!$V442-DATA_PIPELINE!$W442</f>
        <v>500</v>
      </c>
      <c r="Y442" s="103" t="str">
        <f aca="false">IF(DATA_PIPELINE!$X442=0,"Paid",IF(DATA_PIPELINE!$W442=0,"Unpaid","Partly Paid"))</f>
        <v>Unpaid</v>
      </c>
    </row>
    <row r="443" customFormat="false" ht="15" hidden="false" customHeight="true" outlineLevel="0" collapsed="false">
      <c r="A443" s="103" t="n">
        <v>438</v>
      </c>
      <c r="B443" s="103" t="s">
        <v>1428</v>
      </c>
      <c r="C443" s="103" t="s">
        <v>776</v>
      </c>
      <c r="D443" s="103" t="s">
        <v>1209</v>
      </c>
      <c r="E443" s="103" t="s">
        <v>1429</v>
      </c>
      <c r="F443" s="103" t="n">
        <v>718009525</v>
      </c>
      <c r="G443" s="103" t="s">
        <v>533</v>
      </c>
      <c r="H443" s="103" t="s">
        <v>174</v>
      </c>
      <c r="I443" s="103" t="n">
        <v>1</v>
      </c>
      <c r="J443" s="103" t="s">
        <v>350</v>
      </c>
      <c r="K443" s="103" t="n">
        <v>0</v>
      </c>
      <c r="L443" s="103" t="n">
        <v>0</v>
      </c>
      <c r="M443" s="103" t="n">
        <v>0</v>
      </c>
      <c r="N443" s="103" t="n">
        <v>20</v>
      </c>
      <c r="O443" s="103" t="n">
        <v>0</v>
      </c>
      <c r="P443" s="103" t="n">
        <v>0</v>
      </c>
      <c r="Q443" s="103" t="n">
        <v>0</v>
      </c>
      <c r="R443" s="103" t="n">
        <v>0</v>
      </c>
      <c r="S443" s="103"/>
      <c r="T443" s="103" t="n">
        <v>20</v>
      </c>
      <c r="U443" s="103" t="s">
        <v>177</v>
      </c>
      <c r="V443" s="103" t="n">
        <v>500</v>
      </c>
      <c r="W443" s="103" t="n">
        <f aca="false">DATA_PIPELINE!$K443</f>
        <v>0</v>
      </c>
      <c r="X443" s="103" t="n">
        <f aca="false">DATA_PIPELINE!$V443-DATA_PIPELINE!$W443</f>
        <v>500</v>
      </c>
      <c r="Y443" s="103" t="str">
        <f aca="false">IF(DATA_PIPELINE!$X443=0,"Paid",IF(DATA_PIPELINE!$W443=0,"Unpaid","Partly Paid"))</f>
        <v>Unpaid</v>
      </c>
    </row>
    <row r="444" customFormat="false" ht="15" hidden="false" customHeight="true" outlineLevel="0" collapsed="false">
      <c r="A444" s="103" t="n">
        <v>439</v>
      </c>
      <c r="B444" s="103" t="s">
        <v>1430</v>
      </c>
      <c r="C444" s="103" t="s">
        <v>776</v>
      </c>
      <c r="D444" s="103" t="s">
        <v>1209</v>
      </c>
      <c r="E444" s="103" t="s">
        <v>1431</v>
      </c>
      <c r="F444" s="103" t="n">
        <v>717156475</v>
      </c>
      <c r="G444" s="103" t="s">
        <v>533</v>
      </c>
      <c r="H444" s="103" t="s">
        <v>174</v>
      </c>
      <c r="I444" s="103" t="n">
        <v>1</v>
      </c>
      <c r="J444" s="103" t="s">
        <v>350</v>
      </c>
      <c r="K444" s="103" t="n">
        <v>0</v>
      </c>
      <c r="L444" s="103" t="n">
        <v>0</v>
      </c>
      <c r="M444" s="103" t="n">
        <v>0</v>
      </c>
      <c r="N444" s="103" t="n">
        <v>4</v>
      </c>
      <c r="O444" s="103" t="n">
        <v>0</v>
      </c>
      <c r="P444" s="103" t="n">
        <v>0</v>
      </c>
      <c r="Q444" s="103" t="n">
        <v>0</v>
      </c>
      <c r="R444" s="103" t="n">
        <v>0</v>
      </c>
      <c r="S444" s="103"/>
      <c r="T444" s="103" t="n">
        <v>4</v>
      </c>
      <c r="U444" s="103" t="s">
        <v>177</v>
      </c>
      <c r="V444" s="103" t="n">
        <v>500</v>
      </c>
      <c r="W444" s="103" t="n">
        <f aca="false">DATA_PIPELINE!$K444</f>
        <v>0</v>
      </c>
      <c r="X444" s="103" t="n">
        <f aca="false">DATA_PIPELINE!$V444-DATA_PIPELINE!$W444</f>
        <v>500</v>
      </c>
      <c r="Y444" s="103" t="str">
        <f aca="false">IF(DATA_PIPELINE!$X444=0,"Paid",IF(DATA_PIPELINE!$W444=0,"Unpaid","Partly Paid"))</f>
        <v>Unpaid</v>
      </c>
    </row>
    <row r="445" customFormat="false" ht="15" hidden="false" customHeight="true" outlineLevel="0" collapsed="false">
      <c r="A445" s="103" t="n">
        <v>440</v>
      </c>
      <c r="B445" s="103" t="s">
        <v>1432</v>
      </c>
      <c r="C445" s="103" t="s">
        <v>1433</v>
      </c>
      <c r="D445" s="103" t="s">
        <v>803</v>
      </c>
      <c r="E445" s="103" t="s">
        <v>1434</v>
      </c>
      <c r="F445" s="103" t="n">
        <v>715426013</v>
      </c>
      <c r="G445" s="103" t="s">
        <v>533</v>
      </c>
      <c r="H445" s="103" t="s">
        <v>174</v>
      </c>
      <c r="I445" s="103" t="n">
        <v>1</v>
      </c>
      <c r="J445" s="103" t="s">
        <v>350</v>
      </c>
      <c r="K445" s="103" t="n">
        <v>0</v>
      </c>
      <c r="L445" s="103" t="n">
        <v>0</v>
      </c>
      <c r="M445" s="103" t="n">
        <v>0</v>
      </c>
      <c r="N445" s="103" t="n">
        <v>5</v>
      </c>
      <c r="O445" s="103" t="n">
        <v>0</v>
      </c>
      <c r="P445" s="103" t="n">
        <v>0</v>
      </c>
      <c r="Q445" s="103" t="n">
        <v>0</v>
      </c>
      <c r="R445" s="103" t="n">
        <v>0</v>
      </c>
      <c r="S445" s="103"/>
      <c r="T445" s="103" t="n">
        <v>5</v>
      </c>
      <c r="U445" s="103" t="s">
        <v>177</v>
      </c>
      <c r="V445" s="103" t="n">
        <v>500</v>
      </c>
      <c r="W445" s="103" t="n">
        <f aca="false">DATA_PIPELINE!$K445</f>
        <v>0</v>
      </c>
      <c r="X445" s="103" t="n">
        <f aca="false">DATA_PIPELINE!$V445-DATA_PIPELINE!$W445</f>
        <v>500</v>
      </c>
      <c r="Y445" s="103" t="str">
        <f aca="false">IF(DATA_PIPELINE!$X445=0,"Paid",IF(DATA_PIPELINE!$W445=0,"Unpaid","Partly Paid"))</f>
        <v>Unpaid</v>
      </c>
    </row>
    <row r="446" customFormat="false" ht="15" hidden="false" customHeight="true" outlineLevel="0" collapsed="false">
      <c r="A446" s="103" t="n">
        <v>441</v>
      </c>
      <c r="B446" s="103" t="s">
        <v>1435</v>
      </c>
      <c r="C446" s="103" t="s">
        <v>1436</v>
      </c>
      <c r="D446" s="103" t="s">
        <v>803</v>
      </c>
      <c r="E446" s="103" t="s">
        <v>1437</v>
      </c>
      <c r="F446" s="103" t="n">
        <v>779439259</v>
      </c>
      <c r="G446" s="103" t="s">
        <v>533</v>
      </c>
      <c r="H446" s="103" t="s">
        <v>174</v>
      </c>
      <c r="I446" s="103" t="n">
        <v>10</v>
      </c>
      <c r="J446" s="103" t="s">
        <v>350</v>
      </c>
      <c r="K446" s="103" t="n">
        <v>0</v>
      </c>
      <c r="L446" s="103" t="n">
        <v>0</v>
      </c>
      <c r="M446" s="103" t="n">
        <v>0</v>
      </c>
      <c r="N446" s="103" t="n">
        <v>30</v>
      </c>
      <c r="O446" s="103" t="n">
        <v>0</v>
      </c>
      <c r="P446" s="103" t="n">
        <v>0</v>
      </c>
      <c r="Q446" s="103" t="n">
        <v>0</v>
      </c>
      <c r="R446" s="103" t="n">
        <v>0</v>
      </c>
      <c r="S446" s="103"/>
      <c r="T446" s="103" t="n">
        <v>30</v>
      </c>
      <c r="U446" s="103" t="s">
        <v>177</v>
      </c>
      <c r="V446" s="103" t="n">
        <v>500</v>
      </c>
      <c r="W446" s="103" t="n">
        <f aca="false">DATA_PIPELINE!$K446</f>
        <v>0</v>
      </c>
      <c r="X446" s="103" t="n">
        <f aca="false">DATA_PIPELINE!$V446-DATA_PIPELINE!$W446</f>
        <v>500</v>
      </c>
      <c r="Y446" s="103" t="str">
        <f aca="false">IF(DATA_PIPELINE!$X446=0,"Paid",IF(DATA_PIPELINE!$W446=0,"Unpaid","Partly Paid"))</f>
        <v>Unpaid</v>
      </c>
    </row>
    <row r="447" customFormat="false" ht="15" hidden="false" customHeight="true" outlineLevel="0" collapsed="false">
      <c r="A447" s="103" t="n">
        <v>442</v>
      </c>
      <c r="B447" s="103" t="s">
        <v>1438</v>
      </c>
      <c r="C447" s="103" t="s">
        <v>1439</v>
      </c>
      <c r="D447" s="103" t="s">
        <v>803</v>
      </c>
      <c r="E447" s="103" t="s">
        <v>1440</v>
      </c>
      <c r="F447" s="103" t="n">
        <v>777952678</v>
      </c>
      <c r="G447" s="103" t="s">
        <v>533</v>
      </c>
      <c r="H447" s="103" t="s">
        <v>174</v>
      </c>
      <c r="I447" s="103" t="n">
        <v>10</v>
      </c>
      <c r="J447" s="103" t="s">
        <v>350</v>
      </c>
      <c r="K447" s="103" t="n">
        <v>0</v>
      </c>
      <c r="L447" s="103" t="n">
        <v>0</v>
      </c>
      <c r="M447" s="103" t="n">
        <v>0</v>
      </c>
      <c r="N447" s="103" t="n">
        <v>15</v>
      </c>
      <c r="O447" s="103" t="n">
        <v>0</v>
      </c>
      <c r="P447" s="103" t="n">
        <v>0</v>
      </c>
      <c r="Q447" s="103" t="n">
        <v>0</v>
      </c>
      <c r="R447" s="103" t="n">
        <v>0</v>
      </c>
      <c r="S447" s="103"/>
      <c r="T447" s="103" t="n">
        <v>15</v>
      </c>
      <c r="U447" s="103" t="s">
        <v>177</v>
      </c>
      <c r="V447" s="103" t="n">
        <v>500</v>
      </c>
      <c r="W447" s="103" t="n">
        <f aca="false">DATA_PIPELINE!$K447</f>
        <v>0</v>
      </c>
      <c r="X447" s="103" t="n">
        <f aca="false">DATA_PIPELINE!$V447-DATA_PIPELINE!$W447</f>
        <v>500</v>
      </c>
      <c r="Y447" s="103" t="str">
        <f aca="false">IF(DATA_PIPELINE!$X447=0,"Paid",IF(DATA_PIPELINE!$W447=0,"Unpaid","Partly Paid"))</f>
        <v>Unpaid</v>
      </c>
    </row>
    <row r="448" customFormat="false" ht="15" hidden="false" customHeight="true" outlineLevel="0" collapsed="false">
      <c r="A448" s="103" t="n">
        <v>443</v>
      </c>
      <c r="B448" s="103" t="s">
        <v>1441</v>
      </c>
      <c r="C448" s="103"/>
      <c r="D448" s="103" t="s">
        <v>803</v>
      </c>
      <c r="E448" s="103" t="s">
        <v>170</v>
      </c>
      <c r="F448" s="103" t="n">
        <v>772627172</v>
      </c>
      <c r="G448" s="103" t="s">
        <v>533</v>
      </c>
      <c r="H448" s="103" t="s">
        <v>174</v>
      </c>
      <c r="I448" s="103" t="n">
        <v>2</v>
      </c>
      <c r="J448" s="103" t="s">
        <v>350</v>
      </c>
      <c r="K448" s="103" t="n">
        <v>0</v>
      </c>
      <c r="L448" s="103" t="n">
        <v>0</v>
      </c>
      <c r="M448" s="103" t="n">
        <v>0</v>
      </c>
      <c r="N448" s="103" t="n">
        <v>10</v>
      </c>
      <c r="O448" s="103" t="n">
        <v>0</v>
      </c>
      <c r="P448" s="103" t="n">
        <v>0</v>
      </c>
      <c r="Q448" s="103" t="n">
        <v>0</v>
      </c>
      <c r="R448" s="103" t="n">
        <v>0</v>
      </c>
      <c r="S448" s="103"/>
      <c r="T448" s="103" t="n">
        <v>10</v>
      </c>
      <c r="U448" s="103" t="s">
        <v>177</v>
      </c>
      <c r="V448" s="103" t="n">
        <v>500</v>
      </c>
      <c r="W448" s="103" t="n">
        <f aca="false">DATA_PIPELINE!$K448</f>
        <v>0</v>
      </c>
      <c r="X448" s="103" t="n">
        <f aca="false">DATA_PIPELINE!$V448-DATA_PIPELINE!$W448</f>
        <v>500</v>
      </c>
      <c r="Y448" s="103" t="str">
        <f aca="false">IF(DATA_PIPELINE!$X448=0,"Paid",IF(DATA_PIPELINE!$W448=0,"Unpaid","Partly Paid"))</f>
        <v>Unpaid</v>
      </c>
    </row>
    <row r="449" customFormat="false" ht="15" hidden="false" customHeight="true" outlineLevel="0" collapsed="false">
      <c r="A449" s="103" t="n">
        <v>444</v>
      </c>
      <c r="B449" s="103" t="s">
        <v>1442</v>
      </c>
      <c r="C449" s="103" t="s">
        <v>1443</v>
      </c>
      <c r="D449" s="103" t="s">
        <v>803</v>
      </c>
      <c r="E449" s="103" t="s">
        <v>170</v>
      </c>
      <c r="F449" s="103" t="n">
        <v>772629051</v>
      </c>
      <c r="G449" s="103" t="s">
        <v>533</v>
      </c>
      <c r="H449" s="103" t="s">
        <v>174</v>
      </c>
      <c r="I449" s="103" t="n">
        <v>10</v>
      </c>
      <c r="J449" s="103" t="s">
        <v>350</v>
      </c>
      <c r="K449" s="103" t="n">
        <v>0</v>
      </c>
      <c r="L449" s="103" t="n">
        <v>0</v>
      </c>
      <c r="M449" s="103" t="n">
        <v>0</v>
      </c>
      <c r="N449" s="103" t="n">
        <v>10</v>
      </c>
      <c r="O449" s="103" t="n">
        <v>0</v>
      </c>
      <c r="P449" s="103" t="n">
        <v>0</v>
      </c>
      <c r="Q449" s="103" t="n">
        <v>0</v>
      </c>
      <c r="R449" s="103" t="n">
        <v>0</v>
      </c>
      <c r="S449" s="103"/>
      <c r="T449" s="103" t="n">
        <v>10</v>
      </c>
      <c r="U449" s="103" t="s">
        <v>177</v>
      </c>
      <c r="V449" s="103" t="n">
        <v>500</v>
      </c>
      <c r="W449" s="103" t="n">
        <f aca="false">DATA_PIPELINE!$K449</f>
        <v>0</v>
      </c>
      <c r="X449" s="103" t="n">
        <f aca="false">DATA_PIPELINE!$V449-DATA_PIPELINE!$W449</f>
        <v>500</v>
      </c>
      <c r="Y449" s="103" t="str">
        <f aca="false">IF(DATA_PIPELINE!$X449=0,"Paid",IF(DATA_PIPELINE!$W449=0,"Unpaid","Partly Paid"))</f>
        <v>Unpaid</v>
      </c>
    </row>
    <row r="450" customFormat="false" ht="15" hidden="false" customHeight="true" outlineLevel="0" collapsed="false">
      <c r="A450" s="103" t="n">
        <v>445</v>
      </c>
      <c r="B450" s="103" t="s">
        <v>1444</v>
      </c>
      <c r="C450" s="103" t="s">
        <v>1445</v>
      </c>
      <c r="D450" s="103" t="s">
        <v>420</v>
      </c>
      <c r="E450" s="103" t="s">
        <v>1446</v>
      </c>
      <c r="F450" s="103" t="n">
        <v>773406733</v>
      </c>
      <c r="G450" s="103" t="s">
        <v>417</v>
      </c>
      <c r="H450" s="103" t="s">
        <v>174</v>
      </c>
      <c r="I450" s="103" t="n">
        <v>2</v>
      </c>
      <c r="J450" s="103" t="s">
        <v>350</v>
      </c>
      <c r="K450" s="103" t="n">
        <v>0</v>
      </c>
      <c r="L450" s="103" t="n">
        <v>0</v>
      </c>
      <c r="M450" s="103" t="n">
        <v>0</v>
      </c>
      <c r="N450" s="103" t="n">
        <v>20</v>
      </c>
      <c r="O450" s="103" t="n">
        <v>0</v>
      </c>
      <c r="P450" s="103" t="n">
        <v>0</v>
      </c>
      <c r="Q450" s="103" t="n">
        <v>0</v>
      </c>
      <c r="R450" s="103" t="n">
        <v>0</v>
      </c>
      <c r="S450" s="103"/>
      <c r="T450" s="103" t="n">
        <v>20</v>
      </c>
      <c r="U450" s="103" t="s">
        <v>177</v>
      </c>
      <c r="V450" s="103" t="n">
        <v>500</v>
      </c>
      <c r="W450" s="103" t="n">
        <f aca="false">DATA_PIPELINE!$K450</f>
        <v>0</v>
      </c>
      <c r="X450" s="103" t="n">
        <f aca="false">DATA_PIPELINE!$V450-DATA_PIPELINE!$W450</f>
        <v>500</v>
      </c>
      <c r="Y450" s="103" t="str">
        <f aca="false">IF(DATA_PIPELINE!$X450=0,"Paid",IF(DATA_PIPELINE!$W450=0,"Unpaid","Partly Paid"))</f>
        <v>Unpaid</v>
      </c>
    </row>
    <row r="451" customFormat="false" ht="15" hidden="false" customHeight="true" outlineLevel="0" collapsed="false">
      <c r="A451" s="103" t="n">
        <v>446</v>
      </c>
      <c r="B451" s="103" t="s">
        <v>1447</v>
      </c>
      <c r="C451" s="103"/>
      <c r="D451" s="103" t="s">
        <v>420</v>
      </c>
      <c r="E451" s="103" t="s">
        <v>170</v>
      </c>
      <c r="F451" s="103" t="n">
        <v>776375890</v>
      </c>
      <c r="G451" s="103" t="s">
        <v>417</v>
      </c>
      <c r="H451" s="103" t="s">
        <v>174</v>
      </c>
      <c r="I451" s="103" t="n">
        <v>10</v>
      </c>
      <c r="J451" s="103" t="s">
        <v>350</v>
      </c>
      <c r="K451" s="103" t="n">
        <v>0</v>
      </c>
      <c r="L451" s="103" t="n">
        <v>0</v>
      </c>
      <c r="M451" s="103" t="n">
        <v>0</v>
      </c>
      <c r="N451" s="103" t="n">
        <v>20</v>
      </c>
      <c r="O451" s="103" t="n">
        <v>0</v>
      </c>
      <c r="P451" s="103" t="n">
        <v>0</v>
      </c>
      <c r="Q451" s="103" t="n">
        <v>0</v>
      </c>
      <c r="R451" s="103" t="n">
        <v>0</v>
      </c>
      <c r="S451" s="103"/>
      <c r="T451" s="103" t="n">
        <v>20</v>
      </c>
      <c r="U451" s="103" t="s">
        <v>177</v>
      </c>
      <c r="V451" s="103" t="n">
        <v>500</v>
      </c>
      <c r="W451" s="103" t="n">
        <f aca="false">DATA_PIPELINE!$K451</f>
        <v>0</v>
      </c>
      <c r="X451" s="103" t="n">
        <f aca="false">DATA_PIPELINE!$V451-DATA_PIPELINE!$W451</f>
        <v>500</v>
      </c>
      <c r="Y451" s="103" t="str">
        <f aca="false">IF(DATA_PIPELINE!$X451=0,"Paid",IF(DATA_PIPELINE!$W451=0,"Unpaid","Partly Paid"))</f>
        <v>Unpaid</v>
      </c>
    </row>
    <row r="452" customFormat="false" ht="15" hidden="false" customHeight="true" outlineLevel="0" collapsed="false">
      <c r="A452" s="103" t="n">
        <v>447</v>
      </c>
      <c r="B452" s="103" t="s">
        <v>1448</v>
      </c>
      <c r="C452" s="103" t="s">
        <v>1449</v>
      </c>
      <c r="D452" s="103" t="s">
        <v>420</v>
      </c>
      <c r="E452" s="103" t="s">
        <v>1450</v>
      </c>
      <c r="F452" s="103" t="n">
        <v>775632907</v>
      </c>
      <c r="G452" s="103" t="s">
        <v>417</v>
      </c>
      <c r="H452" s="103" t="s">
        <v>174</v>
      </c>
      <c r="I452" s="103" t="n">
        <v>31</v>
      </c>
      <c r="J452" s="103" t="s">
        <v>350</v>
      </c>
      <c r="K452" s="103" t="n">
        <v>0</v>
      </c>
      <c r="L452" s="103" t="n">
        <v>0</v>
      </c>
      <c r="M452" s="103" t="n">
        <v>0</v>
      </c>
      <c r="N452" s="103" t="n">
        <v>10</v>
      </c>
      <c r="O452" s="103" t="n">
        <v>0</v>
      </c>
      <c r="P452" s="103" t="n">
        <v>0</v>
      </c>
      <c r="Q452" s="103" t="n">
        <v>0</v>
      </c>
      <c r="R452" s="103" t="n">
        <v>0</v>
      </c>
      <c r="S452" s="103"/>
      <c r="T452" s="103" t="n">
        <v>10</v>
      </c>
      <c r="U452" s="103" t="s">
        <v>177</v>
      </c>
      <c r="V452" s="103" t="n">
        <v>500</v>
      </c>
      <c r="W452" s="103" t="n">
        <f aca="false">DATA_PIPELINE!$K452</f>
        <v>0</v>
      </c>
      <c r="X452" s="103" t="n">
        <f aca="false">DATA_PIPELINE!$V452-DATA_PIPELINE!$W452</f>
        <v>500</v>
      </c>
      <c r="Y452" s="103" t="str">
        <f aca="false">IF(DATA_PIPELINE!$X452=0,"Paid",IF(DATA_PIPELINE!$W452=0,"Unpaid","Partly Paid"))</f>
        <v>Unpaid</v>
      </c>
    </row>
    <row r="453" customFormat="false" ht="15" hidden="false" customHeight="true" outlineLevel="0" collapsed="false">
      <c r="A453" s="103" t="n">
        <v>448</v>
      </c>
      <c r="B453" s="103" t="s">
        <v>1451</v>
      </c>
      <c r="C453" s="103"/>
      <c r="D453" s="104" t="s">
        <v>171</v>
      </c>
      <c r="E453" s="103" t="s">
        <v>170</v>
      </c>
      <c r="F453" s="103" t="s">
        <v>170</v>
      </c>
      <c r="G453" s="103" t="s">
        <v>173</v>
      </c>
      <c r="H453" s="103" t="s">
        <v>174</v>
      </c>
      <c r="I453" s="103"/>
      <c r="J453" s="103" t="s">
        <v>350</v>
      </c>
      <c r="K453" s="103" t="n">
        <v>0</v>
      </c>
      <c r="L453" s="103" t="n">
        <v>0</v>
      </c>
      <c r="M453" s="103" t="n">
        <v>0</v>
      </c>
      <c r="N453" s="103" t="n">
        <v>15</v>
      </c>
      <c r="O453" s="103" t="n">
        <v>0</v>
      </c>
      <c r="P453" s="103" t="n">
        <v>0</v>
      </c>
      <c r="Q453" s="103" t="n">
        <v>0</v>
      </c>
      <c r="R453" s="103" t="n">
        <v>0</v>
      </c>
      <c r="S453" s="103"/>
      <c r="T453" s="103" t="n">
        <v>15</v>
      </c>
      <c r="U453" s="103" t="s">
        <v>177</v>
      </c>
      <c r="V453" s="103" t="n">
        <v>500</v>
      </c>
      <c r="W453" s="103" t="n">
        <f aca="false">DATA_PIPELINE!$K453</f>
        <v>0</v>
      </c>
      <c r="X453" s="103" t="n">
        <f aca="false">DATA_PIPELINE!$V453-DATA_PIPELINE!$W453</f>
        <v>500</v>
      </c>
      <c r="Y453" s="103" t="str">
        <f aca="false">IF(DATA_PIPELINE!$X453=0,"Paid",IF(DATA_PIPELINE!$W453=0,"Unpaid","Partly Paid"))</f>
        <v>Unpaid</v>
      </c>
    </row>
    <row r="454" customFormat="false" ht="15" hidden="false" customHeight="true" outlineLevel="0" collapsed="false">
      <c r="A454" s="103" t="n">
        <v>449</v>
      </c>
      <c r="B454" s="103" t="s">
        <v>1452</v>
      </c>
      <c r="C454" s="103"/>
      <c r="D454" s="104" t="s">
        <v>171</v>
      </c>
      <c r="E454" s="103" t="s">
        <v>170</v>
      </c>
      <c r="F454" s="103" t="s">
        <v>170</v>
      </c>
      <c r="G454" s="103" t="s">
        <v>173</v>
      </c>
      <c r="H454" s="103" t="s">
        <v>174</v>
      </c>
      <c r="I454" s="103"/>
      <c r="J454" s="103" t="s">
        <v>350</v>
      </c>
      <c r="K454" s="103" t="n">
        <v>0</v>
      </c>
      <c r="L454" s="103" t="n">
        <v>0</v>
      </c>
      <c r="M454" s="103" t="n">
        <v>0</v>
      </c>
      <c r="N454" s="103" t="n">
        <v>15</v>
      </c>
      <c r="O454" s="103" t="n">
        <v>0</v>
      </c>
      <c r="P454" s="103" t="n">
        <v>0</v>
      </c>
      <c r="Q454" s="103" t="n">
        <v>0</v>
      </c>
      <c r="R454" s="103" t="n">
        <v>0</v>
      </c>
      <c r="S454" s="103"/>
      <c r="T454" s="103" t="n">
        <v>15</v>
      </c>
      <c r="U454" s="103" t="s">
        <v>177</v>
      </c>
      <c r="V454" s="103" t="n">
        <v>500</v>
      </c>
      <c r="W454" s="103" t="n">
        <f aca="false">DATA_PIPELINE!$K454</f>
        <v>0</v>
      </c>
      <c r="X454" s="103" t="n">
        <f aca="false">DATA_PIPELINE!$V454-DATA_PIPELINE!$W454</f>
        <v>500</v>
      </c>
      <c r="Y454" s="103" t="str">
        <f aca="false">IF(DATA_PIPELINE!$X454=0,"Paid",IF(DATA_PIPELINE!$W454=0,"Unpaid","Partly Paid"))</f>
        <v>Unpaid</v>
      </c>
    </row>
    <row r="455" customFormat="false" ht="15" hidden="false" customHeight="true" outlineLevel="0" collapsed="false">
      <c r="A455" s="103" t="n">
        <v>450</v>
      </c>
      <c r="B455" s="103" t="s">
        <v>1453</v>
      </c>
      <c r="C455" s="103"/>
      <c r="D455" s="104" t="s">
        <v>171</v>
      </c>
      <c r="E455" s="103" t="s">
        <v>170</v>
      </c>
      <c r="F455" s="103" t="s">
        <v>170</v>
      </c>
      <c r="G455" s="103" t="s">
        <v>173</v>
      </c>
      <c r="H455" s="103" t="s">
        <v>174</v>
      </c>
      <c r="I455" s="103"/>
      <c r="J455" s="103" t="s">
        <v>350</v>
      </c>
      <c r="K455" s="103" t="n">
        <v>0</v>
      </c>
      <c r="L455" s="103" t="n">
        <v>0</v>
      </c>
      <c r="M455" s="103" t="n">
        <v>0</v>
      </c>
      <c r="N455" s="103" t="n">
        <v>13</v>
      </c>
      <c r="O455" s="103" t="n">
        <v>0</v>
      </c>
      <c r="P455" s="103" t="n">
        <v>0</v>
      </c>
      <c r="Q455" s="103" t="n">
        <v>0</v>
      </c>
      <c r="R455" s="103" t="n">
        <v>0</v>
      </c>
      <c r="S455" s="103"/>
      <c r="T455" s="103" t="n">
        <v>13</v>
      </c>
      <c r="U455" s="103" t="s">
        <v>177</v>
      </c>
      <c r="V455" s="103" t="n">
        <v>500</v>
      </c>
      <c r="W455" s="103" t="n">
        <f aca="false">DATA_PIPELINE!$K455</f>
        <v>0</v>
      </c>
      <c r="X455" s="103" t="n">
        <f aca="false">DATA_PIPELINE!$V455-DATA_PIPELINE!$W455</f>
        <v>500</v>
      </c>
      <c r="Y455" s="103" t="str">
        <f aca="false">IF(DATA_PIPELINE!$X455=0,"Paid",IF(DATA_PIPELINE!$W455=0,"Unpaid","Partly Paid"))</f>
        <v>Unpaid</v>
      </c>
    </row>
    <row r="456" customFormat="false" ht="15" hidden="false" customHeight="true" outlineLevel="0" collapsed="false">
      <c r="A456" s="103" t="n">
        <v>451</v>
      </c>
      <c r="B456" s="103" t="s">
        <v>1454</v>
      </c>
      <c r="C456" s="103"/>
      <c r="D456" s="104" t="s">
        <v>171</v>
      </c>
      <c r="E456" s="103" t="s">
        <v>170</v>
      </c>
      <c r="F456" s="103" t="s">
        <v>170</v>
      </c>
      <c r="G456" s="103" t="s">
        <v>173</v>
      </c>
      <c r="H456" s="103" t="s">
        <v>174</v>
      </c>
      <c r="I456" s="103"/>
      <c r="J456" s="103" t="s">
        <v>350</v>
      </c>
      <c r="K456" s="103" t="n">
        <v>0</v>
      </c>
      <c r="L456" s="103" t="n">
        <v>0</v>
      </c>
      <c r="M456" s="103" t="n">
        <v>0</v>
      </c>
      <c r="N456" s="103" t="n">
        <v>20</v>
      </c>
      <c r="O456" s="103" t="n">
        <v>0</v>
      </c>
      <c r="P456" s="103" t="n">
        <v>0</v>
      </c>
      <c r="Q456" s="103" t="n">
        <v>0</v>
      </c>
      <c r="R456" s="103" t="n">
        <v>0</v>
      </c>
      <c r="S456" s="103"/>
      <c r="T456" s="103" t="n">
        <v>20</v>
      </c>
      <c r="U456" s="103" t="s">
        <v>177</v>
      </c>
      <c r="V456" s="103" t="n">
        <v>500</v>
      </c>
      <c r="W456" s="103" t="n">
        <f aca="false">DATA_PIPELINE!$K456</f>
        <v>0</v>
      </c>
      <c r="X456" s="103" t="n">
        <f aca="false">DATA_PIPELINE!$V456-DATA_PIPELINE!$W456</f>
        <v>500</v>
      </c>
      <c r="Y456" s="103" t="str">
        <f aca="false">IF(DATA_PIPELINE!$X456=0,"Paid",IF(DATA_PIPELINE!$W456=0,"Unpaid","Partly Paid"))</f>
        <v>Unpaid</v>
      </c>
    </row>
    <row r="457" customFormat="false" ht="15" hidden="false" customHeight="true" outlineLevel="0" collapsed="false">
      <c r="A457" s="103" t="n">
        <v>452</v>
      </c>
      <c r="B457" s="103" t="s">
        <v>1455</v>
      </c>
      <c r="C457" s="103" t="s">
        <v>1456</v>
      </c>
      <c r="D457" s="103" t="s">
        <v>803</v>
      </c>
      <c r="E457" s="103" t="s">
        <v>1457</v>
      </c>
      <c r="F457" s="103" t="s">
        <v>170</v>
      </c>
      <c r="G457" s="103" t="s">
        <v>533</v>
      </c>
      <c r="H457" s="103" t="s">
        <v>174</v>
      </c>
      <c r="I457" s="103" t="n">
        <v>10</v>
      </c>
      <c r="J457" s="103" t="s">
        <v>350</v>
      </c>
      <c r="K457" s="103" t="n">
        <v>0</v>
      </c>
      <c r="L457" s="103" t="n">
        <v>0</v>
      </c>
      <c r="M457" s="103" t="n">
        <v>15</v>
      </c>
      <c r="N457" s="103" t="n">
        <v>20</v>
      </c>
      <c r="O457" s="103" t="n">
        <v>0</v>
      </c>
      <c r="P457" s="103" t="n">
        <v>0</v>
      </c>
      <c r="Q457" s="103" t="n">
        <v>0</v>
      </c>
      <c r="R457" s="103" t="n">
        <v>0</v>
      </c>
      <c r="S457" s="103"/>
      <c r="T457" s="103" t="n">
        <v>35</v>
      </c>
      <c r="U457" s="103" t="s">
        <v>177</v>
      </c>
      <c r="V457" s="103" t="n">
        <v>500</v>
      </c>
      <c r="W457" s="103" t="n">
        <f aca="false">DATA_PIPELINE!$K457</f>
        <v>0</v>
      </c>
      <c r="X457" s="103" t="n">
        <f aca="false">DATA_PIPELINE!$V457-DATA_PIPELINE!$W457</f>
        <v>500</v>
      </c>
      <c r="Y457" s="103" t="str">
        <f aca="false">IF(DATA_PIPELINE!$X457=0,"Paid",IF(DATA_PIPELINE!$W457=0,"Unpaid","Partly Paid"))</f>
        <v>Unpaid</v>
      </c>
    </row>
    <row r="458" customFormat="false" ht="15" hidden="false" customHeight="true" outlineLevel="0" collapsed="false">
      <c r="A458" s="103" t="n">
        <v>453</v>
      </c>
      <c r="B458" s="103" t="s">
        <v>1458</v>
      </c>
      <c r="C458" s="103" t="s">
        <v>894</v>
      </c>
      <c r="D458" s="103" t="s">
        <v>803</v>
      </c>
      <c r="E458" s="103" t="s">
        <v>1459</v>
      </c>
      <c r="F458" s="103" t="n">
        <v>772872907</v>
      </c>
      <c r="G458" s="103" t="s">
        <v>533</v>
      </c>
      <c r="H458" s="103" t="s">
        <v>174</v>
      </c>
      <c r="I458" s="103" t="n">
        <v>10</v>
      </c>
      <c r="J458" s="103" t="s">
        <v>350</v>
      </c>
      <c r="K458" s="103" t="n">
        <v>0</v>
      </c>
      <c r="L458" s="103" t="n">
        <v>0</v>
      </c>
      <c r="M458" s="103" t="n">
        <v>0</v>
      </c>
      <c r="N458" s="103" t="n">
        <v>10</v>
      </c>
      <c r="O458" s="103" t="n">
        <v>0</v>
      </c>
      <c r="P458" s="103" t="n">
        <v>0</v>
      </c>
      <c r="Q458" s="103" t="n">
        <v>0</v>
      </c>
      <c r="R458" s="103" t="n">
        <v>0</v>
      </c>
      <c r="S458" s="103"/>
      <c r="T458" s="103" t="n">
        <v>10</v>
      </c>
      <c r="U458" s="103" t="s">
        <v>177</v>
      </c>
      <c r="V458" s="103" t="n">
        <v>500</v>
      </c>
      <c r="W458" s="103" t="n">
        <f aca="false">DATA_PIPELINE!$K458</f>
        <v>0</v>
      </c>
      <c r="X458" s="103" t="n">
        <f aca="false">DATA_PIPELINE!$V458-DATA_PIPELINE!$W458</f>
        <v>500</v>
      </c>
      <c r="Y458" s="103" t="str">
        <f aca="false">IF(DATA_PIPELINE!$X458=0,"Paid",IF(DATA_PIPELINE!$W458=0,"Unpaid","Partly Paid"))</f>
        <v>Unpaid</v>
      </c>
    </row>
    <row r="459" customFormat="false" ht="15" hidden="false" customHeight="true" outlineLevel="0" collapsed="false">
      <c r="A459" s="103" t="n">
        <v>454</v>
      </c>
      <c r="B459" s="103" t="s">
        <v>1460</v>
      </c>
      <c r="C459" s="103" t="s">
        <v>1461</v>
      </c>
      <c r="D459" s="103" t="s">
        <v>803</v>
      </c>
      <c r="E459" s="103" t="s">
        <v>1462</v>
      </c>
      <c r="F459" s="103" t="n">
        <v>773269352</v>
      </c>
      <c r="G459" s="103" t="s">
        <v>533</v>
      </c>
      <c r="H459" s="103" t="s">
        <v>174</v>
      </c>
      <c r="I459" s="103" t="n">
        <v>10</v>
      </c>
      <c r="J459" s="103" t="s">
        <v>350</v>
      </c>
      <c r="K459" s="103" t="n">
        <v>0</v>
      </c>
      <c r="L459" s="103" t="n">
        <v>0</v>
      </c>
      <c r="M459" s="103" t="n">
        <v>0</v>
      </c>
      <c r="N459" s="103" t="n">
        <v>10</v>
      </c>
      <c r="O459" s="103" t="n">
        <v>0</v>
      </c>
      <c r="P459" s="103" t="n">
        <v>0</v>
      </c>
      <c r="Q459" s="103" t="n">
        <v>0</v>
      </c>
      <c r="R459" s="103" t="n">
        <v>0</v>
      </c>
      <c r="S459" s="103"/>
      <c r="T459" s="103" t="n">
        <v>10</v>
      </c>
      <c r="U459" s="103" t="s">
        <v>177</v>
      </c>
      <c r="V459" s="103" t="n">
        <v>500</v>
      </c>
      <c r="W459" s="103" t="n">
        <f aca="false">DATA_PIPELINE!$K459</f>
        <v>0</v>
      </c>
      <c r="X459" s="103" t="n">
        <f aca="false">DATA_PIPELINE!$V459-DATA_PIPELINE!$W459</f>
        <v>500</v>
      </c>
      <c r="Y459" s="103" t="str">
        <f aca="false">IF(DATA_PIPELINE!$X459=0,"Paid",IF(DATA_PIPELINE!$W459=0,"Unpaid","Partly Paid"))</f>
        <v>Unpaid</v>
      </c>
    </row>
    <row r="460" customFormat="false" ht="15" hidden="false" customHeight="true" outlineLevel="0" collapsed="false">
      <c r="A460" s="103" t="n">
        <v>455</v>
      </c>
      <c r="B460" s="103" t="s">
        <v>1463</v>
      </c>
      <c r="C460" s="103" t="s">
        <v>1464</v>
      </c>
      <c r="D460" s="103" t="s">
        <v>918</v>
      </c>
      <c r="E460" s="103" t="s">
        <v>1465</v>
      </c>
      <c r="F460" s="103" t="n">
        <v>771457289</v>
      </c>
      <c r="G460" s="103" t="s">
        <v>533</v>
      </c>
      <c r="H460" s="103" t="s">
        <v>174</v>
      </c>
      <c r="I460" s="103" t="n">
        <v>4</v>
      </c>
      <c r="J460" s="103" t="s">
        <v>350</v>
      </c>
      <c r="K460" s="103" t="n">
        <v>0</v>
      </c>
      <c r="L460" s="103" t="n">
        <v>0</v>
      </c>
      <c r="M460" s="103" t="n">
        <v>0</v>
      </c>
      <c r="N460" s="103" t="n">
        <v>10</v>
      </c>
      <c r="O460" s="103" t="n">
        <v>0</v>
      </c>
      <c r="P460" s="103" t="n">
        <v>0</v>
      </c>
      <c r="Q460" s="103" t="n">
        <v>0</v>
      </c>
      <c r="R460" s="103" t="n">
        <v>0</v>
      </c>
      <c r="S460" s="103"/>
      <c r="T460" s="103" t="n">
        <v>10</v>
      </c>
      <c r="U460" s="103" t="s">
        <v>177</v>
      </c>
      <c r="V460" s="103" t="n">
        <v>500</v>
      </c>
      <c r="W460" s="103" t="n">
        <f aca="false">DATA_PIPELINE!$K460</f>
        <v>0</v>
      </c>
      <c r="X460" s="103" t="n">
        <f aca="false">DATA_PIPELINE!$V460-DATA_PIPELINE!$W460</f>
        <v>500</v>
      </c>
      <c r="Y460" s="103" t="str">
        <f aca="false">IF(DATA_PIPELINE!$X460=0,"Paid",IF(DATA_PIPELINE!$W460=0,"Unpaid","Partly Paid"))</f>
        <v>Unpaid</v>
      </c>
    </row>
    <row r="461" customFormat="false" ht="15" hidden="false" customHeight="true" outlineLevel="0" collapsed="false">
      <c r="A461" s="103" t="n">
        <v>456</v>
      </c>
      <c r="B461" s="103" t="s">
        <v>1466</v>
      </c>
      <c r="C461" s="103" t="s">
        <v>1467</v>
      </c>
      <c r="D461" s="103" t="s">
        <v>803</v>
      </c>
      <c r="E461" s="103"/>
      <c r="F461" s="103" t="s">
        <v>170</v>
      </c>
      <c r="G461" s="103" t="s">
        <v>533</v>
      </c>
      <c r="H461" s="103" t="s">
        <v>174</v>
      </c>
      <c r="I461" s="103"/>
      <c r="J461" s="103" t="s">
        <v>350</v>
      </c>
      <c r="K461" s="103" t="n">
        <v>0</v>
      </c>
      <c r="L461" s="103" t="n">
        <v>0</v>
      </c>
      <c r="M461" s="103" t="n">
        <v>0</v>
      </c>
      <c r="N461" s="103" t="n">
        <v>10</v>
      </c>
      <c r="O461" s="103" t="n">
        <v>0</v>
      </c>
      <c r="P461" s="103" t="n">
        <v>0</v>
      </c>
      <c r="Q461" s="103" t="n">
        <v>0</v>
      </c>
      <c r="R461" s="103" t="n">
        <v>0</v>
      </c>
      <c r="S461" s="103"/>
      <c r="T461" s="103" t="n">
        <v>10</v>
      </c>
      <c r="U461" s="103" t="s">
        <v>177</v>
      </c>
      <c r="V461" s="103" t="n">
        <v>500</v>
      </c>
      <c r="W461" s="103" t="n">
        <f aca="false">DATA_PIPELINE!$K461</f>
        <v>0</v>
      </c>
      <c r="X461" s="103" t="n">
        <f aca="false">DATA_PIPELINE!$V461-DATA_PIPELINE!$W461</f>
        <v>500</v>
      </c>
      <c r="Y461" s="103" t="str">
        <f aca="false">IF(DATA_PIPELINE!$X461=0,"Paid",IF(DATA_PIPELINE!$W461=0,"Unpaid","Partly Paid"))</f>
        <v>Unpaid</v>
      </c>
    </row>
    <row r="462" customFormat="false" ht="15" hidden="false" customHeight="true" outlineLevel="0" collapsed="false">
      <c r="A462" s="103" t="n">
        <v>457</v>
      </c>
      <c r="B462" s="103" t="s">
        <v>1468</v>
      </c>
      <c r="C462" s="103" t="s">
        <v>1469</v>
      </c>
      <c r="D462" s="107" t="s">
        <v>319</v>
      </c>
      <c r="E462" s="103" t="s">
        <v>1470</v>
      </c>
      <c r="F462" s="103" t="n">
        <v>774758199</v>
      </c>
      <c r="G462" s="103" t="s">
        <v>285</v>
      </c>
      <c r="H462" s="103" t="s">
        <v>174</v>
      </c>
      <c r="I462" s="103"/>
      <c r="J462" s="103" t="s">
        <v>350</v>
      </c>
      <c r="K462" s="103" t="n">
        <v>0</v>
      </c>
      <c r="L462" s="103" t="n">
        <v>0</v>
      </c>
      <c r="M462" s="103" t="n">
        <v>0</v>
      </c>
      <c r="N462" s="103" t="n">
        <v>20</v>
      </c>
      <c r="O462" s="103" t="n">
        <v>0</v>
      </c>
      <c r="P462" s="103" t="n">
        <v>0</v>
      </c>
      <c r="Q462" s="103" t="n">
        <v>0</v>
      </c>
      <c r="R462" s="103" t="n">
        <v>0</v>
      </c>
      <c r="S462" s="103"/>
      <c r="T462" s="103" t="n">
        <v>20</v>
      </c>
      <c r="U462" s="103" t="s">
        <v>177</v>
      </c>
      <c r="V462" s="103" t="n">
        <v>500</v>
      </c>
      <c r="W462" s="103" t="n">
        <f aca="false">DATA_PIPELINE!$K462</f>
        <v>0</v>
      </c>
      <c r="X462" s="103" t="n">
        <f aca="false">DATA_PIPELINE!$V462-DATA_PIPELINE!$W462</f>
        <v>500</v>
      </c>
      <c r="Y462" s="103" t="str">
        <f aca="false">IF(DATA_PIPELINE!$X462=0,"Paid",IF(DATA_PIPELINE!$W462=0,"Unpaid","Partly Paid"))</f>
        <v>Unpaid</v>
      </c>
    </row>
    <row r="463" customFormat="false" ht="15" hidden="false" customHeight="true" outlineLevel="0" collapsed="false">
      <c r="A463" s="103" t="n">
        <v>458</v>
      </c>
      <c r="B463" s="103" t="s">
        <v>1471</v>
      </c>
      <c r="C463" s="103" t="s">
        <v>1469</v>
      </c>
      <c r="D463" s="107" t="s">
        <v>319</v>
      </c>
      <c r="E463" s="103"/>
      <c r="F463" s="103" t="n">
        <v>716296143</v>
      </c>
      <c r="G463" s="103" t="s">
        <v>285</v>
      </c>
      <c r="H463" s="103" t="s">
        <v>174</v>
      </c>
      <c r="I463" s="103"/>
      <c r="J463" s="103" t="s">
        <v>350</v>
      </c>
      <c r="K463" s="103" t="n">
        <v>0</v>
      </c>
      <c r="L463" s="103" t="n">
        <v>0</v>
      </c>
      <c r="M463" s="103" t="n">
        <v>0</v>
      </c>
      <c r="N463" s="103" t="n">
        <v>20</v>
      </c>
      <c r="O463" s="103" t="n">
        <v>0</v>
      </c>
      <c r="P463" s="103" t="n">
        <v>0</v>
      </c>
      <c r="Q463" s="103" t="n">
        <v>0</v>
      </c>
      <c r="R463" s="103" t="n">
        <v>0</v>
      </c>
      <c r="S463" s="103"/>
      <c r="T463" s="103" t="n">
        <v>20</v>
      </c>
      <c r="U463" s="103" t="s">
        <v>177</v>
      </c>
      <c r="V463" s="103" t="n">
        <v>500</v>
      </c>
      <c r="W463" s="103" t="n">
        <f aca="false">DATA_PIPELINE!$K463</f>
        <v>0</v>
      </c>
      <c r="X463" s="103" t="n">
        <f aca="false">DATA_PIPELINE!$V463-DATA_PIPELINE!$W463</f>
        <v>500</v>
      </c>
      <c r="Y463" s="103" t="str">
        <f aca="false">IF(DATA_PIPELINE!$X463=0,"Paid",IF(DATA_PIPELINE!$W463=0,"Unpaid","Partly Paid"))</f>
        <v>Unpaid</v>
      </c>
    </row>
    <row r="464" s="106" customFormat="true" ht="15" hidden="false" customHeight="true" outlineLevel="0" collapsed="false">
      <c r="A464" s="103" t="n">
        <v>459</v>
      </c>
      <c r="B464" s="105" t="s">
        <v>1472</v>
      </c>
      <c r="C464" s="105" t="s">
        <v>170</v>
      </c>
      <c r="D464" s="107" t="s">
        <v>319</v>
      </c>
      <c r="E464" s="105" t="s">
        <v>170</v>
      </c>
      <c r="F464" s="105" t="s">
        <v>170</v>
      </c>
      <c r="G464" s="105" t="s">
        <v>170</v>
      </c>
      <c r="H464" s="105" t="s">
        <v>193</v>
      </c>
      <c r="I464" s="105"/>
      <c r="J464" s="105" t="s">
        <v>350</v>
      </c>
      <c r="K464" s="103" t="n">
        <v>0</v>
      </c>
      <c r="L464" s="103" t="n">
        <v>0</v>
      </c>
      <c r="M464" s="105" t="n">
        <v>10</v>
      </c>
      <c r="N464" s="105" t="n">
        <v>0</v>
      </c>
      <c r="O464" s="103" t="n">
        <v>0</v>
      </c>
      <c r="P464" s="103" t="n">
        <v>0</v>
      </c>
      <c r="Q464" s="103" t="n">
        <v>0</v>
      </c>
      <c r="R464" s="103" t="n">
        <v>0</v>
      </c>
      <c r="S464" s="105" t="n">
        <v>0</v>
      </c>
      <c r="T464" s="105" t="n">
        <v>0</v>
      </c>
      <c r="U464" s="103" t="s">
        <v>177</v>
      </c>
      <c r="V464" s="105" t="n">
        <v>500</v>
      </c>
      <c r="W464" s="103" t="n">
        <f aca="false">DATA_PIPELINE!$K464</f>
        <v>0</v>
      </c>
      <c r="X464" s="103" t="n">
        <f aca="false">DATA_PIPELINE!$V464-DATA_PIPELINE!$W464</f>
        <v>500</v>
      </c>
      <c r="Y464" s="103" t="str">
        <f aca="false">IF(DATA_PIPELINE!$X464=0,"Paid",IF(DATA_PIPELINE!$W464=0,"Unpaid","Partly Paid"))</f>
        <v>Unpaid</v>
      </c>
    </row>
    <row r="465" s="106" customFormat="true" ht="15" hidden="false" customHeight="true" outlineLevel="0" collapsed="false">
      <c r="A465" s="103" t="n">
        <v>460</v>
      </c>
      <c r="B465" s="105" t="s">
        <v>1473</v>
      </c>
      <c r="C465" s="105" t="s">
        <v>170</v>
      </c>
      <c r="D465" s="104" t="s">
        <v>171</v>
      </c>
      <c r="E465" s="105" t="s">
        <v>170</v>
      </c>
      <c r="F465" s="105" t="s">
        <v>170</v>
      </c>
      <c r="G465" s="105" t="s">
        <v>170</v>
      </c>
      <c r="H465" s="105" t="s">
        <v>193</v>
      </c>
      <c r="I465" s="105"/>
      <c r="J465" s="105" t="s">
        <v>350</v>
      </c>
      <c r="K465" s="103" t="n">
        <v>0</v>
      </c>
      <c r="L465" s="103" t="n">
        <v>0</v>
      </c>
      <c r="M465" s="105" t="n">
        <v>100</v>
      </c>
      <c r="N465" s="105" t="n">
        <v>0</v>
      </c>
      <c r="O465" s="103" t="n">
        <v>0</v>
      </c>
      <c r="P465" s="103" t="n">
        <v>0</v>
      </c>
      <c r="Q465" s="103" t="n">
        <v>0</v>
      </c>
      <c r="R465" s="103" t="n">
        <v>0</v>
      </c>
      <c r="S465" s="105" t="n">
        <v>0</v>
      </c>
      <c r="T465" s="105" t="n">
        <v>0</v>
      </c>
      <c r="U465" s="103" t="s">
        <v>177</v>
      </c>
      <c r="V465" s="105" t="n">
        <v>500</v>
      </c>
      <c r="W465" s="103" t="n">
        <f aca="false">DATA_PIPELINE!$K465</f>
        <v>0</v>
      </c>
      <c r="X465" s="103" t="n">
        <f aca="false">DATA_PIPELINE!$V465-DATA_PIPELINE!$W465</f>
        <v>500</v>
      </c>
      <c r="Y465" s="103" t="str">
        <f aca="false">IF(DATA_PIPELINE!$X465=0,"Paid",IF(DATA_PIPELINE!$W465=0,"Unpaid","Partly Paid"))</f>
        <v>Unpaid</v>
      </c>
    </row>
    <row r="466" s="106" customFormat="true" ht="15" hidden="false" customHeight="true" outlineLevel="0" collapsed="false">
      <c r="A466" s="103" t="n">
        <v>461</v>
      </c>
      <c r="B466" s="109" t="s">
        <v>1474</v>
      </c>
      <c r="C466" s="105" t="s">
        <v>170</v>
      </c>
      <c r="D466" s="103" t="s">
        <v>1475</v>
      </c>
      <c r="E466" s="105" t="s">
        <v>170</v>
      </c>
      <c r="F466" s="105" t="s">
        <v>170</v>
      </c>
      <c r="G466" s="105" t="s">
        <v>170</v>
      </c>
      <c r="H466" s="105" t="s">
        <v>174</v>
      </c>
      <c r="I466" s="105"/>
      <c r="J466" s="105" t="s">
        <v>350</v>
      </c>
      <c r="K466" s="103" t="n">
        <v>0</v>
      </c>
      <c r="L466" s="103" t="n">
        <v>0</v>
      </c>
      <c r="M466" s="105" t="n">
        <v>100</v>
      </c>
      <c r="N466" s="105" t="n">
        <v>0</v>
      </c>
      <c r="O466" s="103" t="n">
        <v>0</v>
      </c>
      <c r="P466" s="103" t="n">
        <v>0</v>
      </c>
      <c r="Q466" s="103" t="n">
        <v>0</v>
      </c>
      <c r="R466" s="103" t="n">
        <v>0</v>
      </c>
      <c r="S466" s="105" t="n">
        <v>0</v>
      </c>
      <c r="T466" s="105" t="n">
        <v>0</v>
      </c>
      <c r="U466" s="103" t="s">
        <v>177</v>
      </c>
      <c r="V466" s="105" t="n">
        <v>500</v>
      </c>
      <c r="W466" s="103" t="n">
        <f aca="false">DATA_PIPELINE!$K466</f>
        <v>0</v>
      </c>
      <c r="X466" s="103" t="n">
        <f aca="false">DATA_PIPELINE!$V466-DATA_PIPELINE!$W466</f>
        <v>500</v>
      </c>
      <c r="Y466" s="103" t="str">
        <f aca="false">IF(DATA_PIPELINE!$X466=0,"Paid",IF(DATA_PIPELINE!$W466=0,"Unpaid","Partly Paid"))</f>
        <v>Unpaid</v>
      </c>
    </row>
    <row r="467" s="106" customFormat="true" ht="15" hidden="false" customHeight="true" outlineLevel="0" collapsed="false">
      <c r="A467" s="103" t="n">
        <v>462</v>
      </c>
      <c r="B467" s="105" t="s">
        <v>1476</v>
      </c>
      <c r="C467" s="105" t="s">
        <v>170</v>
      </c>
      <c r="D467" s="103" t="s">
        <v>531</v>
      </c>
      <c r="E467" s="105" t="s">
        <v>170</v>
      </c>
      <c r="F467" s="105" t="s">
        <v>170</v>
      </c>
      <c r="G467" s="103" t="s">
        <v>533</v>
      </c>
      <c r="H467" s="103" t="s">
        <v>174</v>
      </c>
      <c r="I467" s="105"/>
      <c r="J467" s="105" t="s">
        <v>350</v>
      </c>
      <c r="K467" s="103" t="n">
        <v>0</v>
      </c>
      <c r="L467" s="103" t="n">
        <v>0</v>
      </c>
      <c r="M467" s="105" t="n">
        <v>30</v>
      </c>
      <c r="N467" s="105" t="n">
        <v>0</v>
      </c>
      <c r="O467" s="103" t="n">
        <v>0</v>
      </c>
      <c r="P467" s="103" t="n">
        <v>0</v>
      </c>
      <c r="Q467" s="103" t="n">
        <v>0</v>
      </c>
      <c r="R467" s="103" t="n">
        <v>0</v>
      </c>
      <c r="S467" s="105" t="n">
        <v>0</v>
      </c>
      <c r="T467" s="105" t="n">
        <v>0</v>
      </c>
      <c r="U467" s="103" t="s">
        <v>177</v>
      </c>
      <c r="V467" s="105" t="n">
        <v>500</v>
      </c>
      <c r="W467" s="103" t="n">
        <f aca="false">DATA_PIPELINE!$K467</f>
        <v>0</v>
      </c>
      <c r="X467" s="103" t="n">
        <f aca="false">DATA_PIPELINE!$V467-DATA_PIPELINE!$W467</f>
        <v>500</v>
      </c>
      <c r="Y467" s="103" t="str">
        <f aca="false">IF(DATA_PIPELINE!$X467=0,"Paid",IF(DATA_PIPELINE!$W467=0,"Unpaid","Partly Paid"))</f>
        <v>Unpaid</v>
      </c>
    </row>
    <row r="468" s="106" customFormat="true" ht="15" hidden="false" customHeight="true" outlineLevel="0" collapsed="false">
      <c r="A468" s="103" t="n">
        <v>463</v>
      </c>
      <c r="B468" s="105" t="s">
        <v>1477</v>
      </c>
      <c r="C468" s="105" t="s">
        <v>170</v>
      </c>
      <c r="D468" s="107" t="s">
        <v>994</v>
      </c>
      <c r="E468" s="105" t="s">
        <v>170</v>
      </c>
      <c r="F468" s="105" t="s">
        <v>170</v>
      </c>
      <c r="G468" s="105" t="s">
        <v>170</v>
      </c>
      <c r="H468" s="105" t="s">
        <v>174</v>
      </c>
      <c r="I468" s="105"/>
      <c r="J468" s="105" t="s">
        <v>350</v>
      </c>
      <c r="K468" s="103" t="n">
        <v>0</v>
      </c>
      <c r="L468" s="103" t="n">
        <v>0</v>
      </c>
      <c r="M468" s="105" t="n">
        <v>100</v>
      </c>
      <c r="N468" s="105" t="n">
        <v>0</v>
      </c>
      <c r="O468" s="103" t="n">
        <v>0</v>
      </c>
      <c r="P468" s="103" t="n">
        <v>0</v>
      </c>
      <c r="Q468" s="103" t="n">
        <v>0</v>
      </c>
      <c r="R468" s="103" t="n">
        <v>0</v>
      </c>
      <c r="S468" s="105" t="n">
        <v>0</v>
      </c>
      <c r="T468" s="105" t="n">
        <v>0</v>
      </c>
      <c r="U468" s="103" t="s">
        <v>177</v>
      </c>
      <c r="V468" s="105" t="n">
        <v>500</v>
      </c>
      <c r="W468" s="103" t="n">
        <f aca="false">DATA_PIPELINE!$K468</f>
        <v>0</v>
      </c>
      <c r="X468" s="103" t="n">
        <f aca="false">DATA_PIPELINE!$V468-DATA_PIPELINE!$W468</f>
        <v>500</v>
      </c>
      <c r="Y468" s="103" t="str">
        <f aca="false">IF(DATA_PIPELINE!$X468=0,"Paid",IF(DATA_PIPELINE!$W468=0,"Unpaid","Partly Paid"))</f>
        <v>Unpaid</v>
      </c>
    </row>
    <row r="469" s="106" customFormat="true" ht="15" hidden="false" customHeight="true" outlineLevel="0" collapsed="false">
      <c r="A469" s="103" t="n">
        <v>464</v>
      </c>
      <c r="B469" s="105" t="s">
        <v>1478</v>
      </c>
      <c r="C469" s="105" t="s">
        <v>170</v>
      </c>
      <c r="D469" s="103" t="s">
        <v>918</v>
      </c>
      <c r="E469" s="105" t="s">
        <v>170</v>
      </c>
      <c r="F469" s="105" t="s">
        <v>170</v>
      </c>
      <c r="G469" s="105" t="s">
        <v>170</v>
      </c>
      <c r="H469" s="105" t="s">
        <v>174</v>
      </c>
      <c r="I469" s="105"/>
      <c r="J469" s="105" t="s">
        <v>350</v>
      </c>
      <c r="K469" s="103" t="n">
        <v>0</v>
      </c>
      <c r="L469" s="103" t="n">
        <v>0</v>
      </c>
      <c r="M469" s="105" t="n">
        <v>50</v>
      </c>
      <c r="N469" s="105" t="n">
        <v>0</v>
      </c>
      <c r="O469" s="103" t="n">
        <v>0</v>
      </c>
      <c r="P469" s="103" t="n">
        <v>0</v>
      </c>
      <c r="Q469" s="103" t="n">
        <v>0</v>
      </c>
      <c r="R469" s="103" t="n">
        <v>0</v>
      </c>
      <c r="S469" s="105" t="n">
        <v>0</v>
      </c>
      <c r="T469" s="105" t="n">
        <v>0</v>
      </c>
      <c r="U469" s="103" t="s">
        <v>177</v>
      </c>
      <c r="V469" s="105" t="n">
        <v>500</v>
      </c>
      <c r="W469" s="103" t="n">
        <f aca="false">DATA_PIPELINE!$K469</f>
        <v>0</v>
      </c>
      <c r="X469" s="103" t="n">
        <f aca="false">DATA_PIPELINE!$V469-DATA_PIPELINE!$W469</f>
        <v>500</v>
      </c>
      <c r="Y469" s="103" t="str">
        <f aca="false">IF(DATA_PIPELINE!$X469=0,"Paid",IF(DATA_PIPELINE!$W469=0,"Unpaid","Partly Paid"))</f>
        <v>Unpaid</v>
      </c>
    </row>
    <row r="470" s="106" customFormat="true" ht="15" hidden="false" customHeight="true" outlineLevel="0" collapsed="false">
      <c r="A470" s="103" t="n">
        <v>465</v>
      </c>
      <c r="B470" s="105" t="s">
        <v>1479</v>
      </c>
      <c r="C470" s="105" t="s">
        <v>170</v>
      </c>
      <c r="D470" s="103" t="s">
        <v>364</v>
      </c>
      <c r="E470" s="105" t="s">
        <v>170</v>
      </c>
      <c r="F470" s="105" t="s">
        <v>170</v>
      </c>
      <c r="G470" s="105" t="s">
        <v>170</v>
      </c>
      <c r="H470" s="103" t="s">
        <v>367</v>
      </c>
      <c r="I470" s="105"/>
      <c r="J470" s="105" t="s">
        <v>350</v>
      </c>
      <c r="K470" s="103" t="n">
        <v>0</v>
      </c>
      <c r="L470" s="103" t="n">
        <v>0</v>
      </c>
      <c r="M470" s="105" t="n">
        <v>100</v>
      </c>
      <c r="N470" s="105" t="n">
        <v>0</v>
      </c>
      <c r="O470" s="103" t="n">
        <v>0</v>
      </c>
      <c r="P470" s="103" t="n">
        <v>0</v>
      </c>
      <c r="Q470" s="103" t="n">
        <v>0</v>
      </c>
      <c r="R470" s="103" t="n">
        <v>0</v>
      </c>
      <c r="S470" s="105" t="n">
        <v>0</v>
      </c>
      <c r="T470" s="105" t="n">
        <v>0</v>
      </c>
      <c r="U470" s="103" t="s">
        <v>177</v>
      </c>
      <c r="V470" s="105" t="n">
        <v>500</v>
      </c>
      <c r="W470" s="103" t="n">
        <f aca="false">DATA_PIPELINE!$K470</f>
        <v>0</v>
      </c>
      <c r="X470" s="103" t="n">
        <f aca="false">DATA_PIPELINE!$V470-DATA_PIPELINE!$W470</f>
        <v>500</v>
      </c>
      <c r="Y470" s="103" t="str">
        <f aca="false">IF(DATA_PIPELINE!$X470=0,"Paid",IF(DATA_PIPELINE!$W470=0,"Unpaid","Partly Paid"))</f>
        <v>Unpaid</v>
      </c>
    </row>
    <row r="471" s="106" customFormat="true" ht="15" hidden="false" customHeight="true" outlineLevel="0" collapsed="false">
      <c r="A471" s="103" t="n">
        <v>466</v>
      </c>
      <c r="B471" s="105" t="s">
        <v>1480</v>
      </c>
      <c r="C471" s="105" t="s">
        <v>170</v>
      </c>
      <c r="D471" s="103" t="s">
        <v>1481</v>
      </c>
      <c r="E471" s="105" t="s">
        <v>170</v>
      </c>
      <c r="F471" s="105" t="n">
        <v>775997420</v>
      </c>
      <c r="G471" s="105"/>
      <c r="H471" s="105" t="s">
        <v>1482</v>
      </c>
      <c r="I471" s="105"/>
      <c r="J471" s="105" t="s">
        <v>350</v>
      </c>
      <c r="K471" s="103" t="n">
        <v>0</v>
      </c>
      <c r="L471" s="103" t="n">
        <v>0</v>
      </c>
      <c r="M471" s="105" t="n">
        <v>200</v>
      </c>
      <c r="N471" s="105" t="n">
        <v>0</v>
      </c>
      <c r="O471" s="103" t="n">
        <v>0</v>
      </c>
      <c r="P471" s="103" t="n">
        <v>0</v>
      </c>
      <c r="Q471" s="103" t="n">
        <v>0</v>
      </c>
      <c r="R471" s="103" t="n">
        <v>0</v>
      </c>
      <c r="S471" s="105" t="n">
        <v>0</v>
      </c>
      <c r="T471" s="105" t="n">
        <v>0</v>
      </c>
      <c r="U471" s="103" t="s">
        <v>247</v>
      </c>
      <c r="V471" s="105" t="n">
        <v>1000</v>
      </c>
      <c r="W471" s="103" t="n">
        <f aca="false">DATA_PIPELINE!$K471</f>
        <v>0</v>
      </c>
      <c r="X471" s="103" t="n">
        <f aca="false">DATA_PIPELINE!$V471-DATA_PIPELINE!$W471</f>
        <v>1000</v>
      </c>
      <c r="Y471" s="103" t="str">
        <f aca="false">IF(DATA_PIPELINE!$X471=0,"Paid",IF(DATA_PIPELINE!$W471=0,"Unpaid","Partly Paid"))</f>
        <v>Unpaid</v>
      </c>
    </row>
    <row r="472" s="106" customFormat="true" ht="15" hidden="false" customHeight="true" outlineLevel="0" collapsed="false">
      <c r="A472" s="103" t="n">
        <v>467</v>
      </c>
      <c r="B472" s="105" t="s">
        <v>1483</v>
      </c>
      <c r="C472" s="105" t="s">
        <v>170</v>
      </c>
      <c r="D472" s="103" t="s">
        <v>1484</v>
      </c>
      <c r="E472" s="105" t="s">
        <v>170</v>
      </c>
      <c r="F472" s="105" t="s">
        <v>170</v>
      </c>
      <c r="G472" s="105"/>
      <c r="H472" s="105" t="s">
        <v>1485</v>
      </c>
      <c r="I472" s="105"/>
      <c r="J472" s="105" t="s">
        <v>350</v>
      </c>
      <c r="K472" s="103" t="n">
        <v>0</v>
      </c>
      <c r="L472" s="103" t="n">
        <v>0</v>
      </c>
      <c r="M472" s="105" t="n">
        <v>50</v>
      </c>
      <c r="N472" s="105" t="n">
        <v>0</v>
      </c>
      <c r="O472" s="103" t="n">
        <v>0</v>
      </c>
      <c r="P472" s="103" t="n">
        <v>0</v>
      </c>
      <c r="Q472" s="103" t="n">
        <v>0</v>
      </c>
      <c r="R472" s="103" t="n">
        <v>0</v>
      </c>
      <c r="S472" s="105" t="n">
        <v>0</v>
      </c>
      <c r="T472" s="105" t="n">
        <v>0</v>
      </c>
      <c r="U472" s="103" t="s">
        <v>177</v>
      </c>
      <c r="V472" s="105" t="n">
        <v>500</v>
      </c>
      <c r="W472" s="103" t="n">
        <f aca="false">DATA_PIPELINE!$K472</f>
        <v>0</v>
      </c>
      <c r="X472" s="103" t="n">
        <f aca="false">DATA_PIPELINE!$V472-DATA_PIPELINE!$W472</f>
        <v>500</v>
      </c>
      <c r="Y472" s="103" t="str">
        <f aca="false">IF(DATA_PIPELINE!$X472=0,"Paid",IF(DATA_PIPELINE!$W472=0,"Unpaid","Partly Paid"))</f>
        <v>Unpaid</v>
      </c>
    </row>
    <row r="473" s="106" customFormat="true" ht="15" hidden="false" customHeight="true" outlineLevel="0" collapsed="false">
      <c r="A473" s="103" t="n">
        <v>468</v>
      </c>
      <c r="B473" s="105" t="s">
        <v>1486</v>
      </c>
      <c r="C473" s="105" t="s">
        <v>170</v>
      </c>
      <c r="D473" s="103" t="s">
        <v>1487</v>
      </c>
      <c r="E473" s="105" t="s">
        <v>170</v>
      </c>
      <c r="F473" s="105" t="s">
        <v>170</v>
      </c>
      <c r="G473" s="105"/>
      <c r="H473" s="105" t="s">
        <v>1488</v>
      </c>
      <c r="I473" s="105"/>
      <c r="J473" s="105" t="s">
        <v>350</v>
      </c>
      <c r="K473" s="103" t="n">
        <v>0</v>
      </c>
      <c r="L473" s="103" t="n">
        <v>0</v>
      </c>
      <c r="M473" s="105" t="n">
        <v>100</v>
      </c>
      <c r="N473" s="105" t="n">
        <v>0</v>
      </c>
      <c r="O473" s="103" t="n">
        <v>0</v>
      </c>
      <c r="P473" s="103" t="n">
        <v>0</v>
      </c>
      <c r="Q473" s="103" t="n">
        <v>0</v>
      </c>
      <c r="R473" s="103" t="n">
        <v>0</v>
      </c>
      <c r="S473" s="105" t="n">
        <v>0</v>
      </c>
      <c r="T473" s="105" t="n">
        <v>0</v>
      </c>
      <c r="U473" s="103" t="s">
        <v>177</v>
      </c>
      <c r="V473" s="105" t="n">
        <v>500</v>
      </c>
      <c r="W473" s="103" t="n">
        <f aca="false">DATA_PIPELINE!$K473</f>
        <v>0</v>
      </c>
      <c r="X473" s="103" t="n">
        <f aca="false">DATA_PIPELINE!$V473-DATA_PIPELINE!$W473</f>
        <v>500</v>
      </c>
      <c r="Y473" s="103" t="str">
        <f aca="false">IF(DATA_PIPELINE!$X473=0,"Paid",IF(DATA_PIPELINE!$W473=0,"Unpaid","Partly Paid"))</f>
        <v>Unpaid</v>
      </c>
    </row>
    <row r="474" s="106" customFormat="true" ht="15" hidden="false" customHeight="true" outlineLevel="0" collapsed="false">
      <c r="A474" s="103" t="n">
        <v>469</v>
      </c>
      <c r="B474" s="105" t="s">
        <v>1489</v>
      </c>
      <c r="C474" s="105" t="s">
        <v>170</v>
      </c>
      <c r="D474" s="103" t="s">
        <v>1489</v>
      </c>
      <c r="E474" s="105" t="s">
        <v>170</v>
      </c>
      <c r="F474" s="105" t="s">
        <v>170</v>
      </c>
      <c r="G474" s="105"/>
      <c r="H474" s="105" t="s">
        <v>193</v>
      </c>
      <c r="I474" s="105"/>
      <c r="J474" s="105" t="s">
        <v>350</v>
      </c>
      <c r="K474" s="103" t="n">
        <v>0</v>
      </c>
      <c r="L474" s="103" t="n">
        <v>0</v>
      </c>
      <c r="M474" s="105" t="n">
        <v>50</v>
      </c>
      <c r="N474" s="105" t="n">
        <v>0</v>
      </c>
      <c r="O474" s="103" t="n">
        <v>0</v>
      </c>
      <c r="P474" s="103" t="n">
        <v>0</v>
      </c>
      <c r="Q474" s="103" t="n">
        <v>0</v>
      </c>
      <c r="R474" s="103" t="n">
        <v>0</v>
      </c>
      <c r="S474" s="105" t="n">
        <v>0</v>
      </c>
      <c r="T474" s="105" t="n">
        <v>0</v>
      </c>
      <c r="U474" s="103" t="s">
        <v>177</v>
      </c>
      <c r="V474" s="105" t="n">
        <v>500</v>
      </c>
      <c r="W474" s="103" t="n">
        <f aca="false">DATA_PIPELINE!$K474</f>
        <v>0</v>
      </c>
      <c r="X474" s="103" t="n">
        <f aca="false">DATA_PIPELINE!$V474-DATA_PIPELINE!$W474</f>
        <v>500</v>
      </c>
      <c r="Y474" s="103" t="str">
        <f aca="false">IF(DATA_PIPELINE!$X474=0,"Paid",IF(DATA_PIPELINE!$W474=0,"Unpaid","Partly Paid"))</f>
        <v>Unpaid</v>
      </c>
    </row>
    <row r="475" s="106" customFormat="true" ht="15" hidden="false" customHeight="true" outlineLevel="0" collapsed="false">
      <c r="A475" s="103" t="n">
        <v>470</v>
      </c>
      <c r="B475" s="105" t="s">
        <v>1490</v>
      </c>
      <c r="C475" s="105" t="s">
        <v>170</v>
      </c>
      <c r="D475" s="107" t="s">
        <v>364</v>
      </c>
      <c r="E475" s="105" t="s">
        <v>170</v>
      </c>
      <c r="F475" s="105" t="n">
        <v>772213786</v>
      </c>
      <c r="G475" s="105"/>
      <c r="H475" s="103" t="s">
        <v>367</v>
      </c>
      <c r="I475" s="105"/>
      <c r="J475" s="105" t="s">
        <v>350</v>
      </c>
      <c r="K475" s="103" t="n">
        <v>0</v>
      </c>
      <c r="L475" s="103" t="n">
        <v>0</v>
      </c>
      <c r="M475" s="105" t="n">
        <v>50</v>
      </c>
      <c r="N475" s="105" t="n">
        <v>0</v>
      </c>
      <c r="O475" s="103" t="n">
        <v>0</v>
      </c>
      <c r="P475" s="103" t="n">
        <v>0</v>
      </c>
      <c r="Q475" s="103" t="n">
        <v>0</v>
      </c>
      <c r="R475" s="103" t="n">
        <v>0</v>
      </c>
      <c r="S475" s="105" t="n">
        <v>0</v>
      </c>
      <c r="T475" s="105" t="n">
        <v>0</v>
      </c>
      <c r="U475" s="103" t="s">
        <v>177</v>
      </c>
      <c r="V475" s="105" t="n">
        <v>500</v>
      </c>
      <c r="W475" s="103" t="n">
        <f aca="false">DATA_PIPELINE!$K475</f>
        <v>0</v>
      </c>
      <c r="X475" s="103" t="n">
        <f aca="false">DATA_PIPELINE!$V475-DATA_PIPELINE!$W475</f>
        <v>500</v>
      </c>
      <c r="Y475" s="103" t="str">
        <f aca="false">IF(DATA_PIPELINE!$X475=0,"Paid",IF(DATA_PIPELINE!$W475=0,"Unpaid","Partly Paid"))</f>
        <v>Unpaid</v>
      </c>
    </row>
    <row r="476" s="106" customFormat="true" ht="15" hidden="false" customHeight="true" outlineLevel="0" collapsed="false">
      <c r="A476" s="103" t="n">
        <v>471</v>
      </c>
      <c r="B476" s="105" t="s">
        <v>1491</v>
      </c>
      <c r="C476" s="105" t="s">
        <v>170</v>
      </c>
      <c r="D476" s="103" t="s">
        <v>1481</v>
      </c>
      <c r="E476" s="105" t="s">
        <v>170</v>
      </c>
      <c r="F476" s="105" t="s">
        <v>170</v>
      </c>
      <c r="G476" s="105" t="s">
        <v>170</v>
      </c>
      <c r="H476" s="105" t="s">
        <v>1492</v>
      </c>
      <c r="I476" s="105"/>
      <c r="J476" s="105" t="s">
        <v>350</v>
      </c>
      <c r="K476" s="103" t="n">
        <v>0</v>
      </c>
      <c r="L476" s="103" t="n">
        <v>0</v>
      </c>
      <c r="M476" s="105" t="n">
        <v>200</v>
      </c>
      <c r="N476" s="105" t="n">
        <v>0</v>
      </c>
      <c r="O476" s="103" t="n">
        <v>0</v>
      </c>
      <c r="P476" s="103" t="n">
        <v>0</v>
      </c>
      <c r="Q476" s="103" t="n">
        <v>0</v>
      </c>
      <c r="R476" s="103" t="n">
        <v>0</v>
      </c>
      <c r="S476" s="105" t="n">
        <v>0</v>
      </c>
      <c r="T476" s="105" t="n">
        <v>0</v>
      </c>
      <c r="U476" s="103" t="s">
        <v>247</v>
      </c>
      <c r="V476" s="105" t="n">
        <v>1000</v>
      </c>
      <c r="W476" s="103" t="n">
        <f aca="false">DATA_PIPELINE!$K476</f>
        <v>0</v>
      </c>
      <c r="X476" s="103" t="n">
        <f aca="false">DATA_PIPELINE!$V476-DATA_PIPELINE!$W476</f>
        <v>1000</v>
      </c>
      <c r="Y476" s="103" t="str">
        <f aca="false">IF(DATA_PIPELINE!$X476=0,"Paid",IF(DATA_PIPELINE!$W476=0,"Unpaid","Partly Paid"))</f>
        <v>Unpaid</v>
      </c>
    </row>
    <row r="477" s="106" customFormat="true" ht="15" hidden="false" customHeight="true" outlineLevel="0" collapsed="false">
      <c r="A477" s="103" t="n">
        <v>472</v>
      </c>
      <c r="B477" s="105" t="s">
        <v>1493</v>
      </c>
      <c r="C477" s="105" t="s">
        <v>170</v>
      </c>
      <c r="D477" s="103" t="s">
        <v>1489</v>
      </c>
      <c r="E477" s="105" t="s">
        <v>170</v>
      </c>
      <c r="F477" s="105" t="s">
        <v>170</v>
      </c>
      <c r="G477" s="105" t="s">
        <v>170</v>
      </c>
      <c r="H477" s="105" t="s">
        <v>170</v>
      </c>
      <c r="I477" s="105"/>
      <c r="J477" s="105" t="s">
        <v>350</v>
      </c>
      <c r="K477" s="103" t="n">
        <v>0</v>
      </c>
      <c r="L477" s="103" t="n">
        <v>0</v>
      </c>
      <c r="M477" s="105" t="n">
        <v>60</v>
      </c>
      <c r="N477" s="105" t="n">
        <v>0</v>
      </c>
      <c r="O477" s="103" t="n">
        <v>0</v>
      </c>
      <c r="P477" s="103" t="n">
        <v>0</v>
      </c>
      <c r="Q477" s="103" t="n">
        <v>0</v>
      </c>
      <c r="R477" s="103" t="n">
        <v>0</v>
      </c>
      <c r="S477" s="105" t="n">
        <v>0</v>
      </c>
      <c r="T477" s="105" t="n">
        <v>0</v>
      </c>
      <c r="U477" s="103" t="s">
        <v>177</v>
      </c>
      <c r="V477" s="105" t="n">
        <v>500</v>
      </c>
      <c r="W477" s="103" t="n">
        <f aca="false">DATA_PIPELINE!$K477</f>
        <v>0</v>
      </c>
      <c r="X477" s="103" t="n">
        <f aca="false">DATA_PIPELINE!$V477-DATA_PIPELINE!$W477</f>
        <v>500</v>
      </c>
      <c r="Y477" s="103" t="str">
        <f aca="false">IF(DATA_PIPELINE!$X477=0,"Paid",IF(DATA_PIPELINE!$W477=0,"Unpaid","Partly Paid"))</f>
        <v>Unpaid</v>
      </c>
    </row>
    <row r="478" s="106" customFormat="true" ht="15" hidden="false" customHeight="true" outlineLevel="0" collapsed="false">
      <c r="A478" s="103" t="n">
        <v>473</v>
      </c>
      <c r="B478" s="105" t="s">
        <v>1494</v>
      </c>
      <c r="C478" s="105" t="s">
        <v>170</v>
      </c>
      <c r="D478" s="108" t="s">
        <v>420</v>
      </c>
      <c r="E478" s="105" t="s">
        <v>170</v>
      </c>
      <c r="F478" s="105" t="s">
        <v>170</v>
      </c>
      <c r="G478" s="105" t="s">
        <v>170</v>
      </c>
      <c r="H478" s="105" t="s">
        <v>170</v>
      </c>
      <c r="I478" s="105"/>
      <c r="J478" s="105" t="s">
        <v>350</v>
      </c>
      <c r="K478" s="103" t="n">
        <v>0</v>
      </c>
      <c r="L478" s="103" t="n">
        <v>0</v>
      </c>
      <c r="M478" s="105" t="n">
        <v>60</v>
      </c>
      <c r="N478" s="105" t="n">
        <v>0</v>
      </c>
      <c r="O478" s="103" t="n">
        <v>0</v>
      </c>
      <c r="P478" s="103" t="n">
        <v>0</v>
      </c>
      <c r="Q478" s="103" t="n">
        <v>0</v>
      </c>
      <c r="R478" s="103" t="n">
        <v>0</v>
      </c>
      <c r="S478" s="105" t="n">
        <v>0</v>
      </c>
      <c r="T478" s="105" t="n">
        <v>0</v>
      </c>
      <c r="U478" s="103" t="s">
        <v>177</v>
      </c>
      <c r="V478" s="105" t="n">
        <v>500</v>
      </c>
      <c r="W478" s="103" t="n">
        <f aca="false">DATA_PIPELINE!$K478</f>
        <v>0</v>
      </c>
      <c r="X478" s="103" t="n">
        <f aca="false">DATA_PIPELINE!$V478-DATA_PIPELINE!$W478</f>
        <v>500</v>
      </c>
      <c r="Y478" s="103" t="str">
        <f aca="false">IF(DATA_PIPELINE!$X478=0,"Paid",IF(DATA_PIPELINE!$W478=0,"Unpaid","Partly Paid"))</f>
        <v>Unpaid</v>
      </c>
    </row>
    <row r="479" s="106" customFormat="true" ht="15" hidden="false" customHeight="true" outlineLevel="0" collapsed="false">
      <c r="A479" s="103" t="n">
        <v>474</v>
      </c>
      <c r="B479" s="105" t="s">
        <v>1495</v>
      </c>
      <c r="C479" s="105" t="s">
        <v>170</v>
      </c>
      <c r="D479" s="107" t="s">
        <v>283</v>
      </c>
      <c r="E479" s="105" t="s">
        <v>170</v>
      </c>
      <c r="F479" s="105" t="s">
        <v>170</v>
      </c>
      <c r="G479" s="105" t="s">
        <v>170</v>
      </c>
      <c r="H479" s="105" t="s">
        <v>170</v>
      </c>
      <c r="I479" s="105"/>
      <c r="J479" s="105" t="s">
        <v>350</v>
      </c>
      <c r="K479" s="103" t="n">
        <v>0</v>
      </c>
      <c r="L479" s="103" t="n">
        <v>0</v>
      </c>
      <c r="M479" s="105" t="n">
        <v>100</v>
      </c>
      <c r="N479" s="105" t="n">
        <v>0</v>
      </c>
      <c r="O479" s="103" t="n">
        <v>0</v>
      </c>
      <c r="P479" s="103" t="n">
        <v>0</v>
      </c>
      <c r="Q479" s="103" t="n">
        <v>0</v>
      </c>
      <c r="R479" s="103" t="n">
        <v>0</v>
      </c>
      <c r="S479" s="105" t="n">
        <v>0</v>
      </c>
      <c r="T479" s="105" t="n">
        <v>0</v>
      </c>
      <c r="U479" s="103" t="s">
        <v>177</v>
      </c>
      <c r="V479" s="105" t="n">
        <v>500</v>
      </c>
      <c r="W479" s="103" t="n">
        <f aca="false">DATA_PIPELINE!$K479</f>
        <v>0</v>
      </c>
      <c r="X479" s="103" t="n">
        <f aca="false">DATA_PIPELINE!$V479-DATA_PIPELINE!$W479</f>
        <v>500</v>
      </c>
      <c r="Y479" s="103" t="str">
        <f aca="false">IF(DATA_PIPELINE!$X479=0,"Paid",IF(DATA_PIPELINE!$W479=0,"Unpaid","Partly Paid"))</f>
        <v>Unpaid</v>
      </c>
    </row>
    <row r="480" s="106" customFormat="true" ht="15" hidden="false" customHeight="true" outlineLevel="0" collapsed="false">
      <c r="A480" s="103" t="n">
        <v>475</v>
      </c>
      <c r="B480" s="105" t="s">
        <v>1496</v>
      </c>
      <c r="C480" s="105" t="s">
        <v>170</v>
      </c>
      <c r="D480" s="108" t="s">
        <v>420</v>
      </c>
      <c r="E480" s="105" t="s">
        <v>170</v>
      </c>
      <c r="F480" s="105" t="s">
        <v>170</v>
      </c>
      <c r="G480" s="105" t="s">
        <v>170</v>
      </c>
      <c r="H480" s="105" t="s">
        <v>174</v>
      </c>
      <c r="I480" s="105"/>
      <c r="J480" s="105" t="s">
        <v>350</v>
      </c>
      <c r="K480" s="103" t="n">
        <v>0</v>
      </c>
      <c r="L480" s="103" t="n">
        <v>0</v>
      </c>
      <c r="M480" s="105" t="n">
        <v>50</v>
      </c>
      <c r="N480" s="105" t="n">
        <v>0</v>
      </c>
      <c r="O480" s="103" t="n">
        <v>0</v>
      </c>
      <c r="P480" s="103" t="n">
        <v>0</v>
      </c>
      <c r="Q480" s="103" t="n">
        <v>0</v>
      </c>
      <c r="R480" s="103" t="n">
        <v>0</v>
      </c>
      <c r="S480" s="105" t="n">
        <v>0</v>
      </c>
      <c r="T480" s="105" t="n">
        <v>0</v>
      </c>
      <c r="U480" s="103" t="s">
        <v>177</v>
      </c>
      <c r="V480" s="105" t="n">
        <v>500</v>
      </c>
      <c r="W480" s="103" t="n">
        <f aca="false">DATA_PIPELINE!$K480</f>
        <v>0</v>
      </c>
      <c r="X480" s="103" t="n">
        <f aca="false">DATA_PIPELINE!$V480-DATA_PIPELINE!$W480</f>
        <v>500</v>
      </c>
      <c r="Y480" s="103" t="str">
        <f aca="false">IF(DATA_PIPELINE!$X480=0,"Paid",IF(DATA_PIPELINE!$W480=0,"Unpaid","Partly Paid"))</f>
        <v>Unpaid</v>
      </c>
    </row>
    <row r="481" s="106" customFormat="true" ht="15" hidden="false" customHeight="true" outlineLevel="0" collapsed="false">
      <c r="A481" s="103" t="n">
        <v>476</v>
      </c>
      <c r="B481" s="105" t="s">
        <v>1497</v>
      </c>
      <c r="C481" s="105" t="s">
        <v>170</v>
      </c>
      <c r="D481" s="107" t="s">
        <v>358</v>
      </c>
      <c r="E481" s="105" t="s">
        <v>170</v>
      </c>
      <c r="F481" s="105" t="s">
        <v>170</v>
      </c>
      <c r="G481" s="105" t="s">
        <v>170</v>
      </c>
      <c r="H481" s="105" t="s">
        <v>170</v>
      </c>
      <c r="I481" s="105"/>
      <c r="J481" s="105" t="s">
        <v>350</v>
      </c>
      <c r="K481" s="103" t="n">
        <v>0</v>
      </c>
      <c r="L481" s="103" t="n">
        <v>0</v>
      </c>
      <c r="M481" s="105" t="n">
        <v>50</v>
      </c>
      <c r="N481" s="105" t="n">
        <v>0</v>
      </c>
      <c r="O481" s="103" t="n">
        <v>0</v>
      </c>
      <c r="P481" s="103" t="n">
        <v>0</v>
      </c>
      <c r="Q481" s="103" t="n">
        <v>0</v>
      </c>
      <c r="R481" s="103" t="n">
        <v>0</v>
      </c>
      <c r="S481" s="105" t="n">
        <v>0</v>
      </c>
      <c r="T481" s="105" t="n">
        <v>0</v>
      </c>
      <c r="U481" s="103" t="s">
        <v>177</v>
      </c>
      <c r="V481" s="105" t="n">
        <v>500</v>
      </c>
      <c r="W481" s="103" t="n">
        <f aca="false">DATA_PIPELINE!$K481</f>
        <v>0</v>
      </c>
      <c r="X481" s="103" t="n">
        <f aca="false">DATA_PIPELINE!$V481-DATA_PIPELINE!$W481</f>
        <v>500</v>
      </c>
      <c r="Y481" s="103" t="str">
        <f aca="false">IF(DATA_PIPELINE!$X481=0,"Paid",IF(DATA_PIPELINE!$W481=0,"Unpaid","Partly Paid"))</f>
        <v>Unpaid</v>
      </c>
    </row>
    <row r="482" s="106" customFormat="true" ht="15" hidden="false" customHeight="true" outlineLevel="0" collapsed="false">
      <c r="A482" s="103" t="n">
        <v>477</v>
      </c>
      <c r="B482" s="105" t="s">
        <v>1498</v>
      </c>
      <c r="C482" s="105" t="s">
        <v>170</v>
      </c>
      <c r="D482" s="108" t="s">
        <v>358</v>
      </c>
      <c r="E482" s="105" t="s">
        <v>170</v>
      </c>
      <c r="F482" s="105" t="s">
        <v>170</v>
      </c>
      <c r="G482" s="105" t="s">
        <v>170</v>
      </c>
      <c r="H482" s="105" t="s">
        <v>170</v>
      </c>
      <c r="I482" s="105"/>
      <c r="J482" s="105" t="s">
        <v>350</v>
      </c>
      <c r="K482" s="103" t="n">
        <v>0</v>
      </c>
      <c r="L482" s="103" t="n">
        <v>0</v>
      </c>
      <c r="M482" s="105" t="n">
        <v>50</v>
      </c>
      <c r="N482" s="105" t="n">
        <v>0</v>
      </c>
      <c r="O482" s="103" t="n">
        <v>0</v>
      </c>
      <c r="P482" s="103" t="n">
        <v>0</v>
      </c>
      <c r="Q482" s="103" t="n">
        <v>0</v>
      </c>
      <c r="R482" s="103" t="n">
        <v>0</v>
      </c>
      <c r="S482" s="105" t="n">
        <v>0</v>
      </c>
      <c r="T482" s="105" t="n">
        <v>0</v>
      </c>
      <c r="U482" s="103" t="s">
        <v>177</v>
      </c>
      <c r="V482" s="105" t="n">
        <v>500</v>
      </c>
      <c r="W482" s="103" t="n">
        <f aca="false">DATA_PIPELINE!$K482</f>
        <v>0</v>
      </c>
      <c r="X482" s="103" t="n">
        <f aca="false">DATA_PIPELINE!$V482-DATA_PIPELINE!$W482</f>
        <v>500</v>
      </c>
      <c r="Y482" s="103" t="str">
        <f aca="false">IF(DATA_PIPELINE!$X482=0,"Paid",IF(DATA_PIPELINE!$W482=0,"Unpaid","Partly Paid"))</f>
        <v>Unpaid</v>
      </c>
    </row>
    <row r="483" s="106" customFormat="true" ht="15" hidden="false" customHeight="true" outlineLevel="0" collapsed="false">
      <c r="A483" s="103" t="n">
        <v>478</v>
      </c>
      <c r="B483" s="105" t="s">
        <v>1499</v>
      </c>
      <c r="C483" s="105" t="s">
        <v>170</v>
      </c>
      <c r="D483" s="108" t="s">
        <v>1137</v>
      </c>
      <c r="E483" s="105" t="s">
        <v>170</v>
      </c>
      <c r="F483" s="105" t="s">
        <v>170</v>
      </c>
      <c r="G483" s="105" t="s">
        <v>170</v>
      </c>
      <c r="H483" s="105" t="s">
        <v>170</v>
      </c>
      <c r="I483" s="105"/>
      <c r="J483" s="105" t="s">
        <v>350</v>
      </c>
      <c r="K483" s="103" t="n">
        <v>0</v>
      </c>
      <c r="L483" s="103" t="n">
        <v>0</v>
      </c>
      <c r="M483" s="105" t="n">
        <v>100</v>
      </c>
      <c r="N483" s="105" t="n">
        <v>0</v>
      </c>
      <c r="O483" s="103" t="n">
        <v>0</v>
      </c>
      <c r="P483" s="103" t="n">
        <v>0</v>
      </c>
      <c r="Q483" s="103" t="n">
        <v>0</v>
      </c>
      <c r="R483" s="103" t="n">
        <v>0</v>
      </c>
      <c r="S483" s="105" t="n">
        <v>0</v>
      </c>
      <c r="T483" s="105" t="n">
        <v>0</v>
      </c>
      <c r="U483" s="103" t="s">
        <v>177</v>
      </c>
      <c r="V483" s="105" t="n">
        <v>500</v>
      </c>
      <c r="W483" s="103" t="n">
        <f aca="false">DATA_PIPELINE!$K483</f>
        <v>0</v>
      </c>
      <c r="X483" s="103" t="n">
        <f aca="false">DATA_PIPELINE!$V483-DATA_PIPELINE!$W483</f>
        <v>500</v>
      </c>
      <c r="Y483" s="103" t="str">
        <f aca="false">IF(DATA_PIPELINE!$X483=0,"Paid",IF(DATA_PIPELINE!$W483=0,"Unpaid","Partly Paid"))</f>
        <v>Unpaid</v>
      </c>
    </row>
    <row r="484" s="106" customFormat="true" ht="15" hidden="false" customHeight="true" outlineLevel="0" collapsed="false">
      <c r="A484" s="103" t="n">
        <v>479</v>
      </c>
      <c r="B484" s="105" t="s">
        <v>1500</v>
      </c>
      <c r="C484" s="105" t="s">
        <v>170</v>
      </c>
      <c r="D484" s="108" t="s">
        <v>358</v>
      </c>
      <c r="E484" s="105" t="s">
        <v>170</v>
      </c>
      <c r="F484" s="105" t="s">
        <v>170</v>
      </c>
      <c r="G484" s="105" t="s">
        <v>170</v>
      </c>
      <c r="H484" s="105" t="s">
        <v>174</v>
      </c>
      <c r="I484" s="105"/>
      <c r="J484" s="105" t="s">
        <v>350</v>
      </c>
      <c r="K484" s="103" t="n">
        <v>0</v>
      </c>
      <c r="L484" s="103" t="n">
        <v>0</v>
      </c>
      <c r="M484" s="105" t="n">
        <v>30</v>
      </c>
      <c r="N484" s="105" t="n">
        <v>0</v>
      </c>
      <c r="O484" s="103" t="n">
        <v>0</v>
      </c>
      <c r="P484" s="103" t="n">
        <v>0</v>
      </c>
      <c r="Q484" s="103" t="n">
        <v>0</v>
      </c>
      <c r="R484" s="103" t="n">
        <v>0</v>
      </c>
      <c r="S484" s="105" t="n">
        <v>0</v>
      </c>
      <c r="T484" s="105" t="n">
        <v>0</v>
      </c>
      <c r="U484" s="103" t="s">
        <v>177</v>
      </c>
      <c r="V484" s="105" t="n">
        <v>500</v>
      </c>
      <c r="W484" s="103" t="n">
        <f aca="false">DATA_PIPELINE!$K484</f>
        <v>0</v>
      </c>
      <c r="X484" s="103" t="n">
        <f aca="false">DATA_PIPELINE!$V484-DATA_PIPELINE!$W484</f>
        <v>500</v>
      </c>
      <c r="Y484" s="103" t="str">
        <f aca="false">IF(DATA_PIPELINE!$X484=0,"Paid",IF(DATA_PIPELINE!$W484=0,"Unpaid","Partly Paid"))</f>
        <v>Unpaid</v>
      </c>
    </row>
    <row r="485" s="106" customFormat="true" ht="15" hidden="false" customHeight="true" outlineLevel="0" collapsed="false">
      <c r="A485" s="103" t="n">
        <v>480</v>
      </c>
      <c r="B485" s="105" t="s">
        <v>1501</v>
      </c>
      <c r="C485" s="105" t="s">
        <v>170</v>
      </c>
      <c r="D485" s="103" t="s">
        <v>988</v>
      </c>
      <c r="E485" s="105" t="s">
        <v>170</v>
      </c>
      <c r="F485" s="105" t="s">
        <v>170</v>
      </c>
      <c r="G485" s="105" t="s">
        <v>170</v>
      </c>
      <c r="H485" s="105" t="s">
        <v>170</v>
      </c>
      <c r="I485" s="105"/>
      <c r="J485" s="105" t="s">
        <v>350</v>
      </c>
      <c r="K485" s="103" t="n">
        <v>0</v>
      </c>
      <c r="L485" s="103" t="n">
        <v>0</v>
      </c>
      <c r="M485" s="105"/>
      <c r="N485" s="105" t="n">
        <v>0</v>
      </c>
      <c r="O485" s="103" t="n">
        <v>0</v>
      </c>
      <c r="P485" s="103" t="n">
        <v>0</v>
      </c>
      <c r="Q485" s="103" t="n">
        <v>0</v>
      </c>
      <c r="R485" s="103" t="n">
        <v>0</v>
      </c>
      <c r="S485" s="105" t="n">
        <v>0</v>
      </c>
      <c r="T485" s="105" t="n">
        <v>0</v>
      </c>
      <c r="U485" s="103" t="s">
        <v>177</v>
      </c>
      <c r="V485" s="105" t="n">
        <v>500</v>
      </c>
      <c r="W485" s="103" t="n">
        <f aca="false">DATA_PIPELINE!$K485</f>
        <v>0</v>
      </c>
      <c r="X485" s="103" t="n">
        <f aca="false">DATA_PIPELINE!$V485-DATA_PIPELINE!$W485</f>
        <v>500</v>
      </c>
      <c r="Y485" s="103" t="str">
        <f aca="false">IF(DATA_PIPELINE!$X485=0,"Paid",IF(DATA_PIPELINE!$W485=0,"Unpaid","Partly Paid"))</f>
        <v>Unpaid</v>
      </c>
    </row>
    <row r="486" s="106" customFormat="true" ht="15" hidden="false" customHeight="true" outlineLevel="0" collapsed="false">
      <c r="A486" s="103" t="n">
        <v>481</v>
      </c>
      <c r="B486" s="105" t="s">
        <v>1502</v>
      </c>
      <c r="C486" s="105" t="s">
        <v>170</v>
      </c>
      <c r="D486" s="103" t="s">
        <v>531</v>
      </c>
      <c r="E486" s="105" t="s">
        <v>170</v>
      </c>
      <c r="F486" s="105" t="s">
        <v>170</v>
      </c>
      <c r="G486" s="105" t="s">
        <v>170</v>
      </c>
      <c r="H486" s="105" t="s">
        <v>170</v>
      </c>
      <c r="I486" s="105"/>
      <c r="J486" s="105" t="s">
        <v>350</v>
      </c>
      <c r="K486" s="103" t="n">
        <v>0</v>
      </c>
      <c r="L486" s="103" t="n">
        <v>0</v>
      </c>
      <c r="M486" s="105" t="n">
        <v>100</v>
      </c>
      <c r="N486" s="105" t="n">
        <v>0</v>
      </c>
      <c r="O486" s="103" t="n">
        <v>0</v>
      </c>
      <c r="P486" s="103" t="n">
        <v>0</v>
      </c>
      <c r="Q486" s="103" t="n">
        <v>0</v>
      </c>
      <c r="R486" s="103" t="n">
        <v>0</v>
      </c>
      <c r="S486" s="105" t="n">
        <v>0</v>
      </c>
      <c r="T486" s="105" t="n">
        <v>0</v>
      </c>
      <c r="U486" s="103" t="s">
        <v>177</v>
      </c>
      <c r="V486" s="105" t="n">
        <v>500</v>
      </c>
      <c r="W486" s="103" t="n">
        <f aca="false">DATA_PIPELINE!$K486</f>
        <v>0</v>
      </c>
      <c r="X486" s="103" t="n">
        <f aca="false">DATA_PIPELINE!$V486-DATA_PIPELINE!$W486</f>
        <v>500</v>
      </c>
      <c r="Y486" s="103" t="str">
        <f aca="false">IF(DATA_PIPELINE!$X486=0,"Paid",IF(DATA_PIPELINE!$W486=0,"Unpaid","Partly Paid"))</f>
        <v>Unpaid</v>
      </c>
    </row>
    <row r="487" s="106" customFormat="true" ht="15" hidden="false" customHeight="true" outlineLevel="0" collapsed="false">
      <c r="A487" s="103" t="n">
        <v>482</v>
      </c>
      <c r="B487" s="105" t="s">
        <v>1503</v>
      </c>
      <c r="C487" s="105" t="s">
        <v>170</v>
      </c>
      <c r="D487" s="103" t="s">
        <v>1489</v>
      </c>
      <c r="E487" s="105" t="s">
        <v>1504</v>
      </c>
      <c r="F487" s="105" t="n">
        <v>773066352</v>
      </c>
      <c r="G487" s="105"/>
      <c r="H487" s="105" t="s">
        <v>193</v>
      </c>
      <c r="I487" s="105"/>
      <c r="J487" s="105" t="s">
        <v>350</v>
      </c>
      <c r="K487" s="105" t="n">
        <v>500</v>
      </c>
      <c r="L487" s="105" t="n">
        <v>0</v>
      </c>
      <c r="M487" s="105" t="n">
        <v>0</v>
      </c>
      <c r="N487" s="105" t="n">
        <v>30</v>
      </c>
      <c r="O487" s="103" t="n">
        <v>0</v>
      </c>
      <c r="P487" s="103" t="n">
        <v>0</v>
      </c>
      <c r="Q487" s="103" t="n">
        <v>0</v>
      </c>
      <c r="R487" s="103" t="n">
        <v>0</v>
      </c>
      <c r="S487" s="105" t="n">
        <v>0</v>
      </c>
      <c r="T487" s="105" t="n">
        <v>0</v>
      </c>
      <c r="U487" s="103" t="s">
        <v>177</v>
      </c>
      <c r="V487" s="105" t="n">
        <v>500</v>
      </c>
      <c r="W487" s="103" t="n">
        <f aca="false">DATA_PIPELINE!$K487</f>
        <v>500</v>
      </c>
      <c r="X487" s="103" t="n">
        <f aca="false">DATA_PIPELINE!$V487-DATA_PIPELINE!$W487</f>
        <v>0</v>
      </c>
      <c r="Y487" s="103" t="str">
        <f aca="false">IF(DATA_PIPELINE!$X487=0,"Paid",IF(DATA_PIPELINE!$W487=0,"Unpaid","Partly Paid"))</f>
        <v>Paid</v>
      </c>
    </row>
    <row r="488" s="106" customFormat="true" ht="15" hidden="false" customHeight="true" outlineLevel="0" collapsed="false">
      <c r="A488" s="103" t="n">
        <v>483</v>
      </c>
      <c r="B488" s="105" t="s">
        <v>1505</v>
      </c>
      <c r="C488" s="105" t="s">
        <v>170</v>
      </c>
      <c r="D488" s="107" t="s">
        <v>364</v>
      </c>
      <c r="E488" s="105" t="s">
        <v>170</v>
      </c>
      <c r="F488" s="105" t="s">
        <v>170</v>
      </c>
      <c r="G488" s="105" t="s">
        <v>170</v>
      </c>
      <c r="H488" s="103" t="s">
        <v>367</v>
      </c>
      <c r="I488" s="105"/>
      <c r="J488" s="105" t="s">
        <v>350</v>
      </c>
      <c r="K488" s="105" t="n">
        <v>0</v>
      </c>
      <c r="L488" s="105" t="n">
        <v>0</v>
      </c>
      <c r="M488" s="105" t="n">
        <v>10</v>
      </c>
      <c r="N488" s="105" t="n">
        <v>0</v>
      </c>
      <c r="O488" s="103" t="n">
        <v>0</v>
      </c>
      <c r="P488" s="103" t="n">
        <v>0</v>
      </c>
      <c r="Q488" s="103" t="n">
        <v>0</v>
      </c>
      <c r="R488" s="103" t="n">
        <v>0</v>
      </c>
      <c r="S488" s="105" t="n">
        <v>0</v>
      </c>
      <c r="T488" s="105" t="n">
        <v>0</v>
      </c>
      <c r="U488" s="103" t="s">
        <v>177</v>
      </c>
      <c r="V488" s="105" t="n">
        <v>500</v>
      </c>
      <c r="W488" s="103" t="n">
        <f aca="false">DATA_PIPELINE!$K488</f>
        <v>0</v>
      </c>
      <c r="X488" s="103" t="n">
        <f aca="false">DATA_PIPELINE!$V488-DATA_PIPELINE!$W488</f>
        <v>500</v>
      </c>
      <c r="Y488" s="103" t="str">
        <f aca="false">IF(DATA_PIPELINE!$X488=0,"Paid",IF(DATA_PIPELINE!$W488=0,"Unpaid","Partly Paid"))</f>
        <v>Unpaid</v>
      </c>
    </row>
    <row r="489" s="106" customFormat="true" ht="15" hidden="false" customHeight="true" outlineLevel="0" collapsed="false">
      <c r="A489" s="103" t="n">
        <v>484</v>
      </c>
      <c r="B489" s="105" t="s">
        <v>1506</v>
      </c>
      <c r="C489" s="105" t="s">
        <v>170</v>
      </c>
      <c r="D489" s="103" t="s">
        <v>803</v>
      </c>
      <c r="E489" s="105" t="s">
        <v>170</v>
      </c>
      <c r="F489" s="105" t="s">
        <v>170</v>
      </c>
      <c r="G489" s="105" t="s">
        <v>170</v>
      </c>
      <c r="H489" s="105" t="s">
        <v>170</v>
      </c>
      <c r="I489" s="105"/>
      <c r="J489" s="105" t="s">
        <v>350</v>
      </c>
      <c r="K489" s="105" t="n">
        <v>0</v>
      </c>
      <c r="L489" s="105" t="n">
        <v>0</v>
      </c>
      <c r="M489" s="105" t="n">
        <v>200</v>
      </c>
      <c r="N489" s="105" t="n">
        <v>0</v>
      </c>
      <c r="O489" s="103" t="n">
        <v>0</v>
      </c>
      <c r="P489" s="103" t="n">
        <v>0</v>
      </c>
      <c r="Q489" s="103" t="n">
        <v>0</v>
      </c>
      <c r="R489" s="103" t="n">
        <v>0</v>
      </c>
      <c r="S489" s="105" t="n">
        <v>0</v>
      </c>
      <c r="T489" s="105" t="n">
        <v>0</v>
      </c>
      <c r="U489" s="103" t="s">
        <v>247</v>
      </c>
      <c r="V489" s="105" t="n">
        <v>1000</v>
      </c>
      <c r="W489" s="103" t="n">
        <f aca="false">DATA_PIPELINE!$K489</f>
        <v>0</v>
      </c>
      <c r="X489" s="103" t="n">
        <f aca="false">DATA_PIPELINE!$V489-DATA_PIPELINE!$W489</f>
        <v>1000</v>
      </c>
      <c r="Y489" s="103" t="str">
        <f aca="false">IF(DATA_PIPELINE!$X489=0,"Paid",IF(DATA_PIPELINE!$W489=0,"Unpaid","Partly Paid"))</f>
        <v>Unpaid</v>
      </c>
    </row>
    <row r="490" s="106" customFormat="true" ht="15" hidden="false" customHeight="true" outlineLevel="0" collapsed="false">
      <c r="A490" s="103" t="n">
        <v>485</v>
      </c>
      <c r="B490" s="105" t="s">
        <v>1507</v>
      </c>
      <c r="C490" s="105" t="s">
        <v>170</v>
      </c>
      <c r="D490" s="107" t="s">
        <v>364</v>
      </c>
      <c r="E490" s="105" t="s">
        <v>170</v>
      </c>
      <c r="F490" s="105" t="s">
        <v>170</v>
      </c>
      <c r="G490" s="105" t="s">
        <v>170</v>
      </c>
      <c r="H490" s="103" t="s">
        <v>367</v>
      </c>
      <c r="I490" s="105"/>
      <c r="J490" s="105" t="s">
        <v>350</v>
      </c>
      <c r="K490" s="105" t="n">
        <v>0</v>
      </c>
      <c r="L490" s="105" t="n">
        <v>0</v>
      </c>
      <c r="M490" s="105" t="n">
        <v>20</v>
      </c>
      <c r="N490" s="105" t="n">
        <v>0</v>
      </c>
      <c r="O490" s="103" t="n">
        <v>0</v>
      </c>
      <c r="P490" s="103" t="n">
        <v>0</v>
      </c>
      <c r="Q490" s="103" t="n">
        <v>0</v>
      </c>
      <c r="R490" s="103" t="n">
        <v>0</v>
      </c>
      <c r="S490" s="105" t="n">
        <v>0</v>
      </c>
      <c r="T490" s="105" t="n">
        <v>0</v>
      </c>
      <c r="U490" s="103" t="s">
        <v>177</v>
      </c>
      <c r="V490" s="105" t="n">
        <v>500</v>
      </c>
      <c r="W490" s="103" t="n">
        <f aca="false">DATA_PIPELINE!$K490</f>
        <v>0</v>
      </c>
      <c r="X490" s="103" t="n">
        <f aca="false">DATA_PIPELINE!$V490-DATA_PIPELINE!$W490</f>
        <v>500</v>
      </c>
      <c r="Y490" s="103" t="str">
        <f aca="false">IF(DATA_PIPELINE!$X490=0,"Paid",IF(DATA_PIPELINE!$W490=0,"Unpaid","Partly Paid"))</f>
        <v>Unpaid</v>
      </c>
    </row>
    <row r="491" s="106" customFormat="true" ht="15" hidden="false" customHeight="true" outlineLevel="0" collapsed="false">
      <c r="A491" s="103" t="n">
        <v>486</v>
      </c>
      <c r="B491" s="105" t="s">
        <v>1508</v>
      </c>
      <c r="C491" s="105" t="s">
        <v>170</v>
      </c>
      <c r="D491" s="103" t="s">
        <v>914</v>
      </c>
      <c r="E491" s="105" t="s">
        <v>170</v>
      </c>
      <c r="F491" s="105" t="s">
        <v>170</v>
      </c>
      <c r="G491" s="105" t="s">
        <v>1509</v>
      </c>
      <c r="H491" s="105" t="s">
        <v>193</v>
      </c>
      <c r="I491" s="105"/>
      <c r="J491" s="105" t="s">
        <v>350</v>
      </c>
      <c r="K491" s="105" t="n">
        <v>0</v>
      </c>
      <c r="L491" s="105" t="n">
        <v>0</v>
      </c>
      <c r="M491" s="105" t="n">
        <v>6</v>
      </c>
      <c r="N491" s="105" t="n">
        <v>0</v>
      </c>
      <c r="O491" s="103" t="n">
        <v>0</v>
      </c>
      <c r="P491" s="103" t="n">
        <v>0</v>
      </c>
      <c r="Q491" s="103" t="n">
        <v>0</v>
      </c>
      <c r="R491" s="103" t="n">
        <v>0</v>
      </c>
      <c r="S491" s="105" t="n">
        <v>0</v>
      </c>
      <c r="T491" s="105" t="n">
        <v>0</v>
      </c>
      <c r="U491" s="103" t="s">
        <v>177</v>
      </c>
      <c r="V491" s="105" t="n">
        <v>500</v>
      </c>
      <c r="W491" s="103" t="n">
        <f aca="false">DATA_PIPELINE!$K491</f>
        <v>0</v>
      </c>
      <c r="X491" s="103" t="n">
        <f aca="false">DATA_PIPELINE!$V491-DATA_PIPELINE!$W491</f>
        <v>500</v>
      </c>
      <c r="Y491" s="103" t="str">
        <f aca="false">IF(DATA_PIPELINE!$X491=0,"Paid",IF(DATA_PIPELINE!$W491=0,"Unpaid","Partly Paid"))</f>
        <v>Unpaid</v>
      </c>
    </row>
    <row r="492" s="106" customFormat="true" ht="15" hidden="false" customHeight="true" outlineLevel="0" collapsed="false">
      <c r="A492" s="103" t="n">
        <v>487</v>
      </c>
      <c r="B492" s="105" t="s">
        <v>1510</v>
      </c>
      <c r="C492" s="105" t="s">
        <v>170</v>
      </c>
      <c r="D492" s="103" t="s">
        <v>1475</v>
      </c>
      <c r="E492" s="105" t="s">
        <v>170</v>
      </c>
      <c r="F492" s="105" t="s">
        <v>170</v>
      </c>
      <c r="G492" s="105" t="s">
        <v>170</v>
      </c>
      <c r="H492" s="105" t="s">
        <v>1511</v>
      </c>
      <c r="I492" s="105"/>
      <c r="J492" s="105" t="s">
        <v>350</v>
      </c>
      <c r="K492" s="105" t="n">
        <v>0</v>
      </c>
      <c r="L492" s="105" t="n">
        <v>0</v>
      </c>
      <c r="M492" s="105" t="n">
        <v>500</v>
      </c>
      <c r="N492" s="105" t="n">
        <v>0</v>
      </c>
      <c r="O492" s="103" t="n">
        <v>0</v>
      </c>
      <c r="P492" s="103" t="n">
        <v>0</v>
      </c>
      <c r="Q492" s="103" t="n">
        <v>0</v>
      </c>
      <c r="R492" s="103" t="n">
        <v>0</v>
      </c>
      <c r="S492" s="105" t="n">
        <v>0</v>
      </c>
      <c r="T492" s="105" t="n">
        <v>0</v>
      </c>
      <c r="U492" s="103" t="s">
        <v>247</v>
      </c>
      <c r="V492" s="105" t="n">
        <v>1000</v>
      </c>
      <c r="W492" s="103" t="n">
        <f aca="false">DATA_PIPELINE!$K492</f>
        <v>0</v>
      </c>
      <c r="X492" s="103" t="n">
        <f aca="false">DATA_PIPELINE!$V492-DATA_PIPELINE!$W492</f>
        <v>1000</v>
      </c>
      <c r="Y492" s="103" t="str">
        <f aca="false">IF(DATA_PIPELINE!$X492=0,"Paid",IF(DATA_PIPELINE!$W492=0,"Unpaid","Partly Paid"))</f>
        <v>Unpaid</v>
      </c>
    </row>
    <row r="493" s="106" customFormat="true" ht="15" hidden="false" customHeight="true" outlineLevel="0" collapsed="false">
      <c r="A493" s="103" t="n">
        <v>488</v>
      </c>
      <c r="B493" s="105" t="s">
        <v>1512</v>
      </c>
      <c r="C493" s="105" t="s">
        <v>170</v>
      </c>
      <c r="D493" s="103" t="s">
        <v>1475</v>
      </c>
      <c r="E493" s="105" t="s">
        <v>170</v>
      </c>
      <c r="F493" s="105" t="s">
        <v>170</v>
      </c>
      <c r="G493" s="105" t="s">
        <v>170</v>
      </c>
      <c r="H493" s="105" t="s">
        <v>193</v>
      </c>
      <c r="I493" s="105"/>
      <c r="J493" s="105" t="s">
        <v>350</v>
      </c>
      <c r="K493" s="105" t="n">
        <v>0</v>
      </c>
      <c r="L493" s="105" t="n">
        <v>0</v>
      </c>
      <c r="M493" s="105" t="n">
        <v>2000</v>
      </c>
      <c r="N493" s="105" t="n">
        <v>0</v>
      </c>
      <c r="O493" s="103" t="n">
        <v>0</v>
      </c>
      <c r="P493" s="103" t="n">
        <v>0</v>
      </c>
      <c r="Q493" s="103" t="n">
        <v>0</v>
      </c>
      <c r="R493" s="103" t="n">
        <v>0</v>
      </c>
      <c r="S493" s="105" t="n">
        <v>0</v>
      </c>
      <c r="T493" s="105" t="n">
        <v>0</v>
      </c>
      <c r="U493" s="103" t="s">
        <v>247</v>
      </c>
      <c r="V493" s="105" t="n">
        <v>1000</v>
      </c>
      <c r="W493" s="103" t="n">
        <f aca="false">DATA_PIPELINE!$K493</f>
        <v>0</v>
      </c>
      <c r="X493" s="103" t="n">
        <f aca="false">DATA_PIPELINE!$V493-DATA_PIPELINE!$W493</f>
        <v>1000</v>
      </c>
      <c r="Y493" s="103" t="str">
        <f aca="false">IF(DATA_PIPELINE!$X493=0,"Paid",IF(DATA_PIPELINE!$W493=0,"Unpaid","Partly Paid"))</f>
        <v>Unpaid</v>
      </c>
    </row>
    <row r="494" s="106" customFormat="true" ht="15" hidden="false" customHeight="true" outlineLevel="0" collapsed="false">
      <c r="A494" s="103" t="n">
        <v>489</v>
      </c>
      <c r="B494" s="105" t="s">
        <v>1513</v>
      </c>
      <c r="C494" s="105" t="s">
        <v>170</v>
      </c>
      <c r="D494" s="103" t="s">
        <v>1475</v>
      </c>
      <c r="E494" s="105" t="s">
        <v>1514</v>
      </c>
      <c r="F494" s="105" t="n">
        <v>773797371</v>
      </c>
      <c r="G494" s="105" t="s">
        <v>170</v>
      </c>
      <c r="H494" s="105" t="s">
        <v>174</v>
      </c>
      <c r="I494" s="105"/>
      <c r="J494" s="105" t="s">
        <v>350</v>
      </c>
      <c r="K494" s="105" t="n">
        <v>0</v>
      </c>
      <c r="L494" s="105" t="n">
        <v>0</v>
      </c>
      <c r="M494" s="105" t="n">
        <v>5</v>
      </c>
      <c r="N494" s="105" t="n">
        <v>0</v>
      </c>
      <c r="O494" s="103" t="n">
        <v>0</v>
      </c>
      <c r="P494" s="103" t="n">
        <v>0</v>
      </c>
      <c r="Q494" s="103" t="n">
        <v>0</v>
      </c>
      <c r="R494" s="103" t="n">
        <v>0</v>
      </c>
      <c r="S494" s="105" t="n">
        <v>0</v>
      </c>
      <c r="T494" s="105" t="n">
        <v>0</v>
      </c>
      <c r="U494" s="103" t="s">
        <v>177</v>
      </c>
      <c r="V494" s="105" t="n">
        <v>500</v>
      </c>
      <c r="W494" s="103" t="n">
        <f aca="false">DATA_PIPELINE!$K494</f>
        <v>0</v>
      </c>
      <c r="X494" s="103" t="n">
        <f aca="false">DATA_PIPELINE!$V494-DATA_PIPELINE!$W494</f>
        <v>500</v>
      </c>
      <c r="Y494" s="103" t="str">
        <f aca="false">IF(DATA_PIPELINE!$X494=0,"Paid",IF(DATA_PIPELINE!$W494=0,"Unpaid","Partly Paid"))</f>
        <v>Unpaid</v>
      </c>
    </row>
    <row r="495" s="106" customFormat="true" ht="15" hidden="false" customHeight="true" outlineLevel="0" collapsed="false">
      <c r="A495" s="103" t="n">
        <v>490</v>
      </c>
      <c r="B495" s="105" t="s">
        <v>1515</v>
      </c>
      <c r="C495" s="105" t="s">
        <v>170</v>
      </c>
      <c r="D495" s="107" t="s">
        <v>531</v>
      </c>
      <c r="E495" s="105" t="s">
        <v>170</v>
      </c>
      <c r="F495" s="105" t="n">
        <v>772601448</v>
      </c>
      <c r="G495" s="105" t="s">
        <v>170</v>
      </c>
      <c r="H495" s="105" t="s">
        <v>170</v>
      </c>
      <c r="I495" s="105"/>
      <c r="J495" s="105" t="s">
        <v>350</v>
      </c>
      <c r="K495" s="105" t="n">
        <v>0</v>
      </c>
      <c r="L495" s="105" t="n">
        <v>0</v>
      </c>
      <c r="M495" s="105" t="n">
        <v>100</v>
      </c>
      <c r="N495" s="105" t="n">
        <v>0</v>
      </c>
      <c r="O495" s="103" t="n">
        <v>0</v>
      </c>
      <c r="P495" s="103" t="n">
        <v>0</v>
      </c>
      <c r="Q495" s="103" t="n">
        <v>0</v>
      </c>
      <c r="R495" s="103" t="n">
        <v>0</v>
      </c>
      <c r="S495" s="105" t="n">
        <v>0</v>
      </c>
      <c r="T495" s="105" t="n">
        <v>0</v>
      </c>
      <c r="U495" s="103" t="s">
        <v>177</v>
      </c>
      <c r="V495" s="105" t="n">
        <v>500</v>
      </c>
      <c r="W495" s="103" t="n">
        <f aca="false">DATA_PIPELINE!$K495</f>
        <v>0</v>
      </c>
      <c r="X495" s="103" t="n">
        <f aca="false">DATA_PIPELINE!$V495-DATA_PIPELINE!$W495</f>
        <v>500</v>
      </c>
      <c r="Y495" s="103" t="str">
        <f aca="false">IF(DATA_PIPELINE!$X495=0,"Paid",IF(DATA_PIPELINE!$W495=0,"Unpaid","Partly Paid"))</f>
        <v>Unpaid</v>
      </c>
    </row>
    <row r="496" s="106" customFormat="true" ht="15" hidden="false" customHeight="true" outlineLevel="0" collapsed="false">
      <c r="A496" s="103" t="n">
        <v>491</v>
      </c>
      <c r="B496" s="105" t="s">
        <v>1516</v>
      </c>
      <c r="C496" s="105" t="s">
        <v>170</v>
      </c>
      <c r="D496" s="103" t="s">
        <v>914</v>
      </c>
      <c r="E496" s="105" t="s">
        <v>170</v>
      </c>
      <c r="F496" s="105" t="n">
        <v>772234047</v>
      </c>
      <c r="G496" s="105" t="s">
        <v>170</v>
      </c>
      <c r="H496" s="105" t="s">
        <v>170</v>
      </c>
      <c r="I496" s="105"/>
      <c r="J496" s="105" t="s">
        <v>350</v>
      </c>
      <c r="K496" s="105" t="n">
        <v>0</v>
      </c>
      <c r="L496" s="105" t="n">
        <v>0</v>
      </c>
      <c r="M496" s="105" t="n">
        <v>50</v>
      </c>
      <c r="N496" s="105" t="n">
        <v>0</v>
      </c>
      <c r="O496" s="103" t="n">
        <v>0</v>
      </c>
      <c r="P496" s="103" t="n">
        <v>0</v>
      </c>
      <c r="Q496" s="103" t="n">
        <v>0</v>
      </c>
      <c r="R496" s="103" t="n">
        <v>0</v>
      </c>
      <c r="S496" s="105" t="n">
        <v>0</v>
      </c>
      <c r="T496" s="105" t="n">
        <v>0</v>
      </c>
      <c r="U496" s="103" t="s">
        <v>177</v>
      </c>
      <c r="V496" s="105" t="n">
        <v>500</v>
      </c>
      <c r="W496" s="103" t="n">
        <f aca="false">DATA_PIPELINE!$K496</f>
        <v>0</v>
      </c>
      <c r="X496" s="103" t="n">
        <f aca="false">DATA_PIPELINE!$V496-DATA_PIPELINE!$W496</f>
        <v>500</v>
      </c>
      <c r="Y496" s="103" t="str">
        <f aca="false">IF(DATA_PIPELINE!$X496=0,"Paid",IF(DATA_PIPELINE!$W496=0,"Unpaid","Partly Paid"))</f>
        <v>Unpaid</v>
      </c>
    </row>
    <row r="497" s="106" customFormat="true" ht="15" hidden="false" customHeight="true" outlineLevel="0" collapsed="false">
      <c r="A497" s="103" t="n">
        <v>492</v>
      </c>
      <c r="B497" s="105" t="s">
        <v>1517</v>
      </c>
      <c r="C497" s="105" t="s">
        <v>170</v>
      </c>
      <c r="D497" s="103" t="s">
        <v>1489</v>
      </c>
      <c r="E497" s="105" t="s">
        <v>170</v>
      </c>
      <c r="F497" s="105" t="n">
        <v>773644322</v>
      </c>
      <c r="G497" s="105" t="s">
        <v>170</v>
      </c>
      <c r="H497" s="105" t="s">
        <v>193</v>
      </c>
      <c r="I497" s="105"/>
      <c r="J497" s="105" t="s">
        <v>350</v>
      </c>
      <c r="K497" s="105" t="n">
        <v>0</v>
      </c>
      <c r="L497" s="105" t="n">
        <v>0</v>
      </c>
      <c r="M497" s="105" t="n">
        <v>20</v>
      </c>
      <c r="N497" s="105" t="n">
        <v>0</v>
      </c>
      <c r="O497" s="103" t="n">
        <v>0</v>
      </c>
      <c r="P497" s="103" t="n">
        <v>0</v>
      </c>
      <c r="Q497" s="103" t="n">
        <v>0</v>
      </c>
      <c r="R497" s="103" t="n">
        <v>0</v>
      </c>
      <c r="S497" s="105" t="n">
        <v>0</v>
      </c>
      <c r="T497" s="105" t="n">
        <v>0</v>
      </c>
      <c r="U497" s="103" t="s">
        <v>177</v>
      </c>
      <c r="V497" s="105" t="n">
        <v>500</v>
      </c>
      <c r="W497" s="103" t="n">
        <f aca="false">DATA_PIPELINE!$K497</f>
        <v>0</v>
      </c>
      <c r="X497" s="103" t="n">
        <f aca="false">DATA_PIPELINE!$V497-DATA_PIPELINE!$W497</f>
        <v>500</v>
      </c>
      <c r="Y497" s="103" t="str">
        <f aca="false">IF(DATA_PIPELINE!$X497=0,"Paid",IF(DATA_PIPELINE!$W497=0,"Unpaid","Partly Paid"))</f>
        <v>Unpaid</v>
      </c>
    </row>
    <row r="498" s="106" customFormat="true" ht="15" hidden="false" customHeight="true" outlineLevel="0" collapsed="false">
      <c r="A498" s="103" t="n">
        <v>493</v>
      </c>
      <c r="B498" s="105" t="s">
        <v>1518</v>
      </c>
      <c r="C498" s="105" t="s">
        <v>170</v>
      </c>
      <c r="D498" s="103" t="s">
        <v>364</v>
      </c>
      <c r="E498" s="105" t="s">
        <v>1519</v>
      </c>
      <c r="F498" s="105" t="n">
        <v>773377624</v>
      </c>
      <c r="G498" s="105" t="s">
        <v>1520</v>
      </c>
      <c r="H498" s="103" t="s">
        <v>367</v>
      </c>
      <c r="I498" s="105"/>
      <c r="J498" s="105" t="s">
        <v>350</v>
      </c>
      <c r="K498" s="105" t="n">
        <v>0</v>
      </c>
      <c r="L498" s="105" t="n">
        <v>0</v>
      </c>
      <c r="M498" s="105" t="n">
        <v>100</v>
      </c>
      <c r="N498" s="105" t="n">
        <v>0</v>
      </c>
      <c r="O498" s="103" t="n">
        <v>0</v>
      </c>
      <c r="P498" s="103" t="n">
        <v>0</v>
      </c>
      <c r="Q498" s="103" t="n">
        <v>0</v>
      </c>
      <c r="R498" s="103" t="n">
        <v>0</v>
      </c>
      <c r="S498" s="105" t="n">
        <v>0</v>
      </c>
      <c r="T498" s="105" t="n">
        <v>0</v>
      </c>
      <c r="U498" s="103" t="s">
        <v>177</v>
      </c>
      <c r="V498" s="105" t="n">
        <v>500</v>
      </c>
      <c r="W498" s="103" t="n">
        <f aca="false">DATA_PIPELINE!$K498</f>
        <v>0</v>
      </c>
      <c r="X498" s="103" t="n">
        <f aca="false">DATA_PIPELINE!$V498-DATA_PIPELINE!$W498</f>
        <v>500</v>
      </c>
      <c r="Y498" s="103" t="str">
        <f aca="false">IF(DATA_PIPELINE!$X498=0,"Paid",IF(DATA_PIPELINE!$W498=0,"Unpaid","Partly Paid"))</f>
        <v>Unpaid</v>
      </c>
    </row>
    <row r="499" s="106" customFormat="true" ht="15" hidden="false" customHeight="true" outlineLevel="0" collapsed="false">
      <c r="A499" s="103" t="n">
        <v>494</v>
      </c>
      <c r="B499" s="105" t="s">
        <v>1521</v>
      </c>
      <c r="C499" s="105" t="s">
        <v>170</v>
      </c>
      <c r="D499" s="103" t="s">
        <v>531</v>
      </c>
      <c r="E499" s="105" t="s">
        <v>1522</v>
      </c>
      <c r="F499" s="105" t="n">
        <v>718121661</v>
      </c>
      <c r="G499" s="103" t="s">
        <v>533</v>
      </c>
      <c r="H499" s="103" t="s">
        <v>174</v>
      </c>
      <c r="I499" s="105"/>
      <c r="J499" s="105" t="s">
        <v>350</v>
      </c>
      <c r="K499" s="105" t="n">
        <v>100</v>
      </c>
      <c r="L499" s="105" t="n">
        <v>400</v>
      </c>
      <c r="M499" s="105" t="n">
        <v>30</v>
      </c>
      <c r="N499" s="105" t="n">
        <v>10</v>
      </c>
      <c r="O499" s="103" t="n">
        <v>0</v>
      </c>
      <c r="P499" s="103" t="n">
        <v>0</v>
      </c>
      <c r="Q499" s="103" t="n">
        <v>0</v>
      </c>
      <c r="R499" s="103" t="n">
        <v>0</v>
      </c>
      <c r="S499" s="105" t="n">
        <v>0</v>
      </c>
      <c r="T499" s="105" t="n">
        <v>0</v>
      </c>
      <c r="U499" s="103" t="s">
        <v>177</v>
      </c>
      <c r="V499" s="105" t="n">
        <v>500</v>
      </c>
      <c r="W499" s="103" t="n">
        <f aca="false">DATA_PIPELINE!$K499</f>
        <v>100</v>
      </c>
      <c r="X499" s="103" t="n">
        <f aca="false">DATA_PIPELINE!$V499-DATA_PIPELINE!$W499</f>
        <v>400</v>
      </c>
      <c r="Y499" s="103" t="str">
        <f aca="false">IF(DATA_PIPELINE!$X499=0,"Paid",IF(DATA_PIPELINE!$W499=0,"Unpaid","Partly Paid"))</f>
        <v>Partly Paid</v>
      </c>
    </row>
    <row r="500" s="106" customFormat="true" ht="15" hidden="false" customHeight="true" outlineLevel="0" collapsed="false">
      <c r="A500" s="103" t="n">
        <v>495</v>
      </c>
      <c r="B500" s="105" t="s">
        <v>1523</v>
      </c>
      <c r="C500" s="105" t="s">
        <v>1524</v>
      </c>
      <c r="D500" s="103" t="s">
        <v>420</v>
      </c>
      <c r="E500" s="105" t="s">
        <v>1525</v>
      </c>
      <c r="F500" s="105" t="n">
        <v>784066224</v>
      </c>
      <c r="G500" s="105" t="s">
        <v>170</v>
      </c>
      <c r="H500" s="105" t="s">
        <v>174</v>
      </c>
      <c r="I500" s="105"/>
      <c r="J500" s="105" t="s">
        <v>175</v>
      </c>
      <c r="K500" s="105" t="n">
        <v>1000</v>
      </c>
      <c r="L500" s="105" t="n">
        <v>0</v>
      </c>
      <c r="M500" s="105" t="n">
        <v>120</v>
      </c>
      <c r="N500" s="105" t="n">
        <v>100</v>
      </c>
      <c r="O500" s="103"/>
      <c r="P500" s="103"/>
      <c r="Q500" s="103"/>
      <c r="R500" s="103"/>
      <c r="S500" s="105"/>
      <c r="T500" s="105"/>
      <c r="U500" s="103" t="s">
        <v>247</v>
      </c>
      <c r="V500" s="105" t="n">
        <v>1000</v>
      </c>
      <c r="W500" s="103" t="n">
        <f aca="false">DATA_PIPELINE!$K500</f>
        <v>1000</v>
      </c>
      <c r="X500" s="103" t="n">
        <f aca="false">DATA_PIPELINE!$V500-DATA_PIPELINE!$W500</f>
        <v>0</v>
      </c>
      <c r="Y500" s="103" t="str">
        <f aca="false">IF(DATA_PIPELINE!$X500=0,"Paid",IF(DATA_PIPELINE!$W500=0,"Unpaid","Partly Paid"))</f>
        <v>Paid</v>
      </c>
    </row>
    <row r="501" s="106" customFormat="true" ht="15" hidden="false" customHeight="true" outlineLevel="0" collapsed="false">
      <c r="A501" s="103" t="n">
        <v>496</v>
      </c>
      <c r="B501" s="105" t="s">
        <v>1526</v>
      </c>
      <c r="C501" s="105" t="s">
        <v>170</v>
      </c>
      <c r="D501" s="103" t="s">
        <v>1487</v>
      </c>
      <c r="E501" s="105" t="s">
        <v>1527</v>
      </c>
      <c r="F501" s="105" t="s">
        <v>170</v>
      </c>
      <c r="G501" s="105" t="s">
        <v>170</v>
      </c>
      <c r="H501" s="105" t="s">
        <v>170</v>
      </c>
      <c r="I501" s="105"/>
      <c r="J501" s="105" t="s">
        <v>175</v>
      </c>
      <c r="K501" s="105" t="n">
        <v>1000</v>
      </c>
      <c r="L501" s="105" t="n">
        <v>0</v>
      </c>
      <c r="M501" s="105" t="n">
        <v>0</v>
      </c>
      <c r="N501" s="105" t="n">
        <v>0</v>
      </c>
      <c r="O501" s="103" t="n">
        <v>0</v>
      </c>
      <c r="P501" s="103" t="n">
        <v>0</v>
      </c>
      <c r="Q501" s="103" t="n">
        <v>0</v>
      </c>
      <c r="R501" s="103" t="n">
        <v>0</v>
      </c>
      <c r="S501" s="105" t="n">
        <v>0</v>
      </c>
      <c r="T501" s="105" t="n">
        <v>0</v>
      </c>
      <c r="U501" s="103" t="s">
        <v>247</v>
      </c>
      <c r="V501" s="105" t="n">
        <v>1000</v>
      </c>
      <c r="W501" s="103" t="n">
        <f aca="false">DATA_PIPELINE!$K501</f>
        <v>1000</v>
      </c>
      <c r="X501" s="103" t="n">
        <f aca="false">DATA_PIPELINE!$V501-DATA_PIPELINE!$W501</f>
        <v>0</v>
      </c>
      <c r="Y501" s="103" t="str">
        <f aca="false">IF(DATA_PIPELINE!$X501=0,"Paid",IF(DATA_PIPELINE!$W501=0,"Unpaid","Partly Paid"))</f>
        <v>Paid</v>
      </c>
    </row>
    <row r="502" s="106" customFormat="true" ht="15" hidden="false" customHeight="true" outlineLevel="0" collapsed="false">
      <c r="A502" s="103" t="n">
        <v>497</v>
      </c>
      <c r="B502" s="105" t="s">
        <v>1528</v>
      </c>
      <c r="C502" s="105" t="s">
        <v>170</v>
      </c>
      <c r="D502" s="107" t="s">
        <v>283</v>
      </c>
      <c r="E502" s="105" t="s">
        <v>170</v>
      </c>
      <c r="F502" s="105" t="s">
        <v>170</v>
      </c>
      <c r="G502" s="105" t="s">
        <v>170</v>
      </c>
      <c r="H502" s="105" t="s">
        <v>170</v>
      </c>
      <c r="I502" s="105"/>
      <c r="J502" s="105" t="s">
        <v>175</v>
      </c>
      <c r="K502" s="105" t="n">
        <v>200</v>
      </c>
      <c r="L502" s="105" t="n">
        <v>300</v>
      </c>
      <c r="M502" s="105"/>
      <c r="N502" s="105"/>
      <c r="O502" s="103" t="n">
        <v>0</v>
      </c>
      <c r="P502" s="103" t="n">
        <v>0</v>
      </c>
      <c r="Q502" s="103" t="n">
        <v>0</v>
      </c>
      <c r="R502" s="103" t="n">
        <v>0</v>
      </c>
      <c r="S502" s="105" t="n">
        <v>0</v>
      </c>
      <c r="T502" s="105" t="n">
        <v>0</v>
      </c>
      <c r="U502" s="103" t="s">
        <v>177</v>
      </c>
      <c r="V502" s="105" t="n">
        <v>500</v>
      </c>
      <c r="W502" s="103" t="n">
        <f aca="false">DATA_PIPELINE!$K502</f>
        <v>200</v>
      </c>
      <c r="X502" s="103" t="n">
        <f aca="false">DATA_PIPELINE!$V502-DATA_PIPELINE!$W502</f>
        <v>300</v>
      </c>
      <c r="Y502" s="103" t="str">
        <f aca="false">IF(DATA_PIPELINE!$X502=0,"Paid",IF(DATA_PIPELINE!$W502=0,"Unpaid","Partly Paid"))</f>
        <v>Partly Paid</v>
      </c>
    </row>
    <row r="503" s="106" customFormat="true" ht="15" hidden="false" customHeight="true" outlineLevel="0" collapsed="false">
      <c r="A503" s="103" t="n">
        <v>498</v>
      </c>
      <c r="B503" s="105" t="s">
        <v>1529</v>
      </c>
      <c r="C503" s="105" t="s">
        <v>1530</v>
      </c>
      <c r="D503" s="107" t="s">
        <v>358</v>
      </c>
      <c r="E503" s="105" t="s">
        <v>1531</v>
      </c>
      <c r="F503" s="105" t="n">
        <v>772258001</v>
      </c>
      <c r="G503" s="105" t="s">
        <v>170</v>
      </c>
      <c r="H503" s="105" t="s">
        <v>174</v>
      </c>
      <c r="I503" s="105"/>
      <c r="J503" s="105" t="s">
        <v>175</v>
      </c>
      <c r="K503" s="105" t="n">
        <v>500</v>
      </c>
      <c r="L503" s="105" t="n">
        <v>0</v>
      </c>
      <c r="M503" s="105" t="n">
        <v>30</v>
      </c>
      <c r="N503" s="105" t="n">
        <v>40</v>
      </c>
      <c r="O503" s="103"/>
      <c r="P503" s="103"/>
      <c r="Q503" s="103"/>
      <c r="R503" s="103"/>
      <c r="S503" s="105"/>
      <c r="T503" s="105"/>
      <c r="U503" s="103" t="s">
        <v>177</v>
      </c>
      <c r="V503" s="105" t="n">
        <v>500</v>
      </c>
      <c r="W503" s="103" t="n">
        <f aca="false">DATA_PIPELINE!$K503</f>
        <v>500</v>
      </c>
      <c r="X503" s="103" t="n">
        <f aca="false">DATA_PIPELINE!$V503-DATA_PIPELINE!$W503</f>
        <v>0</v>
      </c>
      <c r="Y503" s="103" t="str">
        <f aca="false">IF(DATA_PIPELINE!$X503=0,"Paid",IF(DATA_PIPELINE!$W503=0,"Unpaid","Partly Paid"))</f>
        <v>Paid</v>
      </c>
    </row>
    <row r="504" s="106" customFormat="true" ht="15" hidden="false" customHeight="true" outlineLevel="0" collapsed="false">
      <c r="A504" s="103" t="n">
        <v>499</v>
      </c>
      <c r="B504" s="105" t="s">
        <v>1532</v>
      </c>
      <c r="C504" s="105" t="s">
        <v>170</v>
      </c>
      <c r="D504" s="103" t="s">
        <v>420</v>
      </c>
      <c r="E504" s="105" t="s">
        <v>170</v>
      </c>
      <c r="F504" s="105" t="s">
        <v>170</v>
      </c>
      <c r="G504" s="105" t="s">
        <v>170</v>
      </c>
      <c r="H504" s="105" t="s">
        <v>170</v>
      </c>
      <c r="I504" s="105"/>
      <c r="J504" s="105" t="s">
        <v>175</v>
      </c>
      <c r="K504" s="105" t="n">
        <v>500</v>
      </c>
      <c r="L504" s="105" t="n">
        <v>0</v>
      </c>
      <c r="M504" s="105"/>
      <c r="N504" s="105" t="n">
        <v>100</v>
      </c>
      <c r="O504" s="103" t="n">
        <v>0</v>
      </c>
      <c r="P504" s="103" t="n">
        <v>0</v>
      </c>
      <c r="Q504" s="103" t="n">
        <v>0</v>
      </c>
      <c r="R504" s="103" t="n">
        <v>0</v>
      </c>
      <c r="S504" s="105" t="n">
        <v>0</v>
      </c>
      <c r="T504" s="105" t="n">
        <v>0</v>
      </c>
      <c r="U504" s="103" t="s">
        <v>177</v>
      </c>
      <c r="V504" s="105" t="n">
        <v>500</v>
      </c>
      <c r="W504" s="103" t="n">
        <f aca="false">DATA_PIPELINE!$K504</f>
        <v>500</v>
      </c>
      <c r="X504" s="103" t="n">
        <f aca="false">DATA_PIPELINE!$V504-DATA_PIPELINE!$W504</f>
        <v>0</v>
      </c>
      <c r="Y504" s="103" t="str">
        <f aca="false">IF(DATA_PIPELINE!$X504=0,"Paid",IF(DATA_PIPELINE!$W504=0,"Unpaid","Partly Paid"))</f>
        <v>Paid</v>
      </c>
    </row>
    <row r="505" s="106" customFormat="true" ht="15" hidden="false" customHeight="true" outlineLevel="0" collapsed="false">
      <c r="A505" s="103" t="n">
        <v>500</v>
      </c>
      <c r="B505" s="105" t="s">
        <v>1533</v>
      </c>
      <c r="C505" s="105" t="s">
        <v>1534</v>
      </c>
      <c r="D505" s="103" t="s">
        <v>803</v>
      </c>
      <c r="E505" s="105" t="s">
        <v>1535</v>
      </c>
      <c r="F505" s="105" t="n">
        <v>716417906</v>
      </c>
      <c r="G505" s="105" t="s">
        <v>1536</v>
      </c>
      <c r="H505" s="105" t="s">
        <v>170</v>
      </c>
      <c r="I505" s="105"/>
      <c r="J505" s="105" t="s">
        <v>175</v>
      </c>
      <c r="K505" s="105" t="n">
        <v>0</v>
      </c>
      <c r="L505" s="105" t="n">
        <v>0</v>
      </c>
      <c r="M505" s="105" t="n">
        <v>0</v>
      </c>
      <c r="N505" s="105" t="n">
        <v>0</v>
      </c>
      <c r="O505" s="103"/>
      <c r="P505" s="103"/>
      <c r="Q505" s="103"/>
      <c r="R505" s="103"/>
      <c r="S505" s="105"/>
      <c r="T505" s="105"/>
      <c r="U505" s="103" t="s">
        <v>177</v>
      </c>
      <c r="V505" s="105" t="n">
        <v>500</v>
      </c>
      <c r="W505" s="103" t="n">
        <f aca="false">DATA_PIPELINE!$K505</f>
        <v>0</v>
      </c>
      <c r="X505" s="103" t="n">
        <f aca="false">DATA_PIPELINE!$V505-DATA_PIPELINE!$W505</f>
        <v>500</v>
      </c>
      <c r="Y505" s="103" t="str">
        <f aca="false">IF(DATA_PIPELINE!$X505=0,"Paid",IF(DATA_PIPELINE!$W505=0,"Unpaid","Partly Paid"))</f>
        <v>Unpaid</v>
      </c>
    </row>
    <row r="506" s="106" customFormat="true" ht="15" hidden="false" customHeight="true" outlineLevel="0" collapsed="false">
      <c r="A506" s="103" t="n">
        <v>501</v>
      </c>
      <c r="B506" s="105" t="s">
        <v>1537</v>
      </c>
      <c r="C506" s="105" t="s">
        <v>1538</v>
      </c>
      <c r="D506" s="103" t="s">
        <v>803</v>
      </c>
      <c r="F506" s="105" t="n">
        <v>772423285</v>
      </c>
      <c r="G506" s="105" t="s">
        <v>1536</v>
      </c>
      <c r="H506" s="105" t="s">
        <v>170</v>
      </c>
      <c r="I506" s="105"/>
      <c r="J506" s="105" t="s">
        <v>175</v>
      </c>
      <c r="K506" s="105" t="n">
        <v>0</v>
      </c>
      <c r="L506" s="105" t="n">
        <v>0</v>
      </c>
      <c r="M506" s="105" t="n">
        <v>0</v>
      </c>
      <c r="N506" s="105" t="n">
        <v>0</v>
      </c>
      <c r="O506" s="103"/>
      <c r="P506" s="103"/>
      <c r="Q506" s="103"/>
      <c r="R506" s="103"/>
      <c r="S506" s="105"/>
      <c r="T506" s="105"/>
      <c r="U506" s="103" t="s">
        <v>177</v>
      </c>
      <c r="V506" s="105" t="n">
        <v>500</v>
      </c>
      <c r="W506" s="103" t="n">
        <f aca="false">DATA_PIPELINE!$K506</f>
        <v>0</v>
      </c>
      <c r="X506" s="103" t="n">
        <f aca="false">DATA_PIPELINE!$V506-DATA_PIPELINE!$W506</f>
        <v>500</v>
      </c>
      <c r="Y506" s="103" t="str">
        <f aca="false">IF(DATA_PIPELINE!$X506=0,"Paid",IF(DATA_PIPELINE!$W506=0,"Unpaid","Partly Paid"))</f>
        <v>Unpaid</v>
      </c>
    </row>
    <row r="507" s="106" customFormat="true" ht="15" hidden="false" customHeight="true" outlineLevel="0" collapsed="false">
      <c r="A507" s="103" t="n">
        <v>502</v>
      </c>
      <c r="B507" s="105" t="s">
        <v>1539</v>
      </c>
      <c r="C507" s="105" t="s">
        <v>1540</v>
      </c>
      <c r="D507" s="103" t="s">
        <v>803</v>
      </c>
      <c r="E507" s="105" t="s">
        <v>1541</v>
      </c>
      <c r="F507" s="105" t="n">
        <v>788532062</v>
      </c>
      <c r="G507" s="105" t="s">
        <v>1536</v>
      </c>
      <c r="H507" s="105" t="s">
        <v>170</v>
      </c>
      <c r="I507" s="105"/>
      <c r="J507" s="105" t="s">
        <v>175</v>
      </c>
      <c r="K507" s="105" t="n">
        <v>0</v>
      </c>
      <c r="L507" s="105" t="n">
        <v>0</v>
      </c>
      <c r="M507" s="105" t="n">
        <v>0</v>
      </c>
      <c r="N507" s="105" t="n">
        <v>0</v>
      </c>
      <c r="O507" s="103"/>
      <c r="P507" s="103"/>
      <c r="Q507" s="103"/>
      <c r="R507" s="103"/>
      <c r="S507" s="105"/>
      <c r="T507" s="105"/>
      <c r="U507" s="103" t="s">
        <v>177</v>
      </c>
      <c r="V507" s="105" t="n">
        <v>500</v>
      </c>
      <c r="W507" s="103" t="n">
        <f aca="false">DATA_PIPELINE!$K507</f>
        <v>0</v>
      </c>
      <c r="X507" s="103" t="n">
        <f aca="false">DATA_PIPELINE!$V507-DATA_PIPELINE!$W507</f>
        <v>500</v>
      </c>
      <c r="Y507" s="103" t="str">
        <f aca="false">IF(DATA_PIPELINE!$X507=0,"Paid",IF(DATA_PIPELINE!$W507=0,"Unpaid","Partly Paid"))</f>
        <v>Unpaid</v>
      </c>
    </row>
    <row r="508" s="106" customFormat="true" ht="15" hidden="false" customHeight="true" outlineLevel="0" collapsed="false">
      <c r="A508" s="103" t="n">
        <v>503</v>
      </c>
      <c r="B508" s="105" t="s">
        <v>1542</v>
      </c>
      <c r="C508" s="105" t="s">
        <v>1543</v>
      </c>
      <c r="D508" s="103" t="s">
        <v>803</v>
      </c>
      <c r="E508" s="105" t="s">
        <v>1544</v>
      </c>
      <c r="F508" s="105" t="n">
        <v>772903464</v>
      </c>
      <c r="G508" s="105" t="s">
        <v>1536</v>
      </c>
      <c r="H508" s="105" t="s">
        <v>170</v>
      </c>
      <c r="I508" s="105"/>
      <c r="J508" s="105" t="s">
        <v>175</v>
      </c>
      <c r="K508" s="105" t="n">
        <v>0</v>
      </c>
      <c r="L508" s="105" t="n">
        <v>0</v>
      </c>
      <c r="M508" s="105" t="n">
        <v>0</v>
      </c>
      <c r="N508" s="105" t="n">
        <v>0</v>
      </c>
      <c r="O508" s="103"/>
      <c r="P508" s="103"/>
      <c r="Q508" s="103"/>
      <c r="R508" s="103"/>
      <c r="S508" s="105"/>
      <c r="T508" s="105"/>
      <c r="U508" s="103" t="s">
        <v>177</v>
      </c>
      <c r="V508" s="105" t="n">
        <v>500</v>
      </c>
      <c r="W508" s="103" t="n">
        <f aca="false">DATA_PIPELINE!$K508</f>
        <v>0</v>
      </c>
      <c r="X508" s="103" t="n">
        <f aca="false">DATA_PIPELINE!$V508-DATA_PIPELINE!$W508</f>
        <v>500</v>
      </c>
      <c r="Y508" s="103" t="str">
        <f aca="false">IF(DATA_PIPELINE!$X508=0,"Paid",IF(DATA_PIPELINE!$W508=0,"Unpaid","Partly Paid"))</f>
        <v>Unpaid</v>
      </c>
    </row>
    <row r="509" s="106" customFormat="true" ht="15" hidden="false" customHeight="true" outlineLevel="0" collapsed="false">
      <c r="A509" s="103" t="n">
        <v>504</v>
      </c>
      <c r="B509" s="105" t="s">
        <v>1545</v>
      </c>
      <c r="C509" s="105" t="s">
        <v>1546</v>
      </c>
      <c r="D509" s="107" t="s">
        <v>1209</v>
      </c>
      <c r="E509" s="105" t="s">
        <v>1547</v>
      </c>
      <c r="F509" s="106" t="s">
        <v>170</v>
      </c>
      <c r="G509" s="105" t="s">
        <v>1536</v>
      </c>
      <c r="H509" s="105" t="s">
        <v>170</v>
      </c>
      <c r="I509" s="105"/>
      <c r="J509" s="105" t="s">
        <v>175</v>
      </c>
      <c r="K509" s="105" t="n">
        <v>0</v>
      </c>
      <c r="L509" s="105" t="n">
        <v>0</v>
      </c>
      <c r="M509" s="105" t="n">
        <v>0</v>
      </c>
      <c r="N509" s="105" t="n">
        <v>0</v>
      </c>
      <c r="O509" s="103"/>
      <c r="P509" s="103"/>
      <c r="Q509" s="103"/>
      <c r="R509" s="103"/>
      <c r="S509" s="105"/>
      <c r="T509" s="105"/>
      <c r="U509" s="103" t="s">
        <v>177</v>
      </c>
      <c r="V509" s="105" t="n">
        <v>500</v>
      </c>
      <c r="W509" s="103" t="n">
        <f aca="false">DATA_PIPELINE!$K509</f>
        <v>0</v>
      </c>
      <c r="X509" s="103" t="n">
        <f aca="false">DATA_PIPELINE!$V509-DATA_PIPELINE!$W509</f>
        <v>500</v>
      </c>
      <c r="Y509" s="103" t="str">
        <f aca="false">IF(DATA_PIPELINE!$X509=0,"Paid",IF(DATA_PIPELINE!$W509=0,"Unpaid","Partly Paid"))</f>
        <v>Unpaid</v>
      </c>
    </row>
    <row r="510" s="106" customFormat="true" ht="15" hidden="false" customHeight="true" outlineLevel="0" collapsed="false">
      <c r="A510" s="103" t="n">
        <v>505</v>
      </c>
      <c r="B510" s="110" t="s">
        <v>1548</v>
      </c>
      <c r="C510" s="105" t="s">
        <v>1549</v>
      </c>
      <c r="D510" s="107" t="s">
        <v>988</v>
      </c>
      <c r="E510" s="105" t="s">
        <v>1550</v>
      </c>
      <c r="F510" s="106" t="s">
        <v>170</v>
      </c>
      <c r="G510" s="105" t="s">
        <v>1536</v>
      </c>
      <c r="H510" s="105" t="s">
        <v>170</v>
      </c>
      <c r="I510" s="105"/>
      <c r="J510" s="105" t="s">
        <v>175</v>
      </c>
      <c r="K510" s="105" t="n">
        <v>0</v>
      </c>
      <c r="L510" s="105" t="n">
        <v>0</v>
      </c>
      <c r="M510" s="105" t="n">
        <v>0</v>
      </c>
      <c r="N510" s="105" t="n">
        <v>0</v>
      </c>
      <c r="O510" s="103"/>
      <c r="P510" s="103"/>
      <c r="Q510" s="103"/>
      <c r="R510" s="103"/>
      <c r="S510" s="105"/>
      <c r="T510" s="105"/>
      <c r="U510" s="103" t="s">
        <v>177</v>
      </c>
      <c r="V510" s="105" t="n">
        <v>500</v>
      </c>
      <c r="W510" s="103" t="n">
        <f aca="false">DATA_PIPELINE!$K510</f>
        <v>0</v>
      </c>
      <c r="X510" s="103" t="n">
        <f aca="false">DATA_PIPELINE!$V510-DATA_PIPELINE!$W510</f>
        <v>500</v>
      </c>
      <c r="Y510" s="103" t="str">
        <f aca="false">IF(DATA_PIPELINE!$X510=0,"Paid",IF(DATA_PIPELINE!$W510=0,"Unpaid","Partly Paid"))</f>
        <v>Unpaid</v>
      </c>
    </row>
    <row r="511" s="106" customFormat="true" ht="15" hidden="false" customHeight="true" outlineLevel="0" collapsed="false">
      <c r="A511" s="103" t="n">
        <v>506</v>
      </c>
      <c r="B511" s="105" t="s">
        <v>1551</v>
      </c>
      <c r="C511" s="105" t="s">
        <v>1552</v>
      </c>
      <c r="D511" s="107" t="s">
        <v>358</v>
      </c>
      <c r="E511" s="105" t="s">
        <v>1553</v>
      </c>
      <c r="F511" s="106" t="s">
        <v>170</v>
      </c>
      <c r="G511" s="105" t="s">
        <v>1536</v>
      </c>
      <c r="H511" s="105" t="s">
        <v>170</v>
      </c>
      <c r="I511" s="105"/>
      <c r="J511" s="105" t="s">
        <v>175</v>
      </c>
      <c r="K511" s="105" t="n">
        <v>0</v>
      </c>
      <c r="L511" s="105" t="n">
        <v>0</v>
      </c>
      <c r="M511" s="105" t="n">
        <v>0</v>
      </c>
      <c r="N511" s="105" t="n">
        <v>0</v>
      </c>
      <c r="O511" s="103"/>
      <c r="P511" s="103"/>
      <c r="Q511" s="103"/>
      <c r="R511" s="103"/>
      <c r="S511" s="105"/>
      <c r="T511" s="105"/>
      <c r="U511" s="103" t="s">
        <v>177</v>
      </c>
      <c r="V511" s="105" t="n">
        <v>500</v>
      </c>
      <c r="W511" s="103" t="n">
        <f aca="false">DATA_PIPELINE!$K511</f>
        <v>0</v>
      </c>
      <c r="X511" s="103" t="n">
        <f aca="false">DATA_PIPELINE!$V511-DATA_PIPELINE!$W511</f>
        <v>500</v>
      </c>
      <c r="Y511" s="103" t="str">
        <f aca="false">IF(DATA_PIPELINE!$X511=0,"Paid",IF(DATA_PIPELINE!$W511=0,"Unpaid","Partly Paid"))</f>
        <v>Unpaid</v>
      </c>
    </row>
    <row r="512" s="106" customFormat="true" ht="15" hidden="false" customHeight="true" outlineLevel="0" collapsed="false">
      <c r="A512" s="103" t="n">
        <v>507</v>
      </c>
      <c r="B512" s="105" t="s">
        <v>1554</v>
      </c>
      <c r="C512" s="105" t="s">
        <v>1555</v>
      </c>
      <c r="D512" s="107" t="s">
        <v>358</v>
      </c>
      <c r="E512" s="105" t="s">
        <v>1556</v>
      </c>
      <c r="F512" s="111" t="n">
        <v>772584394</v>
      </c>
      <c r="G512" s="105" t="s">
        <v>1536</v>
      </c>
      <c r="H512" s="105" t="s">
        <v>174</v>
      </c>
      <c r="I512" s="105"/>
      <c r="J512" s="105" t="s">
        <v>175</v>
      </c>
      <c r="K512" s="105" t="n">
        <v>0</v>
      </c>
      <c r="L512" s="105" t="n">
        <v>0</v>
      </c>
      <c r="M512" s="105" t="n">
        <v>0</v>
      </c>
      <c r="N512" s="105" t="n">
        <v>10</v>
      </c>
      <c r="O512" s="103"/>
      <c r="P512" s="103"/>
      <c r="Q512" s="103"/>
      <c r="R512" s="103"/>
      <c r="S512" s="105"/>
      <c r="T512" s="105"/>
      <c r="U512" s="103" t="s">
        <v>177</v>
      </c>
      <c r="V512" s="105" t="n">
        <v>500</v>
      </c>
      <c r="W512" s="103" t="n">
        <f aca="false">DATA_PIPELINE!$K512</f>
        <v>0</v>
      </c>
      <c r="X512" s="103" t="n">
        <f aca="false">DATA_PIPELINE!$V512-DATA_PIPELINE!$W512</f>
        <v>500</v>
      </c>
      <c r="Y512" s="103" t="str">
        <f aca="false">IF(DATA_PIPELINE!$X512=0,"Paid",IF(DATA_PIPELINE!$W512=0,"Unpaid","Partly Paid"))</f>
        <v>Unpaid</v>
      </c>
    </row>
    <row r="513" s="106" customFormat="true" ht="15" hidden="false" customHeight="true" outlineLevel="0" collapsed="false">
      <c r="A513" s="103" t="n">
        <v>508</v>
      </c>
      <c r="B513" s="105" t="s">
        <v>1557</v>
      </c>
      <c r="C513" s="105" t="s">
        <v>1558</v>
      </c>
      <c r="D513" s="103" t="s">
        <v>803</v>
      </c>
      <c r="E513" s="105" t="s">
        <v>1559</v>
      </c>
      <c r="F513" s="105" t="n">
        <v>784964782</v>
      </c>
      <c r="G513" s="105" t="s">
        <v>1536</v>
      </c>
      <c r="H513" s="105" t="s">
        <v>170</v>
      </c>
      <c r="I513" s="105"/>
      <c r="J513" s="105" t="s">
        <v>175</v>
      </c>
      <c r="K513" s="105" t="n">
        <v>0</v>
      </c>
      <c r="L513" s="105" t="n">
        <v>0</v>
      </c>
      <c r="M513" s="105" t="n">
        <v>0</v>
      </c>
      <c r="N513" s="105" t="n">
        <v>0</v>
      </c>
      <c r="O513" s="103"/>
      <c r="P513" s="103"/>
      <c r="Q513" s="103"/>
      <c r="R513" s="103"/>
      <c r="S513" s="105"/>
      <c r="T513" s="105"/>
      <c r="U513" s="103" t="s">
        <v>177</v>
      </c>
      <c r="V513" s="105" t="n">
        <v>500</v>
      </c>
      <c r="W513" s="103" t="n">
        <f aca="false">DATA_PIPELINE!$K513</f>
        <v>0</v>
      </c>
      <c r="X513" s="103" t="n">
        <f aca="false">DATA_PIPELINE!$V513-DATA_PIPELINE!$W513</f>
        <v>500</v>
      </c>
      <c r="Y513" s="103" t="str">
        <f aca="false">IF(DATA_PIPELINE!$X513=0,"Paid",IF(DATA_PIPELINE!$W513=0,"Unpaid","Partly Paid"))</f>
        <v>Unpaid</v>
      </c>
    </row>
    <row r="514" s="106" customFormat="true" ht="15" hidden="false" customHeight="true" outlineLevel="0" collapsed="false">
      <c r="A514" s="103" t="n">
        <v>509</v>
      </c>
      <c r="B514" s="105" t="s">
        <v>1560</v>
      </c>
      <c r="C514" s="105" t="s">
        <v>1561</v>
      </c>
      <c r="D514" s="103" t="s">
        <v>803</v>
      </c>
      <c r="E514" s="105" t="s">
        <v>1562</v>
      </c>
      <c r="F514" s="105" t="n">
        <v>779827200</v>
      </c>
      <c r="G514" s="105" t="s">
        <v>1536</v>
      </c>
      <c r="H514" s="105" t="s">
        <v>170</v>
      </c>
      <c r="I514" s="105"/>
      <c r="J514" s="105" t="s">
        <v>175</v>
      </c>
      <c r="K514" s="105" t="n">
        <v>0</v>
      </c>
      <c r="L514" s="105" t="n">
        <v>0</v>
      </c>
      <c r="M514" s="105" t="n">
        <v>0</v>
      </c>
      <c r="N514" s="105" t="n">
        <v>0</v>
      </c>
      <c r="O514" s="103"/>
      <c r="P514" s="103"/>
      <c r="Q514" s="103"/>
      <c r="R514" s="103"/>
      <c r="S514" s="105"/>
      <c r="T514" s="105"/>
      <c r="U514" s="103" t="s">
        <v>177</v>
      </c>
      <c r="V514" s="105" t="n">
        <v>500</v>
      </c>
      <c r="W514" s="103" t="n">
        <f aca="false">DATA_PIPELINE!$K514</f>
        <v>0</v>
      </c>
      <c r="X514" s="103" t="n">
        <f aca="false">DATA_PIPELINE!$V514-DATA_PIPELINE!$W514</f>
        <v>500</v>
      </c>
      <c r="Y514" s="103" t="str">
        <f aca="false">IF(DATA_PIPELINE!$X514=0,"Paid",IF(DATA_PIPELINE!$W514=0,"Unpaid","Partly Paid"))</f>
        <v>Unpaid</v>
      </c>
    </row>
    <row r="515" s="106" customFormat="true" ht="15" hidden="false" customHeight="true" outlineLevel="0" collapsed="false">
      <c r="A515" s="103" t="n">
        <v>510</v>
      </c>
      <c r="B515" s="105" t="s">
        <v>1563</v>
      </c>
      <c r="C515" s="105" t="s">
        <v>1564</v>
      </c>
      <c r="D515" s="107" t="s">
        <v>283</v>
      </c>
      <c r="E515" s="105" t="s">
        <v>1565</v>
      </c>
      <c r="F515" s="105" t="n">
        <v>774806322</v>
      </c>
      <c r="G515" s="105" t="s">
        <v>1566</v>
      </c>
      <c r="H515" s="105" t="s">
        <v>170</v>
      </c>
      <c r="I515" s="105"/>
      <c r="J515" s="105" t="s">
        <v>175</v>
      </c>
      <c r="K515" s="105" t="n">
        <v>0</v>
      </c>
      <c r="L515" s="105" t="n">
        <v>0</v>
      </c>
      <c r="M515" s="105" t="n">
        <v>0</v>
      </c>
      <c r="N515" s="105" t="n">
        <v>0</v>
      </c>
      <c r="O515" s="103"/>
      <c r="P515" s="103"/>
      <c r="Q515" s="103"/>
      <c r="R515" s="103"/>
      <c r="S515" s="105"/>
      <c r="T515" s="105"/>
      <c r="U515" s="103" t="s">
        <v>177</v>
      </c>
      <c r="V515" s="105" t="n">
        <v>500</v>
      </c>
      <c r="W515" s="103" t="n">
        <f aca="false">DATA_PIPELINE!$K515</f>
        <v>0</v>
      </c>
      <c r="X515" s="103" t="n">
        <f aca="false">DATA_PIPELINE!$V515-DATA_PIPELINE!$W515</f>
        <v>500</v>
      </c>
      <c r="Y515" s="103" t="str">
        <f aca="false">IF(DATA_PIPELINE!$X515=0,"Paid",IF(DATA_PIPELINE!$W515=0,"Unpaid","Partly Paid"))</f>
        <v>Unpaid</v>
      </c>
    </row>
    <row r="516" s="106" customFormat="true" ht="15" hidden="false" customHeight="true" outlineLevel="0" collapsed="false">
      <c r="A516" s="103" t="n">
        <v>511</v>
      </c>
      <c r="B516" s="105" t="s">
        <v>1567</v>
      </c>
      <c r="C516" s="105" t="s">
        <v>1568</v>
      </c>
      <c r="D516" s="103" t="s">
        <v>803</v>
      </c>
      <c r="E516" s="105"/>
      <c r="F516" s="105" t="n">
        <v>772339739</v>
      </c>
      <c r="G516" s="105" t="s">
        <v>1536</v>
      </c>
      <c r="H516" s="105" t="s">
        <v>170</v>
      </c>
      <c r="I516" s="105"/>
      <c r="J516" s="105" t="s">
        <v>175</v>
      </c>
      <c r="K516" s="105" t="n">
        <v>0</v>
      </c>
      <c r="L516" s="105" t="n">
        <v>0</v>
      </c>
      <c r="M516" s="105" t="n">
        <v>0</v>
      </c>
      <c r="N516" s="105" t="n">
        <v>0</v>
      </c>
      <c r="O516" s="103"/>
      <c r="P516" s="103"/>
      <c r="Q516" s="103"/>
      <c r="R516" s="103"/>
      <c r="S516" s="105"/>
      <c r="T516" s="105"/>
      <c r="U516" s="103" t="s">
        <v>177</v>
      </c>
      <c r="V516" s="105" t="n">
        <v>500</v>
      </c>
      <c r="W516" s="103" t="n">
        <f aca="false">DATA_PIPELINE!$K516</f>
        <v>0</v>
      </c>
      <c r="X516" s="103" t="n">
        <f aca="false">DATA_PIPELINE!$V516-DATA_PIPELINE!$W516</f>
        <v>500</v>
      </c>
      <c r="Y516" s="103" t="str">
        <f aca="false">IF(DATA_PIPELINE!$X516=0,"Paid",IF(DATA_PIPELINE!$W516=0,"Unpaid","Partly Paid"))</f>
        <v>Unpaid</v>
      </c>
    </row>
    <row r="517" s="106" customFormat="true" ht="15" hidden="false" customHeight="true" outlineLevel="0" collapsed="false">
      <c r="A517" s="103" t="n">
        <v>512</v>
      </c>
      <c r="B517" s="105" t="s">
        <v>1569</v>
      </c>
      <c r="C517" s="105" t="s">
        <v>1570</v>
      </c>
      <c r="D517" s="103" t="s">
        <v>803</v>
      </c>
      <c r="E517" s="105" t="s">
        <v>1571</v>
      </c>
      <c r="F517" s="105" t="n">
        <v>772662140</v>
      </c>
      <c r="G517" s="105" t="s">
        <v>1536</v>
      </c>
      <c r="H517" s="105" t="s">
        <v>170</v>
      </c>
      <c r="I517" s="105"/>
      <c r="J517" s="105" t="s">
        <v>175</v>
      </c>
      <c r="K517" s="105" t="n">
        <v>0</v>
      </c>
      <c r="L517" s="105" t="n">
        <v>0</v>
      </c>
      <c r="M517" s="105" t="n">
        <v>0</v>
      </c>
      <c r="N517" s="105" t="n">
        <v>0</v>
      </c>
      <c r="O517" s="103"/>
      <c r="P517" s="103"/>
      <c r="Q517" s="103"/>
      <c r="R517" s="103"/>
      <c r="S517" s="105"/>
      <c r="T517" s="105"/>
      <c r="U517" s="103" t="s">
        <v>177</v>
      </c>
      <c r="V517" s="105" t="n">
        <v>500</v>
      </c>
      <c r="W517" s="103" t="n">
        <f aca="false">DATA_PIPELINE!$K517</f>
        <v>0</v>
      </c>
      <c r="X517" s="103" t="n">
        <f aca="false">DATA_PIPELINE!$V517-DATA_PIPELINE!$W517</f>
        <v>500</v>
      </c>
      <c r="Y517" s="103" t="str">
        <f aca="false">IF(DATA_PIPELINE!$X517=0,"Paid",IF(DATA_PIPELINE!$W517=0,"Unpaid","Partly Paid"))</f>
        <v>Unpaid</v>
      </c>
    </row>
    <row r="518" s="106" customFormat="true" ht="15" hidden="false" customHeight="true" outlineLevel="0" collapsed="false">
      <c r="A518" s="103" t="n">
        <v>513</v>
      </c>
      <c r="B518" s="105" t="s">
        <v>1572</v>
      </c>
      <c r="C518" s="105" t="s">
        <v>1573</v>
      </c>
      <c r="D518" s="103" t="s">
        <v>420</v>
      </c>
      <c r="E518" s="105" t="s">
        <v>1574</v>
      </c>
      <c r="F518" s="105" t="n">
        <v>773593548</v>
      </c>
      <c r="G518" s="105" t="s">
        <v>1575</v>
      </c>
      <c r="H518" s="105" t="s">
        <v>170</v>
      </c>
      <c r="I518" s="105"/>
      <c r="J518" s="105" t="s">
        <v>175</v>
      </c>
      <c r="K518" s="105" t="n">
        <v>0</v>
      </c>
      <c r="L518" s="105" t="n">
        <v>0</v>
      </c>
      <c r="M518" s="105" t="n">
        <v>0</v>
      </c>
      <c r="N518" s="105" t="n">
        <v>0</v>
      </c>
      <c r="O518" s="103"/>
      <c r="P518" s="103"/>
      <c r="Q518" s="103"/>
      <c r="R518" s="103"/>
      <c r="S518" s="105"/>
      <c r="T518" s="105"/>
      <c r="U518" s="103" t="s">
        <v>177</v>
      </c>
      <c r="V518" s="105" t="n">
        <v>500</v>
      </c>
      <c r="W518" s="103" t="n">
        <f aca="false">DATA_PIPELINE!$K518</f>
        <v>0</v>
      </c>
      <c r="X518" s="103" t="n">
        <f aca="false">DATA_PIPELINE!$V518-DATA_PIPELINE!$W518</f>
        <v>500</v>
      </c>
      <c r="Y518" s="103" t="str">
        <f aca="false">IF(DATA_PIPELINE!$X518=0,"Paid",IF(DATA_PIPELINE!$W518=0,"Unpaid","Partly Paid"))</f>
        <v>Unpaid</v>
      </c>
    </row>
    <row r="519" s="106" customFormat="true" ht="15" hidden="false" customHeight="true" outlineLevel="0" collapsed="false">
      <c r="A519" s="103" t="n">
        <v>514</v>
      </c>
      <c r="B519" s="105" t="s">
        <v>1576</v>
      </c>
      <c r="C519" s="105" t="s">
        <v>1577</v>
      </c>
      <c r="D519" s="103" t="s">
        <v>420</v>
      </c>
      <c r="E519" s="105" t="s">
        <v>1578</v>
      </c>
      <c r="F519" s="105" t="n">
        <v>774739396</v>
      </c>
      <c r="G519" s="105" t="s">
        <v>1575</v>
      </c>
      <c r="H519" s="105" t="s">
        <v>170</v>
      </c>
      <c r="I519" s="105"/>
      <c r="J519" s="105" t="s">
        <v>175</v>
      </c>
      <c r="K519" s="105" t="n">
        <v>0</v>
      </c>
      <c r="L519" s="105" t="n">
        <v>0</v>
      </c>
      <c r="M519" s="105" t="n">
        <v>0</v>
      </c>
      <c r="N519" s="105" t="n">
        <v>0</v>
      </c>
      <c r="O519" s="103"/>
      <c r="P519" s="103"/>
      <c r="Q519" s="103"/>
      <c r="R519" s="103"/>
      <c r="S519" s="105"/>
      <c r="T519" s="105"/>
      <c r="U519" s="103" t="s">
        <v>177</v>
      </c>
      <c r="V519" s="105" t="n">
        <v>500</v>
      </c>
      <c r="W519" s="103" t="n">
        <f aca="false">DATA_PIPELINE!$K519</f>
        <v>0</v>
      </c>
      <c r="X519" s="103" t="n">
        <f aca="false">DATA_PIPELINE!$V519-DATA_PIPELINE!$W519</f>
        <v>500</v>
      </c>
      <c r="Y519" s="103" t="str">
        <f aca="false">IF(DATA_PIPELINE!$X519=0,"Paid",IF(DATA_PIPELINE!$W519=0,"Unpaid","Partly Paid"))</f>
        <v>Unpaid</v>
      </c>
    </row>
    <row r="520" s="106" customFormat="true" ht="15" hidden="false" customHeight="true" outlineLevel="0" collapsed="false">
      <c r="A520" s="103" t="n">
        <v>515</v>
      </c>
      <c r="B520" s="105" t="s">
        <v>1579</v>
      </c>
      <c r="C520" s="105" t="s">
        <v>1580</v>
      </c>
      <c r="D520" s="107" t="s">
        <v>918</v>
      </c>
      <c r="E520" s="105" t="s">
        <v>1581</v>
      </c>
      <c r="F520" s="105" t="n">
        <v>718121661</v>
      </c>
      <c r="G520" s="105" t="s">
        <v>1536</v>
      </c>
      <c r="H520" s="105" t="s">
        <v>170</v>
      </c>
      <c r="I520" s="105"/>
      <c r="J520" s="105" t="s">
        <v>175</v>
      </c>
      <c r="K520" s="105" t="n">
        <v>0</v>
      </c>
      <c r="L520" s="105" t="n">
        <v>0</v>
      </c>
      <c r="M520" s="105" t="n">
        <v>0</v>
      </c>
      <c r="N520" s="105" t="n">
        <v>0</v>
      </c>
      <c r="O520" s="103"/>
      <c r="P520" s="103"/>
      <c r="Q520" s="103"/>
      <c r="R520" s="103"/>
      <c r="S520" s="105"/>
      <c r="T520" s="105"/>
      <c r="U520" s="103" t="s">
        <v>177</v>
      </c>
      <c r="V520" s="105" t="n">
        <v>500</v>
      </c>
      <c r="W520" s="103" t="n">
        <f aca="false">DATA_PIPELINE!$K520</f>
        <v>0</v>
      </c>
      <c r="X520" s="103" t="n">
        <f aca="false">DATA_PIPELINE!$V520-DATA_PIPELINE!$W520</f>
        <v>500</v>
      </c>
      <c r="Y520" s="103" t="str">
        <f aca="false">IF(DATA_PIPELINE!$X520=0,"Paid",IF(DATA_PIPELINE!$W520=0,"Unpaid","Partly Paid"))</f>
        <v>Unpaid</v>
      </c>
    </row>
    <row r="521" s="106" customFormat="true" ht="15" hidden="false" customHeight="true" outlineLevel="0" collapsed="false">
      <c r="A521" s="103" t="n">
        <v>516</v>
      </c>
      <c r="B521" s="105" t="s">
        <v>1582</v>
      </c>
      <c r="C521" s="105" t="s">
        <v>1583</v>
      </c>
      <c r="D521" s="107" t="s">
        <v>358</v>
      </c>
      <c r="E521" s="105" t="s">
        <v>1584</v>
      </c>
      <c r="F521" s="105" t="n">
        <v>772270689</v>
      </c>
      <c r="G521" s="105" t="s">
        <v>1536</v>
      </c>
      <c r="H521" s="105" t="s">
        <v>170</v>
      </c>
      <c r="I521" s="105"/>
      <c r="J521" s="105" t="s">
        <v>175</v>
      </c>
      <c r="K521" s="105" t="n">
        <v>0</v>
      </c>
      <c r="L521" s="105" t="n">
        <v>0</v>
      </c>
      <c r="M521" s="105" t="n">
        <v>0</v>
      </c>
      <c r="N521" s="105" t="n">
        <v>0</v>
      </c>
      <c r="O521" s="103"/>
      <c r="P521" s="103"/>
      <c r="Q521" s="103"/>
      <c r="R521" s="103"/>
      <c r="S521" s="105"/>
      <c r="T521" s="105"/>
      <c r="U521" s="103" t="s">
        <v>177</v>
      </c>
      <c r="V521" s="105" t="n">
        <v>500</v>
      </c>
      <c r="W521" s="103" t="n">
        <f aca="false">DATA_PIPELINE!$K521</f>
        <v>0</v>
      </c>
      <c r="X521" s="103" t="n">
        <f aca="false">DATA_PIPELINE!$V521-DATA_PIPELINE!$W521</f>
        <v>500</v>
      </c>
      <c r="Y521" s="103" t="str">
        <f aca="false">IF(DATA_PIPELINE!$X521=0,"Paid",IF(DATA_PIPELINE!$W521=0,"Unpaid","Partly Paid"))</f>
        <v>Unpaid</v>
      </c>
    </row>
    <row r="522" s="106" customFormat="true" ht="15" hidden="false" customHeight="true" outlineLevel="0" collapsed="false">
      <c r="A522" s="103" t="n">
        <v>517</v>
      </c>
      <c r="B522" s="105" t="s">
        <v>1585</v>
      </c>
      <c r="C522" s="105" t="s">
        <v>1586</v>
      </c>
      <c r="D522" s="103" t="s">
        <v>531</v>
      </c>
      <c r="E522" s="105" t="s">
        <v>1587</v>
      </c>
      <c r="F522" s="105" t="n">
        <v>718066553</v>
      </c>
      <c r="G522" s="105" t="s">
        <v>1536</v>
      </c>
      <c r="H522" s="103" t="s">
        <v>174</v>
      </c>
      <c r="I522" s="105"/>
      <c r="J522" s="105" t="s">
        <v>175</v>
      </c>
      <c r="K522" s="105" t="n">
        <v>0</v>
      </c>
      <c r="L522" s="105" t="n">
        <v>0</v>
      </c>
      <c r="M522" s="105" t="n">
        <v>0</v>
      </c>
      <c r="N522" s="105" t="n">
        <v>0</v>
      </c>
      <c r="O522" s="103"/>
      <c r="P522" s="103"/>
      <c r="Q522" s="103"/>
      <c r="R522" s="103"/>
      <c r="S522" s="105"/>
      <c r="T522" s="105"/>
      <c r="U522" s="103" t="s">
        <v>177</v>
      </c>
      <c r="V522" s="105" t="n">
        <v>500</v>
      </c>
      <c r="W522" s="103" t="n">
        <f aca="false">DATA_PIPELINE!$K522</f>
        <v>0</v>
      </c>
      <c r="X522" s="103" t="n">
        <f aca="false">DATA_PIPELINE!$V522-DATA_PIPELINE!$W522</f>
        <v>500</v>
      </c>
      <c r="Y522" s="103" t="str">
        <f aca="false">IF(DATA_PIPELINE!$X522=0,"Paid",IF(DATA_PIPELINE!$W522=0,"Unpaid","Partly Paid"))</f>
        <v>Unpaid</v>
      </c>
    </row>
    <row r="523" s="106" customFormat="true" ht="15" hidden="false" customHeight="true" outlineLevel="0" collapsed="false">
      <c r="A523" s="103" t="n">
        <v>518</v>
      </c>
      <c r="B523" s="105" t="s">
        <v>1588</v>
      </c>
      <c r="C523" s="105" t="s">
        <v>1586</v>
      </c>
      <c r="D523" s="103" t="s">
        <v>531</v>
      </c>
      <c r="E523" s="105" t="s">
        <v>1589</v>
      </c>
      <c r="F523" s="105" t="n">
        <v>775198278</v>
      </c>
      <c r="G523" s="105" t="s">
        <v>1536</v>
      </c>
      <c r="H523" s="103" t="s">
        <v>174</v>
      </c>
      <c r="I523" s="105"/>
      <c r="J523" s="105" t="s">
        <v>175</v>
      </c>
      <c r="K523" s="105" t="n">
        <v>0</v>
      </c>
      <c r="L523" s="105" t="n">
        <v>0</v>
      </c>
      <c r="M523" s="105" t="n">
        <v>0</v>
      </c>
      <c r="N523" s="105" t="n">
        <v>0</v>
      </c>
      <c r="O523" s="103"/>
      <c r="P523" s="103"/>
      <c r="Q523" s="103"/>
      <c r="R523" s="103"/>
      <c r="S523" s="105"/>
      <c r="T523" s="105"/>
      <c r="U523" s="103" t="s">
        <v>177</v>
      </c>
      <c r="V523" s="105" t="n">
        <v>500</v>
      </c>
      <c r="W523" s="103" t="n">
        <f aca="false">DATA_PIPELINE!$K523</f>
        <v>0</v>
      </c>
      <c r="X523" s="103" t="n">
        <f aca="false">DATA_PIPELINE!$V523-DATA_PIPELINE!$W523</f>
        <v>500</v>
      </c>
      <c r="Y523" s="103" t="str">
        <f aca="false">IF(DATA_PIPELINE!$X523=0,"Paid",IF(DATA_PIPELINE!$W523=0,"Unpaid","Partly Paid"))</f>
        <v>Unpaid</v>
      </c>
    </row>
    <row r="524" s="106" customFormat="true" ht="15" hidden="false" customHeight="true" outlineLevel="0" collapsed="false">
      <c r="A524" s="103" t="n">
        <v>519</v>
      </c>
      <c r="B524" s="105" t="s">
        <v>1590</v>
      </c>
      <c r="C524" s="105" t="s">
        <v>1591</v>
      </c>
      <c r="D524" s="103" t="s">
        <v>531</v>
      </c>
      <c r="E524" s="105" t="s">
        <v>1592</v>
      </c>
      <c r="F524" s="105" t="n">
        <v>782386122</v>
      </c>
      <c r="G524" s="105" t="s">
        <v>1536</v>
      </c>
      <c r="H524" s="103" t="s">
        <v>174</v>
      </c>
      <c r="I524" s="105"/>
      <c r="J524" s="105" t="s">
        <v>175</v>
      </c>
      <c r="K524" s="105" t="n">
        <v>0</v>
      </c>
      <c r="L524" s="105" t="n">
        <v>0</v>
      </c>
      <c r="M524" s="105" t="n">
        <v>0</v>
      </c>
      <c r="N524" s="105" t="n">
        <v>0</v>
      </c>
      <c r="O524" s="103"/>
      <c r="P524" s="103"/>
      <c r="Q524" s="103"/>
      <c r="R524" s="103"/>
      <c r="S524" s="105"/>
      <c r="T524" s="105"/>
      <c r="U524" s="103" t="s">
        <v>177</v>
      </c>
      <c r="V524" s="105" t="n">
        <v>500</v>
      </c>
      <c r="W524" s="103" t="n">
        <f aca="false">DATA_PIPELINE!$K524</f>
        <v>0</v>
      </c>
      <c r="X524" s="103" t="n">
        <f aca="false">DATA_PIPELINE!$V524-DATA_PIPELINE!$W524</f>
        <v>500</v>
      </c>
      <c r="Y524" s="103" t="str">
        <f aca="false">IF(DATA_PIPELINE!$X524=0,"Paid",IF(DATA_PIPELINE!$W524=0,"Unpaid","Partly Paid"))</f>
        <v>Unpaid</v>
      </c>
    </row>
    <row r="525" s="106" customFormat="true" ht="15" hidden="false" customHeight="true" outlineLevel="0" collapsed="false">
      <c r="A525" s="103" t="n">
        <v>520</v>
      </c>
      <c r="B525" s="105" t="s">
        <v>1593</v>
      </c>
      <c r="C525" s="105" t="s">
        <v>1594</v>
      </c>
      <c r="D525" s="103" t="s">
        <v>531</v>
      </c>
      <c r="E525" s="105" t="s">
        <v>1595</v>
      </c>
      <c r="F525" s="105" t="n">
        <v>771669792</v>
      </c>
      <c r="G525" s="105" t="s">
        <v>1536</v>
      </c>
      <c r="H525" s="103" t="s">
        <v>174</v>
      </c>
      <c r="I525" s="105"/>
      <c r="J525" s="105" t="s">
        <v>175</v>
      </c>
      <c r="K525" s="105" t="n">
        <v>0</v>
      </c>
      <c r="L525" s="105" t="n">
        <v>0</v>
      </c>
      <c r="M525" s="105" t="n">
        <v>0</v>
      </c>
      <c r="N525" s="105" t="n">
        <v>0</v>
      </c>
      <c r="O525" s="103"/>
      <c r="P525" s="103"/>
      <c r="Q525" s="103"/>
      <c r="R525" s="103"/>
      <c r="S525" s="105"/>
      <c r="T525" s="105"/>
      <c r="U525" s="103" t="s">
        <v>177</v>
      </c>
      <c r="V525" s="105" t="n">
        <v>500</v>
      </c>
      <c r="W525" s="103" t="n">
        <f aca="false">DATA_PIPELINE!$K525</f>
        <v>0</v>
      </c>
      <c r="X525" s="103" t="n">
        <f aca="false">DATA_PIPELINE!$V525-DATA_PIPELINE!$W525</f>
        <v>500</v>
      </c>
      <c r="Y525" s="103" t="str">
        <f aca="false">IF(DATA_PIPELINE!$X525=0,"Paid",IF(DATA_PIPELINE!$W525=0,"Unpaid","Partly Paid"))</f>
        <v>Unpaid</v>
      </c>
    </row>
    <row r="526" s="106" customFormat="true" ht="15" hidden="false" customHeight="true" outlineLevel="0" collapsed="false">
      <c r="A526" s="103" t="n">
        <v>521</v>
      </c>
      <c r="B526" s="105" t="s">
        <v>1596</v>
      </c>
      <c r="C526" s="105" t="s">
        <v>170</v>
      </c>
      <c r="D526" s="103" t="s">
        <v>531</v>
      </c>
      <c r="E526" s="105" t="s">
        <v>1597</v>
      </c>
      <c r="F526" s="105" t="n">
        <v>715521463</v>
      </c>
      <c r="G526" s="105" t="s">
        <v>1536</v>
      </c>
      <c r="H526" s="103" t="s">
        <v>174</v>
      </c>
      <c r="I526" s="105"/>
      <c r="J526" s="105" t="s">
        <v>175</v>
      </c>
      <c r="K526" s="105" t="n">
        <v>0</v>
      </c>
      <c r="L526" s="105" t="n">
        <v>0</v>
      </c>
      <c r="M526" s="105" t="n">
        <v>0</v>
      </c>
      <c r="N526" s="105" t="n">
        <v>0</v>
      </c>
      <c r="O526" s="103"/>
      <c r="P526" s="103"/>
      <c r="Q526" s="103"/>
      <c r="R526" s="103"/>
      <c r="S526" s="105"/>
      <c r="T526" s="105"/>
      <c r="U526" s="103" t="s">
        <v>177</v>
      </c>
      <c r="V526" s="105" t="n">
        <v>500</v>
      </c>
      <c r="W526" s="103" t="n">
        <f aca="false">DATA_PIPELINE!$K526</f>
        <v>0</v>
      </c>
      <c r="X526" s="103" t="n">
        <f aca="false">DATA_PIPELINE!$V526-DATA_PIPELINE!$W526</f>
        <v>500</v>
      </c>
      <c r="Y526" s="103" t="str">
        <f aca="false">IF(DATA_PIPELINE!$X526=0,"Paid",IF(DATA_PIPELINE!$W526=0,"Unpaid","Partly Paid"))</f>
        <v>Unpaid</v>
      </c>
    </row>
    <row r="527" s="106" customFormat="true" ht="15" hidden="false" customHeight="true" outlineLevel="0" collapsed="false">
      <c r="A527" s="103" t="n">
        <v>522</v>
      </c>
      <c r="B527" s="105" t="s">
        <v>1598</v>
      </c>
      <c r="C527" s="105" t="s">
        <v>1599</v>
      </c>
      <c r="D527" s="103" t="s">
        <v>531</v>
      </c>
      <c r="E527" s="105" t="s">
        <v>1600</v>
      </c>
      <c r="F527" s="105" t="n">
        <v>777968534</v>
      </c>
      <c r="G527" s="105" t="s">
        <v>1536</v>
      </c>
      <c r="H527" s="103" t="s">
        <v>174</v>
      </c>
      <c r="I527" s="105"/>
      <c r="J527" s="105" t="s">
        <v>175</v>
      </c>
      <c r="K527" s="105" t="n">
        <v>0</v>
      </c>
      <c r="L527" s="105" t="n">
        <v>0</v>
      </c>
      <c r="M527" s="105" t="n">
        <v>0</v>
      </c>
      <c r="N527" s="105" t="n">
        <v>0</v>
      </c>
      <c r="O527" s="103"/>
      <c r="P527" s="103"/>
      <c r="Q527" s="103"/>
      <c r="R527" s="103"/>
      <c r="S527" s="105"/>
      <c r="T527" s="105"/>
      <c r="U527" s="103" t="s">
        <v>177</v>
      </c>
      <c r="V527" s="105" t="n">
        <v>500</v>
      </c>
      <c r="W527" s="103" t="n">
        <f aca="false">DATA_PIPELINE!$K527</f>
        <v>0</v>
      </c>
      <c r="X527" s="103" t="n">
        <f aca="false">DATA_PIPELINE!$V527-DATA_PIPELINE!$W527</f>
        <v>500</v>
      </c>
      <c r="Y527" s="103" t="str">
        <f aca="false">IF(DATA_PIPELINE!$X527=0,"Paid",IF(DATA_PIPELINE!$W527=0,"Unpaid","Partly Paid"))</f>
        <v>Unpaid</v>
      </c>
    </row>
    <row r="528" s="106" customFormat="true" ht="15" hidden="false" customHeight="true" outlineLevel="0" collapsed="false">
      <c r="A528" s="103" t="n">
        <v>523</v>
      </c>
      <c r="B528" s="105" t="s">
        <v>1601</v>
      </c>
      <c r="C528" s="105" t="s">
        <v>1602</v>
      </c>
      <c r="D528" s="107" t="s">
        <v>1475</v>
      </c>
      <c r="E528" s="105" t="s">
        <v>1603</v>
      </c>
      <c r="F528" s="105" t="n">
        <v>712744378</v>
      </c>
      <c r="G528" s="105" t="s">
        <v>1604</v>
      </c>
      <c r="H528" s="105" t="s">
        <v>174</v>
      </c>
      <c r="I528" s="105"/>
      <c r="J528" s="105" t="s">
        <v>175</v>
      </c>
      <c r="K528" s="105" t="n">
        <v>0</v>
      </c>
      <c r="L528" s="105" t="n">
        <v>0</v>
      </c>
      <c r="M528" s="105" t="n">
        <v>0</v>
      </c>
      <c r="N528" s="105" t="n">
        <v>0</v>
      </c>
      <c r="O528" s="103"/>
      <c r="P528" s="103"/>
      <c r="Q528" s="103"/>
      <c r="R528" s="103"/>
      <c r="S528" s="105"/>
      <c r="T528" s="105"/>
      <c r="U528" s="103" t="s">
        <v>177</v>
      </c>
      <c r="V528" s="105" t="n">
        <v>500</v>
      </c>
      <c r="W528" s="103" t="n">
        <f aca="false">DATA_PIPELINE!$K528</f>
        <v>0</v>
      </c>
      <c r="X528" s="103" t="n">
        <f aca="false">DATA_PIPELINE!$V528-DATA_PIPELINE!$W528</f>
        <v>500</v>
      </c>
      <c r="Y528" s="103" t="str">
        <f aca="false">IF(DATA_PIPELINE!$X528=0,"Paid",IF(DATA_PIPELINE!$W528=0,"Unpaid","Partly Paid"))</f>
        <v>Unpaid</v>
      </c>
    </row>
    <row r="529" s="106" customFormat="true" ht="15" hidden="false" customHeight="true" outlineLevel="0" collapsed="false">
      <c r="A529" s="103" t="n">
        <v>524</v>
      </c>
      <c r="B529" s="105" t="s">
        <v>1605</v>
      </c>
      <c r="C529" s="105" t="s">
        <v>1606</v>
      </c>
      <c r="D529" s="107" t="s">
        <v>1475</v>
      </c>
      <c r="E529" s="105" t="s">
        <v>1607</v>
      </c>
      <c r="F529" s="105" t="n">
        <v>716959073</v>
      </c>
      <c r="G529" s="105" t="s">
        <v>1604</v>
      </c>
      <c r="H529" s="105" t="s">
        <v>174</v>
      </c>
      <c r="I529" s="105"/>
      <c r="J529" s="105" t="s">
        <v>175</v>
      </c>
      <c r="K529" s="105" t="n">
        <v>0</v>
      </c>
      <c r="L529" s="105" t="n">
        <v>0</v>
      </c>
      <c r="M529" s="105" t="n">
        <v>0</v>
      </c>
      <c r="N529" s="105" t="n">
        <v>0</v>
      </c>
      <c r="O529" s="103"/>
      <c r="P529" s="103"/>
      <c r="Q529" s="103"/>
      <c r="R529" s="103"/>
      <c r="S529" s="105"/>
      <c r="T529" s="105"/>
      <c r="U529" s="103" t="s">
        <v>177</v>
      </c>
      <c r="V529" s="105" t="n">
        <v>500</v>
      </c>
      <c r="W529" s="103" t="n">
        <f aca="false">DATA_PIPELINE!$K529</f>
        <v>0</v>
      </c>
      <c r="X529" s="103" t="n">
        <f aca="false">DATA_PIPELINE!$V529-DATA_PIPELINE!$W529</f>
        <v>500</v>
      </c>
      <c r="Y529" s="103" t="str">
        <f aca="false">IF(DATA_PIPELINE!$X529=0,"Paid",IF(DATA_PIPELINE!$W529=0,"Unpaid","Partly Paid"))</f>
        <v>Unpaid</v>
      </c>
    </row>
    <row r="530" s="106" customFormat="true" ht="15" hidden="false" customHeight="true" outlineLevel="0" collapsed="false">
      <c r="A530" s="103" t="n">
        <v>525</v>
      </c>
      <c r="B530" s="105" t="s">
        <v>1608</v>
      </c>
      <c r="C530" s="105" t="s">
        <v>1606</v>
      </c>
      <c r="D530" s="107" t="s">
        <v>1475</v>
      </c>
      <c r="E530" s="105" t="s">
        <v>1609</v>
      </c>
      <c r="F530" s="105" t="n">
        <v>772525529</v>
      </c>
      <c r="G530" s="105" t="s">
        <v>1604</v>
      </c>
      <c r="H530" s="105" t="s">
        <v>174</v>
      </c>
      <c r="I530" s="105"/>
      <c r="J530" s="105" t="s">
        <v>175</v>
      </c>
      <c r="K530" s="105" t="n">
        <v>0</v>
      </c>
      <c r="L530" s="105" t="n">
        <v>0</v>
      </c>
      <c r="M530" s="105" t="n">
        <v>0</v>
      </c>
      <c r="N530" s="105" t="n">
        <v>0</v>
      </c>
      <c r="O530" s="103"/>
      <c r="P530" s="103"/>
      <c r="Q530" s="103"/>
      <c r="R530" s="103"/>
      <c r="S530" s="105"/>
      <c r="T530" s="105"/>
      <c r="U530" s="103" t="s">
        <v>177</v>
      </c>
      <c r="V530" s="105" t="n">
        <v>500</v>
      </c>
      <c r="W530" s="103" t="n">
        <f aca="false">DATA_PIPELINE!$K530</f>
        <v>0</v>
      </c>
      <c r="X530" s="103" t="n">
        <f aca="false">DATA_PIPELINE!$V530-DATA_PIPELINE!$W530</f>
        <v>500</v>
      </c>
      <c r="Y530" s="103" t="str">
        <f aca="false">IF(DATA_PIPELINE!$X530=0,"Paid",IF(DATA_PIPELINE!$W530=0,"Unpaid","Partly Paid"))</f>
        <v>Unpaid</v>
      </c>
    </row>
    <row r="531" s="106" customFormat="true" ht="15" hidden="false" customHeight="true" outlineLevel="0" collapsed="false">
      <c r="A531" s="103" t="n">
        <v>526</v>
      </c>
      <c r="B531" s="105" t="s">
        <v>1610</v>
      </c>
      <c r="C531" s="105" t="s">
        <v>1606</v>
      </c>
      <c r="D531" s="107" t="s">
        <v>1475</v>
      </c>
      <c r="E531" s="105" t="s">
        <v>1611</v>
      </c>
      <c r="F531" s="105" t="n">
        <v>773212443</v>
      </c>
      <c r="G531" s="105" t="s">
        <v>1604</v>
      </c>
      <c r="H531" s="105" t="s">
        <v>174</v>
      </c>
      <c r="I531" s="105"/>
      <c r="J531" s="105" t="s">
        <v>175</v>
      </c>
      <c r="K531" s="105" t="n">
        <v>0</v>
      </c>
      <c r="L531" s="105" t="n">
        <v>0</v>
      </c>
      <c r="M531" s="105" t="n">
        <v>0</v>
      </c>
      <c r="N531" s="105" t="n">
        <v>0</v>
      </c>
      <c r="O531" s="103"/>
      <c r="P531" s="103"/>
      <c r="Q531" s="103"/>
      <c r="R531" s="103"/>
      <c r="S531" s="105"/>
      <c r="T531" s="105"/>
      <c r="U531" s="103" t="s">
        <v>177</v>
      </c>
      <c r="V531" s="105" t="n">
        <v>500</v>
      </c>
      <c r="W531" s="103" t="n">
        <f aca="false">DATA_PIPELINE!$K531</f>
        <v>0</v>
      </c>
      <c r="X531" s="103" t="n">
        <f aca="false">DATA_PIPELINE!$V531-DATA_PIPELINE!$W531</f>
        <v>500</v>
      </c>
      <c r="Y531" s="103" t="str">
        <f aca="false">IF(DATA_PIPELINE!$X531=0,"Paid",IF(DATA_PIPELINE!$W531=0,"Unpaid","Partly Paid"))</f>
        <v>Unpaid</v>
      </c>
    </row>
    <row r="532" s="106" customFormat="true" ht="15" hidden="false" customHeight="true" outlineLevel="0" collapsed="false">
      <c r="A532" s="103" t="n">
        <v>527</v>
      </c>
      <c r="B532" s="105" t="s">
        <v>1612</v>
      </c>
      <c r="C532" s="105" t="s">
        <v>1602</v>
      </c>
      <c r="D532" s="107" t="s">
        <v>1475</v>
      </c>
      <c r="E532" s="105" t="s">
        <v>1613</v>
      </c>
      <c r="F532" s="105" t="n">
        <v>778194650</v>
      </c>
      <c r="G532" s="105" t="s">
        <v>1604</v>
      </c>
      <c r="H532" s="105" t="s">
        <v>174</v>
      </c>
      <c r="I532" s="105"/>
      <c r="J532" s="105" t="s">
        <v>175</v>
      </c>
      <c r="K532" s="105" t="n">
        <v>0</v>
      </c>
      <c r="L532" s="105" t="n">
        <v>0</v>
      </c>
      <c r="M532" s="105" t="n">
        <v>0</v>
      </c>
      <c r="N532" s="105" t="n">
        <v>0</v>
      </c>
      <c r="O532" s="103"/>
      <c r="P532" s="103"/>
      <c r="Q532" s="103"/>
      <c r="R532" s="103"/>
      <c r="S532" s="105"/>
      <c r="T532" s="105"/>
      <c r="U532" s="103" t="s">
        <v>177</v>
      </c>
      <c r="V532" s="105" t="n">
        <v>500</v>
      </c>
      <c r="W532" s="103" t="n">
        <f aca="false">DATA_PIPELINE!$K532</f>
        <v>0</v>
      </c>
      <c r="X532" s="103" t="n">
        <f aca="false">DATA_PIPELINE!$V532-DATA_PIPELINE!$W532</f>
        <v>500</v>
      </c>
      <c r="Y532" s="103" t="str">
        <f aca="false">IF(DATA_PIPELINE!$X532=0,"Paid",IF(DATA_PIPELINE!$W532=0,"Unpaid","Partly Paid"))</f>
        <v>Unpaid</v>
      </c>
    </row>
    <row r="533" s="106" customFormat="true" ht="15" hidden="false" customHeight="true" outlineLevel="0" collapsed="false">
      <c r="A533" s="103" t="n">
        <v>528</v>
      </c>
      <c r="B533" s="105" t="s">
        <v>1614</v>
      </c>
      <c r="C533" s="105" t="s">
        <v>1615</v>
      </c>
      <c r="D533" s="107" t="s">
        <v>1475</v>
      </c>
      <c r="E533" s="105" t="s">
        <v>1616</v>
      </c>
      <c r="F533" s="105" t="n">
        <v>712744378</v>
      </c>
      <c r="G533" s="105" t="s">
        <v>1604</v>
      </c>
      <c r="H533" s="105" t="s">
        <v>174</v>
      </c>
      <c r="I533" s="105"/>
      <c r="J533" s="105" t="s">
        <v>175</v>
      </c>
      <c r="K533" s="105" t="n">
        <v>0</v>
      </c>
      <c r="L533" s="105" t="n">
        <v>0</v>
      </c>
      <c r="M533" s="105" t="n">
        <v>0</v>
      </c>
      <c r="N533" s="105" t="n">
        <v>0</v>
      </c>
      <c r="O533" s="103"/>
      <c r="P533" s="103"/>
      <c r="Q533" s="103"/>
      <c r="R533" s="103"/>
      <c r="S533" s="105"/>
      <c r="T533" s="105"/>
      <c r="U533" s="103" t="s">
        <v>177</v>
      </c>
      <c r="V533" s="105" t="n">
        <v>500</v>
      </c>
      <c r="W533" s="103" t="n">
        <f aca="false">DATA_PIPELINE!$K533</f>
        <v>0</v>
      </c>
      <c r="X533" s="103" t="n">
        <f aca="false">DATA_PIPELINE!$V533-DATA_PIPELINE!$W533</f>
        <v>500</v>
      </c>
      <c r="Y533" s="103" t="str">
        <f aca="false">IF(DATA_PIPELINE!$X533=0,"Paid",IF(DATA_PIPELINE!$W533=0,"Unpaid","Partly Paid"))</f>
        <v>Unpaid</v>
      </c>
    </row>
    <row r="534" s="106" customFormat="true" ht="15" hidden="false" customHeight="true" outlineLevel="0" collapsed="false">
      <c r="A534" s="103" t="n">
        <v>529</v>
      </c>
      <c r="B534" s="105" t="s">
        <v>1617</v>
      </c>
      <c r="C534" s="105" t="s">
        <v>1606</v>
      </c>
      <c r="D534" s="107" t="s">
        <v>1475</v>
      </c>
      <c r="E534" s="105" t="s">
        <v>1618</v>
      </c>
      <c r="F534" s="105" t="n">
        <v>771740298</v>
      </c>
      <c r="G534" s="105" t="s">
        <v>1604</v>
      </c>
      <c r="H534" s="105" t="s">
        <v>174</v>
      </c>
      <c r="I534" s="105"/>
      <c r="J534" s="105" t="s">
        <v>175</v>
      </c>
      <c r="K534" s="105" t="n">
        <v>0</v>
      </c>
      <c r="L534" s="105" t="n">
        <v>0</v>
      </c>
      <c r="M534" s="105" t="n">
        <v>0</v>
      </c>
      <c r="N534" s="105" t="n">
        <v>0</v>
      </c>
      <c r="O534" s="103"/>
      <c r="P534" s="103"/>
      <c r="Q534" s="103"/>
      <c r="R534" s="103"/>
      <c r="S534" s="105"/>
      <c r="T534" s="105"/>
      <c r="U534" s="103" t="s">
        <v>177</v>
      </c>
      <c r="V534" s="105" t="n">
        <v>500</v>
      </c>
      <c r="W534" s="103" t="n">
        <f aca="false">DATA_PIPELINE!$K534</f>
        <v>0</v>
      </c>
      <c r="X534" s="103" t="n">
        <f aca="false">DATA_PIPELINE!$V534-DATA_PIPELINE!$W534</f>
        <v>500</v>
      </c>
      <c r="Y534" s="103" t="str">
        <f aca="false">IF(DATA_PIPELINE!$X534=0,"Paid",IF(DATA_PIPELINE!$W534=0,"Unpaid","Partly Paid"))</f>
        <v>Unpaid</v>
      </c>
    </row>
    <row r="535" s="106" customFormat="true" ht="15" hidden="false" customHeight="true" outlineLevel="0" collapsed="false">
      <c r="A535" s="103" t="n">
        <v>530</v>
      </c>
      <c r="B535" s="105" t="s">
        <v>1619</v>
      </c>
      <c r="C535" s="105" t="s">
        <v>1620</v>
      </c>
      <c r="D535" s="103" t="s">
        <v>803</v>
      </c>
      <c r="E535" s="105" t="s">
        <v>1621</v>
      </c>
      <c r="F535" s="105" t="n">
        <v>713331617</v>
      </c>
      <c r="G535" s="105" t="s">
        <v>1536</v>
      </c>
      <c r="H535" s="105" t="s">
        <v>170</v>
      </c>
      <c r="I535" s="105"/>
      <c r="J535" s="105" t="s">
        <v>175</v>
      </c>
      <c r="K535" s="105" t="n">
        <v>0</v>
      </c>
      <c r="L535" s="105" t="n">
        <v>0</v>
      </c>
      <c r="M535" s="105" t="n">
        <v>0</v>
      </c>
      <c r="N535" s="105" t="n">
        <v>0</v>
      </c>
      <c r="O535" s="103"/>
      <c r="P535" s="103"/>
      <c r="Q535" s="103"/>
      <c r="R535" s="103"/>
      <c r="S535" s="105"/>
      <c r="T535" s="105"/>
      <c r="U535" s="103" t="s">
        <v>177</v>
      </c>
      <c r="V535" s="105" t="n">
        <v>500</v>
      </c>
      <c r="W535" s="103" t="n">
        <f aca="false">DATA_PIPELINE!$K535</f>
        <v>0</v>
      </c>
      <c r="X535" s="103" t="n">
        <f aca="false">DATA_PIPELINE!$V535-DATA_PIPELINE!$W535</f>
        <v>500</v>
      </c>
      <c r="Y535" s="103" t="str">
        <f aca="false">IF(DATA_PIPELINE!$X535=0,"Paid",IF(DATA_PIPELINE!$W535=0,"Unpaid","Partly Paid"))</f>
        <v>Unpaid</v>
      </c>
    </row>
    <row r="536" s="106" customFormat="true" ht="15" hidden="false" customHeight="true" outlineLevel="0" collapsed="false">
      <c r="A536" s="103" t="n">
        <v>531</v>
      </c>
      <c r="B536" s="105" t="s">
        <v>1622</v>
      </c>
      <c r="C536" s="105" t="s">
        <v>1623</v>
      </c>
      <c r="D536" s="103" t="s">
        <v>803</v>
      </c>
      <c r="E536" s="105" t="s">
        <v>1624</v>
      </c>
      <c r="F536" s="105" t="n">
        <v>771106352</v>
      </c>
      <c r="G536" s="105" t="s">
        <v>1536</v>
      </c>
      <c r="H536" s="105" t="s">
        <v>170</v>
      </c>
      <c r="I536" s="105"/>
      <c r="J536" s="105" t="s">
        <v>175</v>
      </c>
      <c r="K536" s="105" t="n">
        <v>0</v>
      </c>
      <c r="L536" s="105" t="n">
        <v>0</v>
      </c>
      <c r="M536" s="105" t="n">
        <v>0</v>
      </c>
      <c r="N536" s="105" t="n">
        <v>0</v>
      </c>
      <c r="O536" s="103"/>
      <c r="P536" s="103"/>
      <c r="Q536" s="103"/>
      <c r="R536" s="103"/>
      <c r="S536" s="105"/>
      <c r="T536" s="105"/>
      <c r="U536" s="103" t="s">
        <v>177</v>
      </c>
      <c r="V536" s="105" t="n">
        <v>500</v>
      </c>
      <c r="W536" s="103" t="n">
        <f aca="false">DATA_PIPELINE!$K536</f>
        <v>0</v>
      </c>
      <c r="X536" s="103" t="n">
        <f aca="false">DATA_PIPELINE!$V536-DATA_PIPELINE!$W536</f>
        <v>500</v>
      </c>
      <c r="Y536" s="103" t="str">
        <f aca="false">IF(DATA_PIPELINE!$X536=0,"Paid",IF(DATA_PIPELINE!$W536=0,"Unpaid","Partly Paid"))</f>
        <v>Unpaid</v>
      </c>
    </row>
    <row r="537" s="106" customFormat="true" ht="15" hidden="false" customHeight="true" outlineLevel="0" collapsed="false">
      <c r="A537" s="103" t="n">
        <v>532</v>
      </c>
      <c r="B537" s="105" t="s">
        <v>1625</v>
      </c>
      <c r="C537" s="105" t="s">
        <v>1626</v>
      </c>
      <c r="D537" s="103" t="s">
        <v>420</v>
      </c>
      <c r="E537" s="105" t="s">
        <v>1627</v>
      </c>
      <c r="F537" s="105" t="n">
        <v>772591809</v>
      </c>
      <c r="G537" s="105" t="s">
        <v>170</v>
      </c>
      <c r="H537" s="105" t="s">
        <v>170</v>
      </c>
      <c r="I537" s="105"/>
      <c r="J537" s="105" t="s">
        <v>350</v>
      </c>
      <c r="K537" s="105" t="n">
        <v>100</v>
      </c>
      <c r="L537" s="105" t="n">
        <v>400</v>
      </c>
      <c r="M537" s="105"/>
      <c r="N537" s="105" t="n">
        <v>55</v>
      </c>
      <c r="O537" s="103"/>
      <c r="P537" s="103"/>
      <c r="Q537" s="103"/>
      <c r="R537" s="103"/>
      <c r="S537" s="105"/>
      <c r="T537" s="105"/>
      <c r="U537" s="103" t="s">
        <v>177</v>
      </c>
      <c r="V537" s="105" t="n">
        <v>500</v>
      </c>
      <c r="W537" s="103" t="n">
        <f aca="false">DATA_PIPELINE!$K537</f>
        <v>100</v>
      </c>
      <c r="X537" s="103" t="n">
        <f aca="false">DATA_PIPELINE!$V537-DATA_PIPELINE!$W537</f>
        <v>400</v>
      </c>
      <c r="Y537" s="103" t="str">
        <f aca="false">IF(DATA_PIPELINE!$X537=0,"Paid",IF(DATA_PIPELINE!$W537=0,"Unpaid","Partly Paid"))</f>
        <v>Partly Paid</v>
      </c>
    </row>
    <row r="538" s="106" customFormat="true" ht="15" hidden="false" customHeight="true" outlineLevel="0" collapsed="false">
      <c r="A538" s="103" t="n">
        <v>533</v>
      </c>
      <c r="B538" s="110" t="s">
        <v>1628</v>
      </c>
      <c r="C538" s="105" t="s">
        <v>1629</v>
      </c>
      <c r="D538" s="107" t="s">
        <v>988</v>
      </c>
      <c r="E538" s="105" t="s">
        <v>1630</v>
      </c>
      <c r="F538" s="105"/>
      <c r="G538" s="105" t="s">
        <v>1631</v>
      </c>
      <c r="H538" s="105" t="s">
        <v>170</v>
      </c>
      <c r="I538" s="105" t="n">
        <v>9</v>
      </c>
      <c r="J538" s="105" t="s">
        <v>350</v>
      </c>
      <c r="K538" s="105" t="n">
        <v>200</v>
      </c>
      <c r="L538" s="105" t="n">
        <v>300</v>
      </c>
      <c r="M538" s="105" t="n">
        <v>0</v>
      </c>
      <c r="N538" s="105" t="n">
        <v>0</v>
      </c>
      <c r="O538" s="103"/>
      <c r="P538" s="103"/>
      <c r="Q538" s="103"/>
      <c r="R538" s="103"/>
      <c r="S538" s="105"/>
      <c r="T538" s="105"/>
      <c r="U538" s="103" t="s">
        <v>1632</v>
      </c>
      <c r="V538" s="105" t="n">
        <v>500</v>
      </c>
      <c r="W538" s="103" t="n">
        <f aca="false">DATA_PIPELINE!$K538</f>
        <v>200</v>
      </c>
      <c r="X538" s="103" t="n">
        <f aca="false">DATA_PIPELINE!$V538-DATA_PIPELINE!$W538</f>
        <v>300</v>
      </c>
      <c r="Y538" s="103" t="str">
        <f aca="false">IF(DATA_PIPELINE!$X538=0,"Paid",IF(DATA_PIPELINE!$W538=0,"Unpaid","Partly Paid"))</f>
        <v>Partly Paid</v>
      </c>
    </row>
    <row r="539" s="106" customFormat="true" ht="15" hidden="false" customHeight="true" outlineLevel="0" collapsed="false">
      <c r="A539" s="103" t="n">
        <v>534</v>
      </c>
      <c r="B539" s="18" t="s">
        <v>1633</v>
      </c>
      <c r="C539" s="105" t="s">
        <v>170</v>
      </c>
      <c r="D539" s="103" t="s">
        <v>914</v>
      </c>
      <c r="E539" s="105" t="s">
        <v>170</v>
      </c>
      <c r="F539" s="105" t="s">
        <v>170</v>
      </c>
      <c r="G539" s="105" t="s">
        <v>170</v>
      </c>
      <c r="H539" s="105" t="s">
        <v>170</v>
      </c>
      <c r="I539" s="105"/>
      <c r="J539" s="105" t="s">
        <v>170</v>
      </c>
      <c r="K539" s="105" t="n">
        <v>0</v>
      </c>
      <c r="L539" s="105" t="n">
        <v>0</v>
      </c>
      <c r="M539" s="105" t="n">
        <v>0</v>
      </c>
      <c r="N539" s="105" t="n">
        <v>0</v>
      </c>
      <c r="O539" s="103" t="n">
        <v>0</v>
      </c>
      <c r="P539" s="103" t="n">
        <v>0</v>
      </c>
      <c r="Q539" s="103" t="n">
        <v>0</v>
      </c>
      <c r="R539" s="103" t="n">
        <v>0</v>
      </c>
      <c r="S539" s="105" t="n">
        <v>0</v>
      </c>
      <c r="T539" s="105" t="n">
        <v>0</v>
      </c>
      <c r="U539" s="103" t="s">
        <v>170</v>
      </c>
      <c r="V539" s="112" t="n">
        <v>500</v>
      </c>
      <c r="W539" s="103" t="n">
        <f aca="false">DATA_PIPELINE!$K539</f>
        <v>0</v>
      </c>
      <c r="X539" s="103" t="n">
        <f aca="false">DATA_PIPELINE!$V539-DATA_PIPELINE!$W539</f>
        <v>500</v>
      </c>
      <c r="Y539" s="103" t="str">
        <f aca="false">IF(DATA_PIPELINE!$X539=0,"Paid",IF(DATA_PIPELINE!$W539=0,"Unpaid","Partly Paid"))</f>
        <v>Unpaid</v>
      </c>
    </row>
    <row r="540" s="106" customFormat="true" ht="15" hidden="false" customHeight="true" outlineLevel="0" collapsed="false">
      <c r="A540" s="103" t="n">
        <v>535</v>
      </c>
      <c r="B540" s="18" t="s">
        <v>1634</v>
      </c>
      <c r="C540" s="105" t="s">
        <v>170</v>
      </c>
      <c r="D540" s="104" t="s">
        <v>171</v>
      </c>
      <c r="E540" s="105" t="s">
        <v>170</v>
      </c>
      <c r="F540" s="105" t="s">
        <v>170</v>
      </c>
      <c r="G540" s="105" t="s">
        <v>170</v>
      </c>
      <c r="H540" s="105" t="s">
        <v>170</v>
      </c>
      <c r="I540" s="105"/>
      <c r="J540" s="105" t="s">
        <v>170</v>
      </c>
      <c r="K540" s="105" t="n">
        <v>0</v>
      </c>
      <c r="L540" s="105" t="n">
        <v>0</v>
      </c>
      <c r="M540" s="105" t="n">
        <v>0</v>
      </c>
      <c r="N540" s="105" t="n">
        <v>0</v>
      </c>
      <c r="O540" s="103" t="n">
        <v>0</v>
      </c>
      <c r="P540" s="103" t="n">
        <v>0</v>
      </c>
      <c r="Q540" s="103" t="n">
        <v>0</v>
      </c>
      <c r="R540" s="103" t="n">
        <v>0</v>
      </c>
      <c r="S540" s="105" t="n">
        <v>0</v>
      </c>
      <c r="T540" s="105" t="n">
        <v>0</v>
      </c>
      <c r="U540" s="103" t="s">
        <v>170</v>
      </c>
      <c r="V540" s="112" t="n">
        <v>500</v>
      </c>
      <c r="W540" s="103" t="n">
        <f aca="false">DATA_PIPELINE!$K540</f>
        <v>0</v>
      </c>
      <c r="X540" s="103" t="n">
        <f aca="false">DATA_PIPELINE!$V540-DATA_PIPELINE!$W540</f>
        <v>500</v>
      </c>
      <c r="Y540" s="103" t="str">
        <f aca="false">IF(DATA_PIPELINE!$X540=0,"Paid",IF(DATA_PIPELINE!$W540=0,"Unpaid","Partly Paid"))</f>
        <v>Unpaid</v>
      </c>
    </row>
    <row r="541" s="106" customFormat="true" ht="15" hidden="false" customHeight="true" outlineLevel="0" collapsed="false">
      <c r="A541" s="103" t="n">
        <v>536</v>
      </c>
      <c r="B541" s="18" t="s">
        <v>1635</v>
      </c>
      <c r="C541" s="105" t="s">
        <v>170</v>
      </c>
      <c r="D541" s="107" t="s">
        <v>253</v>
      </c>
      <c r="E541" s="105" t="s">
        <v>170</v>
      </c>
      <c r="F541" s="105" t="s">
        <v>170</v>
      </c>
      <c r="G541" s="105" t="s">
        <v>170</v>
      </c>
      <c r="H541" s="105" t="s">
        <v>170</v>
      </c>
      <c r="I541" s="105"/>
      <c r="J541" s="105" t="s">
        <v>170</v>
      </c>
      <c r="K541" s="105" t="n">
        <v>0</v>
      </c>
      <c r="L541" s="105" t="n">
        <v>0</v>
      </c>
      <c r="M541" s="105" t="n">
        <v>0</v>
      </c>
      <c r="N541" s="105" t="n">
        <v>0</v>
      </c>
      <c r="O541" s="103" t="n">
        <v>0</v>
      </c>
      <c r="P541" s="103" t="n">
        <v>0</v>
      </c>
      <c r="Q541" s="103" t="n">
        <v>0</v>
      </c>
      <c r="R541" s="103" t="n">
        <v>0</v>
      </c>
      <c r="S541" s="105" t="n">
        <v>0</v>
      </c>
      <c r="T541" s="105" t="n">
        <v>0</v>
      </c>
      <c r="U541" s="103" t="s">
        <v>170</v>
      </c>
      <c r="V541" s="112" t="n">
        <v>500</v>
      </c>
      <c r="W541" s="103" t="n">
        <f aca="false">DATA_PIPELINE!$K541</f>
        <v>0</v>
      </c>
      <c r="X541" s="103" t="n">
        <f aca="false">DATA_PIPELINE!$V541-DATA_PIPELINE!$W541</f>
        <v>500</v>
      </c>
      <c r="Y541" s="103" t="str">
        <f aca="false">IF(DATA_PIPELINE!$X541=0,"Paid",IF(DATA_PIPELINE!$W541=0,"Unpaid","Partly Paid"))</f>
        <v>Unpaid</v>
      </c>
    </row>
    <row r="542" s="106" customFormat="true" ht="15" hidden="false" customHeight="true" outlineLevel="0" collapsed="false">
      <c r="A542" s="103" t="n">
        <v>537</v>
      </c>
      <c r="B542" s="18" t="s">
        <v>1636</v>
      </c>
      <c r="C542" s="105" t="s">
        <v>170</v>
      </c>
      <c r="D542" s="107" t="s">
        <v>1209</v>
      </c>
      <c r="E542" s="105" t="s">
        <v>170</v>
      </c>
      <c r="F542" s="105" t="s">
        <v>170</v>
      </c>
      <c r="G542" s="105" t="s">
        <v>170</v>
      </c>
      <c r="H542" s="105" t="s">
        <v>170</v>
      </c>
      <c r="I542" s="105"/>
      <c r="J542" s="105" t="s">
        <v>170</v>
      </c>
      <c r="K542" s="105" t="n">
        <v>0</v>
      </c>
      <c r="L542" s="105" t="n">
        <v>0</v>
      </c>
      <c r="M542" s="105" t="n">
        <v>0</v>
      </c>
      <c r="N542" s="105" t="n">
        <v>0</v>
      </c>
      <c r="O542" s="103" t="n">
        <v>0</v>
      </c>
      <c r="P542" s="103" t="n">
        <v>0</v>
      </c>
      <c r="Q542" s="103" t="n">
        <v>0</v>
      </c>
      <c r="R542" s="103" t="n">
        <v>0</v>
      </c>
      <c r="S542" s="105" t="n">
        <v>0</v>
      </c>
      <c r="T542" s="105" t="n">
        <v>0</v>
      </c>
      <c r="U542" s="103" t="s">
        <v>170</v>
      </c>
      <c r="V542" s="112" t="n">
        <v>500</v>
      </c>
      <c r="W542" s="103" t="n">
        <f aca="false">DATA_PIPELINE!$K542</f>
        <v>0</v>
      </c>
      <c r="X542" s="103" t="n">
        <f aca="false">DATA_PIPELINE!$V542-DATA_PIPELINE!$W542</f>
        <v>500</v>
      </c>
      <c r="Y542" s="103" t="str">
        <f aca="false">IF(DATA_PIPELINE!$X542=0,"Paid",IF(DATA_PIPELINE!$W542=0,"Unpaid","Partly Paid"))</f>
        <v>Unpaid</v>
      </c>
    </row>
    <row r="543" s="106" customFormat="true" ht="15" hidden="false" customHeight="true" outlineLevel="0" collapsed="false">
      <c r="A543" s="103" t="n">
        <v>538</v>
      </c>
      <c r="B543" s="18" t="s">
        <v>1637</v>
      </c>
      <c r="C543" s="105" t="s">
        <v>170</v>
      </c>
      <c r="D543" s="103" t="s">
        <v>1209</v>
      </c>
      <c r="E543" s="105" t="s">
        <v>170</v>
      </c>
      <c r="F543" s="105" t="s">
        <v>170</v>
      </c>
      <c r="G543" s="105" t="s">
        <v>170</v>
      </c>
      <c r="H543" s="105" t="s">
        <v>170</v>
      </c>
      <c r="I543" s="105"/>
      <c r="J543" s="105" t="s">
        <v>170</v>
      </c>
      <c r="K543" s="105" t="n">
        <v>0</v>
      </c>
      <c r="L543" s="105" t="n">
        <v>0</v>
      </c>
      <c r="M543" s="105" t="n">
        <v>0</v>
      </c>
      <c r="N543" s="105" t="n">
        <v>0</v>
      </c>
      <c r="O543" s="103" t="n">
        <v>0</v>
      </c>
      <c r="P543" s="103" t="n">
        <v>0</v>
      </c>
      <c r="Q543" s="103" t="n">
        <v>0</v>
      </c>
      <c r="R543" s="103" t="n">
        <v>0</v>
      </c>
      <c r="S543" s="105" t="n">
        <v>0</v>
      </c>
      <c r="T543" s="105" t="n">
        <v>0</v>
      </c>
      <c r="U543" s="103" t="s">
        <v>170</v>
      </c>
      <c r="V543" s="112" t="n">
        <v>500</v>
      </c>
      <c r="W543" s="103" t="n">
        <f aca="false">DATA_PIPELINE!$K543</f>
        <v>0</v>
      </c>
      <c r="X543" s="103" t="n">
        <f aca="false">DATA_PIPELINE!$V543-DATA_PIPELINE!$W543</f>
        <v>500</v>
      </c>
      <c r="Y543" s="103" t="str">
        <f aca="false">IF(DATA_PIPELINE!$X543=0,"Paid",IF(DATA_PIPELINE!$W543=0,"Unpaid","Partly Paid"))</f>
        <v>Unpaid</v>
      </c>
    </row>
    <row r="544" s="106" customFormat="true" ht="15" hidden="false" customHeight="true" outlineLevel="0" collapsed="false">
      <c r="A544" s="103" t="n">
        <v>539</v>
      </c>
      <c r="B544" s="18" t="s">
        <v>1638</v>
      </c>
      <c r="C544" s="105" t="s">
        <v>170</v>
      </c>
      <c r="D544" s="108" t="s">
        <v>1137</v>
      </c>
      <c r="E544" s="105" t="s">
        <v>170</v>
      </c>
      <c r="F544" s="105" t="s">
        <v>170</v>
      </c>
      <c r="G544" s="105" t="s">
        <v>170</v>
      </c>
      <c r="H544" s="105" t="s">
        <v>170</v>
      </c>
      <c r="I544" s="105"/>
      <c r="J544" s="105" t="s">
        <v>170</v>
      </c>
      <c r="K544" s="105" t="n">
        <v>0</v>
      </c>
      <c r="L544" s="105" t="n">
        <v>0</v>
      </c>
      <c r="M544" s="105" t="n">
        <v>0</v>
      </c>
      <c r="N544" s="105" t="n">
        <v>0</v>
      </c>
      <c r="O544" s="103" t="n">
        <v>0</v>
      </c>
      <c r="P544" s="103" t="n">
        <v>0</v>
      </c>
      <c r="Q544" s="103" t="n">
        <v>0</v>
      </c>
      <c r="R544" s="103" t="n">
        <v>0</v>
      </c>
      <c r="S544" s="105" t="n">
        <v>0</v>
      </c>
      <c r="T544" s="105" t="n">
        <v>0</v>
      </c>
      <c r="U544" s="103" t="s">
        <v>170</v>
      </c>
      <c r="V544" s="112" t="n">
        <v>500</v>
      </c>
      <c r="W544" s="103" t="n">
        <f aca="false">DATA_PIPELINE!$K544</f>
        <v>0</v>
      </c>
      <c r="X544" s="103" t="n">
        <f aca="false">DATA_PIPELINE!$V544-DATA_PIPELINE!$W544</f>
        <v>500</v>
      </c>
      <c r="Y544" s="103" t="str">
        <f aca="false">IF(DATA_PIPELINE!$X544=0,"Paid",IF(DATA_PIPELINE!$W544=0,"Unpaid","Partly Paid"))</f>
        <v>Unpaid</v>
      </c>
    </row>
    <row r="545" s="106" customFormat="true" ht="15" hidden="false" customHeight="true" outlineLevel="0" collapsed="false">
      <c r="A545" s="103" t="n">
        <v>540</v>
      </c>
      <c r="B545" s="18" t="s">
        <v>1639</v>
      </c>
      <c r="C545" s="105" t="s">
        <v>170</v>
      </c>
      <c r="D545" s="103" t="s">
        <v>914</v>
      </c>
      <c r="E545" s="105" t="s">
        <v>170</v>
      </c>
      <c r="F545" s="105" t="s">
        <v>170</v>
      </c>
      <c r="G545" s="105" t="s">
        <v>170</v>
      </c>
      <c r="H545" s="105" t="s">
        <v>170</v>
      </c>
      <c r="I545" s="105"/>
      <c r="J545" s="105" t="s">
        <v>170</v>
      </c>
      <c r="K545" s="105" t="n">
        <v>0</v>
      </c>
      <c r="L545" s="105" t="n">
        <v>0</v>
      </c>
      <c r="M545" s="105" t="n">
        <v>0</v>
      </c>
      <c r="N545" s="105" t="n">
        <v>0</v>
      </c>
      <c r="O545" s="103" t="n">
        <v>0</v>
      </c>
      <c r="P545" s="103" t="n">
        <v>0</v>
      </c>
      <c r="Q545" s="103" t="n">
        <v>0</v>
      </c>
      <c r="R545" s="103" t="n">
        <v>0</v>
      </c>
      <c r="S545" s="105" t="n">
        <v>0</v>
      </c>
      <c r="T545" s="105" t="n">
        <v>0</v>
      </c>
      <c r="U545" s="103" t="s">
        <v>170</v>
      </c>
      <c r="V545" s="112" t="n">
        <v>500</v>
      </c>
      <c r="W545" s="103" t="n">
        <f aca="false">DATA_PIPELINE!$K545</f>
        <v>0</v>
      </c>
      <c r="X545" s="103" t="n">
        <f aca="false">DATA_PIPELINE!$V545-DATA_PIPELINE!$W545</f>
        <v>500</v>
      </c>
      <c r="Y545" s="103" t="str">
        <f aca="false">IF(DATA_PIPELINE!$X545=0,"Paid",IF(DATA_PIPELINE!$W545=0,"Unpaid","Partly Paid"))</f>
        <v>Unpaid</v>
      </c>
    </row>
    <row r="546" s="106" customFormat="true" ht="15" hidden="false" customHeight="true" outlineLevel="0" collapsed="false">
      <c r="A546" s="103" t="n">
        <v>541</v>
      </c>
      <c r="B546" s="18" t="s">
        <v>1640</v>
      </c>
      <c r="C546" s="105" t="s">
        <v>170</v>
      </c>
      <c r="D546" s="103" t="s">
        <v>918</v>
      </c>
      <c r="E546" s="105" t="s">
        <v>170</v>
      </c>
      <c r="F546" s="105" t="s">
        <v>170</v>
      </c>
      <c r="G546" s="105" t="s">
        <v>170</v>
      </c>
      <c r="H546" s="105" t="s">
        <v>170</v>
      </c>
      <c r="I546" s="105"/>
      <c r="J546" s="105" t="s">
        <v>170</v>
      </c>
      <c r="K546" s="105" t="n">
        <v>0</v>
      </c>
      <c r="L546" s="105" t="n">
        <v>0</v>
      </c>
      <c r="M546" s="105" t="n">
        <v>0</v>
      </c>
      <c r="N546" s="105" t="n">
        <v>0</v>
      </c>
      <c r="O546" s="103" t="n">
        <v>0</v>
      </c>
      <c r="P546" s="103" t="n">
        <v>0</v>
      </c>
      <c r="Q546" s="103" t="n">
        <v>0</v>
      </c>
      <c r="R546" s="103" t="n">
        <v>0</v>
      </c>
      <c r="S546" s="105" t="n">
        <v>0</v>
      </c>
      <c r="T546" s="105" t="n">
        <v>0</v>
      </c>
      <c r="U546" s="103" t="s">
        <v>170</v>
      </c>
      <c r="V546" s="112" t="n">
        <v>500</v>
      </c>
      <c r="W546" s="103" t="n">
        <f aca="false">DATA_PIPELINE!$K546</f>
        <v>0</v>
      </c>
      <c r="X546" s="103" t="n">
        <f aca="false">DATA_PIPELINE!$V546-DATA_PIPELINE!$W546</f>
        <v>500</v>
      </c>
      <c r="Y546" s="103" t="str">
        <f aca="false">IF(DATA_PIPELINE!$X546=0,"Paid",IF(DATA_PIPELINE!$W546=0,"Unpaid","Partly Paid"))</f>
        <v>Unpaid</v>
      </c>
    </row>
    <row r="547" s="106" customFormat="true" ht="15" hidden="false" customHeight="true" outlineLevel="0" collapsed="false">
      <c r="A547" s="103" t="n">
        <v>542</v>
      </c>
      <c r="B547" s="18" t="s">
        <v>1641</v>
      </c>
      <c r="C547" s="105" t="s">
        <v>170</v>
      </c>
      <c r="D547" s="108" t="s">
        <v>1137</v>
      </c>
      <c r="E547" s="105" t="s">
        <v>170</v>
      </c>
      <c r="F547" s="105" t="s">
        <v>170</v>
      </c>
      <c r="G547" s="105" t="s">
        <v>170</v>
      </c>
      <c r="H547" s="105" t="s">
        <v>170</v>
      </c>
      <c r="I547" s="105"/>
      <c r="J547" s="105" t="s">
        <v>170</v>
      </c>
      <c r="K547" s="105" t="n">
        <v>0</v>
      </c>
      <c r="L547" s="105" t="n">
        <v>0</v>
      </c>
      <c r="M547" s="105" t="n">
        <v>0</v>
      </c>
      <c r="N547" s="105" t="n">
        <v>0</v>
      </c>
      <c r="O547" s="103" t="n">
        <v>0</v>
      </c>
      <c r="P547" s="103" t="n">
        <v>0</v>
      </c>
      <c r="Q547" s="103" t="n">
        <v>0</v>
      </c>
      <c r="R547" s="103" t="n">
        <v>0</v>
      </c>
      <c r="S547" s="105" t="n">
        <v>0</v>
      </c>
      <c r="T547" s="105" t="n">
        <v>0</v>
      </c>
      <c r="U547" s="103" t="s">
        <v>170</v>
      </c>
      <c r="V547" s="112" t="n">
        <v>500</v>
      </c>
      <c r="W547" s="103" t="n">
        <f aca="false">DATA_PIPELINE!$K547</f>
        <v>0</v>
      </c>
      <c r="X547" s="103" t="n">
        <f aca="false">DATA_PIPELINE!$V547-DATA_PIPELINE!$W547</f>
        <v>500</v>
      </c>
      <c r="Y547" s="103" t="str">
        <f aca="false">IF(DATA_PIPELINE!$X547=0,"Paid",IF(DATA_PIPELINE!$W547=0,"Unpaid","Partly Paid"))</f>
        <v>Unpaid</v>
      </c>
    </row>
    <row r="548" s="106" customFormat="true" ht="15" hidden="false" customHeight="true" outlineLevel="0" collapsed="false">
      <c r="A548" s="103" t="n">
        <v>543</v>
      </c>
      <c r="B548" s="18" t="s">
        <v>1642</v>
      </c>
      <c r="C548" s="105" t="s">
        <v>170</v>
      </c>
      <c r="D548" s="107" t="s">
        <v>171</v>
      </c>
      <c r="E548" s="105" t="s">
        <v>170</v>
      </c>
      <c r="F548" s="105" t="s">
        <v>170</v>
      </c>
      <c r="G548" s="105" t="s">
        <v>170</v>
      </c>
      <c r="H548" s="105" t="s">
        <v>170</v>
      </c>
      <c r="I548" s="105"/>
      <c r="J548" s="105" t="s">
        <v>170</v>
      </c>
      <c r="K548" s="105" t="n">
        <v>0</v>
      </c>
      <c r="L548" s="105" t="n">
        <v>0</v>
      </c>
      <c r="M548" s="105" t="n">
        <v>0</v>
      </c>
      <c r="N548" s="105" t="n">
        <v>0</v>
      </c>
      <c r="O548" s="103" t="n">
        <v>0</v>
      </c>
      <c r="P548" s="103" t="n">
        <v>0</v>
      </c>
      <c r="Q548" s="103" t="n">
        <v>0</v>
      </c>
      <c r="R548" s="103" t="n">
        <v>0</v>
      </c>
      <c r="S548" s="105" t="n">
        <v>0</v>
      </c>
      <c r="T548" s="105" t="n">
        <v>0</v>
      </c>
      <c r="U548" s="103" t="s">
        <v>170</v>
      </c>
      <c r="V548" s="112" t="n">
        <v>500</v>
      </c>
      <c r="W548" s="103" t="n">
        <f aca="false">DATA_PIPELINE!$K548</f>
        <v>0</v>
      </c>
      <c r="X548" s="103" t="n">
        <f aca="false">DATA_PIPELINE!$V548-DATA_PIPELINE!$W548</f>
        <v>500</v>
      </c>
      <c r="Y548" s="103" t="str">
        <f aca="false">IF(DATA_PIPELINE!$X548=0,"Paid",IF(DATA_PIPELINE!$W548=0,"Unpaid","Partly Paid"))</f>
        <v>Unpaid</v>
      </c>
    </row>
    <row r="549" s="106" customFormat="true" ht="15" hidden="false" customHeight="true" outlineLevel="0" collapsed="false">
      <c r="A549" s="103" t="n">
        <v>544</v>
      </c>
      <c r="B549" s="18" t="s">
        <v>1643</v>
      </c>
      <c r="C549" s="105" t="s">
        <v>170</v>
      </c>
      <c r="D549" s="108" t="s">
        <v>1137</v>
      </c>
      <c r="E549" s="105" t="s">
        <v>170</v>
      </c>
      <c r="F549" s="105" t="s">
        <v>170</v>
      </c>
      <c r="G549" s="105" t="s">
        <v>170</v>
      </c>
      <c r="H549" s="105" t="s">
        <v>170</v>
      </c>
      <c r="I549" s="105"/>
      <c r="J549" s="105" t="s">
        <v>170</v>
      </c>
      <c r="K549" s="105" t="n">
        <v>0</v>
      </c>
      <c r="L549" s="105" t="n">
        <v>0</v>
      </c>
      <c r="M549" s="105" t="n">
        <v>0</v>
      </c>
      <c r="N549" s="105" t="n">
        <v>0</v>
      </c>
      <c r="O549" s="103" t="n">
        <v>0</v>
      </c>
      <c r="P549" s="103" t="n">
        <v>0</v>
      </c>
      <c r="Q549" s="103" t="n">
        <v>0</v>
      </c>
      <c r="R549" s="103" t="n">
        <v>0</v>
      </c>
      <c r="S549" s="105" t="n">
        <v>0</v>
      </c>
      <c r="T549" s="105" t="n">
        <v>0</v>
      </c>
      <c r="U549" s="103" t="s">
        <v>170</v>
      </c>
      <c r="V549" s="112" t="n">
        <v>500</v>
      </c>
      <c r="W549" s="103" t="n">
        <f aca="false">DATA_PIPELINE!$K549</f>
        <v>0</v>
      </c>
      <c r="X549" s="103" t="n">
        <f aca="false">DATA_PIPELINE!$V549-DATA_PIPELINE!$W549</f>
        <v>500</v>
      </c>
      <c r="Y549" s="103" t="str">
        <f aca="false">IF(DATA_PIPELINE!$X549=0,"Paid",IF(DATA_PIPELINE!$W549=0,"Unpaid","Partly Paid"))</f>
        <v>Unpaid</v>
      </c>
    </row>
    <row r="550" s="106" customFormat="true" ht="15" hidden="false" customHeight="true" outlineLevel="0" collapsed="false">
      <c r="A550" s="103" t="n">
        <v>545</v>
      </c>
      <c r="B550" s="18" t="s">
        <v>1644</v>
      </c>
      <c r="C550" s="105" t="s">
        <v>170</v>
      </c>
      <c r="D550" s="103" t="s">
        <v>803</v>
      </c>
      <c r="E550" s="105" t="s">
        <v>170</v>
      </c>
      <c r="F550" s="105" t="s">
        <v>170</v>
      </c>
      <c r="G550" s="105" t="s">
        <v>170</v>
      </c>
      <c r="H550" s="105" t="s">
        <v>170</v>
      </c>
      <c r="I550" s="105"/>
      <c r="J550" s="105" t="s">
        <v>170</v>
      </c>
      <c r="K550" s="105" t="n">
        <v>0</v>
      </c>
      <c r="L550" s="105" t="n">
        <v>0</v>
      </c>
      <c r="M550" s="105" t="n">
        <v>0</v>
      </c>
      <c r="N550" s="105" t="n">
        <v>0</v>
      </c>
      <c r="O550" s="103" t="n">
        <v>0</v>
      </c>
      <c r="P550" s="103" t="n">
        <v>0</v>
      </c>
      <c r="Q550" s="103" t="n">
        <v>0</v>
      </c>
      <c r="R550" s="103" t="n">
        <v>0</v>
      </c>
      <c r="S550" s="105" t="n">
        <v>0</v>
      </c>
      <c r="T550" s="105" t="n">
        <v>0</v>
      </c>
      <c r="U550" s="103" t="s">
        <v>170</v>
      </c>
      <c r="V550" s="112" t="n">
        <v>500</v>
      </c>
      <c r="W550" s="103" t="n">
        <f aca="false">DATA_PIPELINE!$K550</f>
        <v>0</v>
      </c>
      <c r="X550" s="103" t="n">
        <f aca="false">DATA_PIPELINE!$V550-DATA_PIPELINE!$W550</f>
        <v>500</v>
      </c>
      <c r="Y550" s="103" t="str">
        <f aca="false">IF(DATA_PIPELINE!$X550=0,"Paid",IF(DATA_PIPELINE!$W550=0,"Unpaid","Partly Paid"))</f>
        <v>Unpaid</v>
      </c>
    </row>
    <row r="551" s="106" customFormat="true" ht="15" hidden="false" customHeight="true" outlineLevel="0" collapsed="false">
      <c r="A551" s="103" t="n">
        <v>546</v>
      </c>
      <c r="B551" s="18" t="s">
        <v>1645</v>
      </c>
      <c r="C551" s="105" t="s">
        <v>170</v>
      </c>
      <c r="D551" s="103" t="s">
        <v>803</v>
      </c>
      <c r="E551" s="105" t="s">
        <v>170</v>
      </c>
      <c r="F551" s="105" t="s">
        <v>170</v>
      </c>
      <c r="G551" s="105" t="s">
        <v>170</v>
      </c>
      <c r="H551" s="105" t="s">
        <v>170</v>
      </c>
      <c r="I551" s="105"/>
      <c r="J551" s="105" t="s">
        <v>170</v>
      </c>
      <c r="K551" s="105" t="n">
        <v>0</v>
      </c>
      <c r="L551" s="105" t="n">
        <v>0</v>
      </c>
      <c r="M551" s="105" t="n">
        <v>0</v>
      </c>
      <c r="N551" s="105" t="n">
        <v>0</v>
      </c>
      <c r="O551" s="103" t="n">
        <v>0</v>
      </c>
      <c r="P551" s="103" t="n">
        <v>0</v>
      </c>
      <c r="Q551" s="103" t="n">
        <v>0</v>
      </c>
      <c r="R551" s="103" t="n">
        <v>0</v>
      </c>
      <c r="S551" s="105" t="n">
        <v>0</v>
      </c>
      <c r="T551" s="105" t="n">
        <v>0</v>
      </c>
      <c r="U551" s="103" t="s">
        <v>170</v>
      </c>
      <c r="V551" s="112" t="n">
        <v>500</v>
      </c>
      <c r="W551" s="103" t="n">
        <f aca="false">DATA_PIPELINE!$K551</f>
        <v>0</v>
      </c>
      <c r="X551" s="103" t="n">
        <f aca="false">DATA_PIPELINE!$V551-DATA_PIPELINE!$W551</f>
        <v>500</v>
      </c>
      <c r="Y551" s="103" t="str">
        <f aca="false">IF(DATA_PIPELINE!$X551=0,"Paid",IF(DATA_PIPELINE!$W551=0,"Unpaid","Partly Paid"))</f>
        <v>Unpaid</v>
      </c>
    </row>
    <row r="552" s="106" customFormat="true" ht="15" hidden="false" customHeight="true" outlineLevel="0" collapsed="false">
      <c r="A552" s="103" t="n">
        <v>547</v>
      </c>
      <c r="B552" s="18" t="s">
        <v>1646</v>
      </c>
      <c r="C552" s="105" t="s">
        <v>170</v>
      </c>
      <c r="D552" s="103" t="s">
        <v>171</v>
      </c>
      <c r="E552" s="105" t="s">
        <v>170</v>
      </c>
      <c r="F552" s="105" t="s">
        <v>170</v>
      </c>
      <c r="G552" s="105" t="s">
        <v>170</v>
      </c>
      <c r="H552" s="105" t="s">
        <v>170</v>
      </c>
      <c r="I552" s="105"/>
      <c r="J552" s="105" t="s">
        <v>170</v>
      </c>
      <c r="K552" s="105" t="n">
        <v>0</v>
      </c>
      <c r="L552" s="105" t="n">
        <v>0</v>
      </c>
      <c r="M552" s="105" t="n">
        <v>0</v>
      </c>
      <c r="N552" s="105" t="n">
        <v>0</v>
      </c>
      <c r="O552" s="103" t="n">
        <v>0</v>
      </c>
      <c r="P552" s="103" t="n">
        <v>0</v>
      </c>
      <c r="Q552" s="103" t="n">
        <v>0</v>
      </c>
      <c r="R552" s="103" t="n">
        <v>0</v>
      </c>
      <c r="S552" s="105" t="n">
        <v>0</v>
      </c>
      <c r="T552" s="105" t="n">
        <v>0</v>
      </c>
      <c r="U552" s="103" t="s">
        <v>170</v>
      </c>
      <c r="V552" s="112" t="n">
        <v>500</v>
      </c>
      <c r="W552" s="103" t="n">
        <f aca="false">DATA_PIPELINE!$K552</f>
        <v>0</v>
      </c>
      <c r="X552" s="103" t="n">
        <f aca="false">DATA_PIPELINE!$V552-DATA_PIPELINE!$W552</f>
        <v>500</v>
      </c>
      <c r="Y552" s="103" t="str">
        <f aca="false">IF(DATA_PIPELINE!$X552=0,"Paid",IF(DATA_PIPELINE!$W552=0,"Unpaid","Partly Paid"))</f>
        <v>Unpaid</v>
      </c>
    </row>
    <row r="553" s="106" customFormat="true" ht="15" hidden="false" customHeight="true" outlineLevel="0" collapsed="false">
      <c r="A553" s="103" t="n">
        <v>548</v>
      </c>
      <c r="B553" s="18" t="s">
        <v>1647</v>
      </c>
      <c r="C553" s="105" t="s">
        <v>170</v>
      </c>
      <c r="D553" s="103" t="s">
        <v>253</v>
      </c>
      <c r="E553" s="105" t="s">
        <v>170</v>
      </c>
      <c r="F553" s="105" t="s">
        <v>170</v>
      </c>
      <c r="G553" s="105" t="s">
        <v>170</v>
      </c>
      <c r="H553" s="105" t="s">
        <v>170</v>
      </c>
      <c r="I553" s="105"/>
      <c r="J553" s="105" t="s">
        <v>170</v>
      </c>
      <c r="K553" s="105" t="n">
        <v>0</v>
      </c>
      <c r="L553" s="105" t="n">
        <v>0</v>
      </c>
      <c r="M553" s="105" t="n">
        <v>0</v>
      </c>
      <c r="N553" s="105" t="n">
        <v>0</v>
      </c>
      <c r="O553" s="103" t="n">
        <v>0</v>
      </c>
      <c r="P553" s="103" t="n">
        <v>0</v>
      </c>
      <c r="Q553" s="103" t="n">
        <v>0</v>
      </c>
      <c r="R553" s="103" t="n">
        <v>0</v>
      </c>
      <c r="S553" s="105" t="n">
        <v>0</v>
      </c>
      <c r="T553" s="105" t="n">
        <v>0</v>
      </c>
      <c r="U553" s="103" t="s">
        <v>170</v>
      </c>
      <c r="V553" s="112" t="n">
        <v>500</v>
      </c>
      <c r="W553" s="103" t="n">
        <f aca="false">DATA_PIPELINE!$K553</f>
        <v>0</v>
      </c>
      <c r="X553" s="103" t="n">
        <f aca="false">DATA_PIPELINE!$V553-DATA_PIPELINE!$W553</f>
        <v>500</v>
      </c>
      <c r="Y553" s="103" t="str">
        <f aca="false">IF(DATA_PIPELINE!$X553=0,"Paid",IF(DATA_PIPELINE!$W553=0,"Unpaid","Partly Paid"))</f>
        <v>Unpaid</v>
      </c>
    </row>
    <row r="554" s="106" customFormat="true" ht="15" hidden="false" customHeight="true" outlineLevel="0" collapsed="false">
      <c r="A554" s="103" t="n">
        <v>549</v>
      </c>
      <c r="B554" s="18" t="s">
        <v>1648</v>
      </c>
      <c r="C554" s="105" t="s">
        <v>170</v>
      </c>
      <c r="D554" s="103" t="s">
        <v>358</v>
      </c>
      <c r="E554" s="105" t="s">
        <v>170</v>
      </c>
      <c r="F554" s="105" t="s">
        <v>170</v>
      </c>
      <c r="G554" s="105" t="s">
        <v>170</v>
      </c>
      <c r="H554" s="105" t="s">
        <v>170</v>
      </c>
      <c r="I554" s="105"/>
      <c r="J554" s="105" t="s">
        <v>170</v>
      </c>
      <c r="K554" s="105" t="n">
        <v>0</v>
      </c>
      <c r="L554" s="105" t="n">
        <v>0</v>
      </c>
      <c r="M554" s="105" t="n">
        <v>0</v>
      </c>
      <c r="N554" s="105" t="n">
        <v>0</v>
      </c>
      <c r="O554" s="103" t="n">
        <v>0</v>
      </c>
      <c r="P554" s="103" t="n">
        <v>0</v>
      </c>
      <c r="Q554" s="103" t="n">
        <v>0</v>
      </c>
      <c r="R554" s="103" t="n">
        <v>0</v>
      </c>
      <c r="S554" s="105" t="n">
        <v>0</v>
      </c>
      <c r="T554" s="105" t="n">
        <v>0</v>
      </c>
      <c r="U554" s="103" t="s">
        <v>170</v>
      </c>
      <c r="V554" s="112" t="n">
        <v>500</v>
      </c>
      <c r="W554" s="103" t="n">
        <f aca="false">DATA_PIPELINE!$K554</f>
        <v>0</v>
      </c>
      <c r="X554" s="103" t="n">
        <f aca="false">DATA_PIPELINE!$V554-DATA_PIPELINE!$W554</f>
        <v>500</v>
      </c>
      <c r="Y554" s="103" t="str">
        <f aca="false">IF(DATA_PIPELINE!$X554=0,"Paid",IF(DATA_PIPELINE!$W554=0,"Unpaid","Partly Paid"))</f>
        <v>Unpaid</v>
      </c>
    </row>
    <row r="555" s="106" customFormat="true" ht="15" hidden="false" customHeight="true" outlineLevel="0" collapsed="false">
      <c r="A555" s="103" t="n">
        <v>550</v>
      </c>
      <c r="B555" s="18" t="s">
        <v>1649</v>
      </c>
      <c r="C555" s="105" t="s">
        <v>170</v>
      </c>
      <c r="D555" s="103" t="s">
        <v>914</v>
      </c>
      <c r="E555" s="105" t="s">
        <v>170</v>
      </c>
      <c r="F555" s="105" t="s">
        <v>170</v>
      </c>
      <c r="G555" s="105" t="s">
        <v>170</v>
      </c>
      <c r="H555" s="105" t="s">
        <v>170</v>
      </c>
      <c r="I555" s="105"/>
      <c r="J555" s="105" t="s">
        <v>170</v>
      </c>
      <c r="K555" s="105" t="n">
        <v>0</v>
      </c>
      <c r="L555" s="105" t="n">
        <v>0</v>
      </c>
      <c r="M555" s="105" t="n">
        <v>0</v>
      </c>
      <c r="N555" s="105" t="n">
        <v>0</v>
      </c>
      <c r="O555" s="103" t="n">
        <v>0</v>
      </c>
      <c r="P555" s="103" t="n">
        <v>0</v>
      </c>
      <c r="Q555" s="103" t="n">
        <v>0</v>
      </c>
      <c r="R555" s="103" t="n">
        <v>0</v>
      </c>
      <c r="S555" s="105" t="n">
        <v>0</v>
      </c>
      <c r="T555" s="105" t="n">
        <v>0</v>
      </c>
      <c r="U555" s="103" t="s">
        <v>170</v>
      </c>
      <c r="V555" s="112" t="n">
        <v>500</v>
      </c>
      <c r="W555" s="103" t="n">
        <f aca="false">DATA_PIPELINE!$K555</f>
        <v>0</v>
      </c>
      <c r="X555" s="103" t="n">
        <f aca="false">DATA_PIPELINE!$V555-DATA_PIPELINE!$W555</f>
        <v>500</v>
      </c>
      <c r="Y555" s="103" t="str">
        <f aca="false">IF(DATA_PIPELINE!$X555=0,"Paid",IF(DATA_PIPELINE!$W555=0,"Unpaid","Partly Paid"))</f>
        <v>Unpaid</v>
      </c>
    </row>
    <row r="556" s="106" customFormat="true" ht="15" hidden="false" customHeight="true" outlineLevel="0" collapsed="false">
      <c r="A556" s="103" t="n">
        <v>551</v>
      </c>
      <c r="B556" s="18" t="s">
        <v>1650</v>
      </c>
      <c r="C556" s="105" t="s">
        <v>170</v>
      </c>
      <c r="D556" s="103" t="s">
        <v>420</v>
      </c>
      <c r="E556" s="105" t="s">
        <v>170</v>
      </c>
      <c r="F556" s="105" t="s">
        <v>170</v>
      </c>
      <c r="G556" s="105" t="s">
        <v>170</v>
      </c>
      <c r="H556" s="105" t="s">
        <v>170</v>
      </c>
      <c r="I556" s="105"/>
      <c r="J556" s="105" t="s">
        <v>170</v>
      </c>
      <c r="K556" s="105" t="n">
        <v>0</v>
      </c>
      <c r="L556" s="105" t="n">
        <v>0</v>
      </c>
      <c r="M556" s="105" t="n">
        <v>0</v>
      </c>
      <c r="N556" s="105" t="n">
        <v>0</v>
      </c>
      <c r="O556" s="103" t="n">
        <v>0</v>
      </c>
      <c r="P556" s="103" t="n">
        <v>0</v>
      </c>
      <c r="Q556" s="103" t="n">
        <v>0</v>
      </c>
      <c r="R556" s="103" t="n">
        <v>0</v>
      </c>
      <c r="S556" s="105" t="n">
        <v>0</v>
      </c>
      <c r="T556" s="105" t="n">
        <v>0</v>
      </c>
      <c r="U556" s="103" t="s">
        <v>170</v>
      </c>
      <c r="V556" s="112" t="n">
        <v>500</v>
      </c>
      <c r="W556" s="103" t="n">
        <f aca="false">DATA_PIPELINE!$K556</f>
        <v>0</v>
      </c>
      <c r="X556" s="103" t="n">
        <f aca="false">DATA_PIPELINE!$V556-DATA_PIPELINE!$W556</f>
        <v>500</v>
      </c>
      <c r="Y556" s="103" t="str">
        <f aca="false">IF(DATA_PIPELINE!$X556=0,"Paid",IF(DATA_PIPELINE!$W556=0,"Unpaid","Partly Paid"))</f>
        <v>Unpaid</v>
      </c>
    </row>
    <row r="557" s="106" customFormat="true" ht="15" hidden="false" customHeight="true" outlineLevel="0" collapsed="false">
      <c r="A557" s="103" t="n">
        <v>552</v>
      </c>
      <c r="B557" s="18" t="s">
        <v>1651</v>
      </c>
      <c r="C557" s="105" t="s">
        <v>170</v>
      </c>
      <c r="D557" s="103" t="s">
        <v>171</v>
      </c>
      <c r="E557" s="105" t="s">
        <v>170</v>
      </c>
      <c r="F557" s="105" t="s">
        <v>170</v>
      </c>
      <c r="G557" s="105" t="s">
        <v>170</v>
      </c>
      <c r="H557" s="105" t="s">
        <v>170</v>
      </c>
      <c r="I557" s="105"/>
      <c r="J557" s="105" t="s">
        <v>170</v>
      </c>
      <c r="K557" s="105" t="n">
        <v>0</v>
      </c>
      <c r="L557" s="105" t="n">
        <v>0</v>
      </c>
      <c r="M557" s="105" t="n">
        <v>0</v>
      </c>
      <c r="N557" s="105" t="n">
        <v>0</v>
      </c>
      <c r="O557" s="103" t="n">
        <v>0</v>
      </c>
      <c r="P557" s="103" t="n">
        <v>0</v>
      </c>
      <c r="Q557" s="103" t="n">
        <v>0</v>
      </c>
      <c r="R557" s="103" t="n">
        <v>0</v>
      </c>
      <c r="S557" s="105" t="n">
        <v>0</v>
      </c>
      <c r="T557" s="105" t="n">
        <v>0</v>
      </c>
      <c r="U557" s="103" t="s">
        <v>170</v>
      </c>
      <c r="V557" s="112" t="n">
        <v>500</v>
      </c>
      <c r="W557" s="103" t="n">
        <f aca="false">DATA_PIPELINE!$K557</f>
        <v>0</v>
      </c>
      <c r="X557" s="103" t="n">
        <f aca="false">DATA_PIPELINE!$V557-DATA_PIPELINE!$W557</f>
        <v>500</v>
      </c>
      <c r="Y557" s="103" t="str">
        <f aca="false">IF(DATA_PIPELINE!$X557=0,"Paid",IF(DATA_PIPELINE!$W557=0,"Unpaid","Partly Paid"))</f>
        <v>Unpaid</v>
      </c>
    </row>
    <row r="558" s="106" customFormat="true" ht="15" hidden="false" customHeight="true" outlineLevel="0" collapsed="false">
      <c r="A558" s="103" t="n">
        <v>553</v>
      </c>
      <c r="B558" s="18" t="s">
        <v>1652</v>
      </c>
      <c r="C558" s="105" t="s">
        <v>170</v>
      </c>
      <c r="D558" s="107" t="s">
        <v>1653</v>
      </c>
      <c r="E558" s="105" t="s">
        <v>170</v>
      </c>
      <c r="F558" s="105" t="s">
        <v>170</v>
      </c>
      <c r="G558" s="105" t="s">
        <v>170</v>
      </c>
      <c r="H558" s="105" t="s">
        <v>170</v>
      </c>
      <c r="I558" s="105"/>
      <c r="J558" s="105" t="s">
        <v>170</v>
      </c>
      <c r="K558" s="105" t="n">
        <v>0</v>
      </c>
      <c r="L558" s="105" t="n">
        <v>0</v>
      </c>
      <c r="M558" s="105" t="n">
        <v>0</v>
      </c>
      <c r="N558" s="105" t="n">
        <v>0</v>
      </c>
      <c r="O558" s="103" t="n">
        <v>0</v>
      </c>
      <c r="P558" s="103" t="n">
        <v>0</v>
      </c>
      <c r="Q558" s="103" t="n">
        <v>0</v>
      </c>
      <c r="R558" s="103" t="n">
        <v>0</v>
      </c>
      <c r="S558" s="105" t="n">
        <v>0</v>
      </c>
      <c r="T558" s="105" t="n">
        <v>0</v>
      </c>
      <c r="U558" s="103" t="s">
        <v>170</v>
      </c>
      <c r="V558" s="112" t="n">
        <v>500</v>
      </c>
      <c r="W558" s="103" t="n">
        <f aca="false">DATA_PIPELINE!$K558</f>
        <v>0</v>
      </c>
      <c r="X558" s="103" t="n">
        <f aca="false">DATA_PIPELINE!$V558-DATA_PIPELINE!$W558</f>
        <v>500</v>
      </c>
      <c r="Y558" s="103" t="str">
        <f aca="false">IF(DATA_PIPELINE!$X558=0,"Paid",IF(DATA_PIPELINE!$W558=0,"Unpaid","Partly Paid"))</f>
        <v>Unpaid</v>
      </c>
    </row>
    <row r="559" s="106" customFormat="true" ht="15" hidden="false" customHeight="true" outlineLevel="0" collapsed="false">
      <c r="A559" s="103" t="n">
        <v>554</v>
      </c>
      <c r="B559" s="18" t="s">
        <v>1654</v>
      </c>
      <c r="C559" s="105" t="s">
        <v>170</v>
      </c>
      <c r="D559" s="103" t="s">
        <v>420</v>
      </c>
      <c r="E559" s="105" t="s">
        <v>170</v>
      </c>
      <c r="F559" s="105" t="s">
        <v>170</v>
      </c>
      <c r="G559" s="105" t="s">
        <v>170</v>
      </c>
      <c r="H559" s="105" t="s">
        <v>170</v>
      </c>
      <c r="I559" s="105"/>
      <c r="J559" s="105" t="s">
        <v>170</v>
      </c>
      <c r="K559" s="105" t="n">
        <v>0</v>
      </c>
      <c r="L559" s="105" t="n">
        <v>0</v>
      </c>
      <c r="M559" s="105" t="n">
        <v>0</v>
      </c>
      <c r="N559" s="105" t="n">
        <v>0</v>
      </c>
      <c r="O559" s="103" t="n">
        <v>0</v>
      </c>
      <c r="P559" s="103" t="n">
        <v>0</v>
      </c>
      <c r="Q559" s="103" t="n">
        <v>0</v>
      </c>
      <c r="R559" s="103" t="n">
        <v>0</v>
      </c>
      <c r="S559" s="105" t="n">
        <v>0</v>
      </c>
      <c r="T559" s="105" t="n">
        <v>0</v>
      </c>
      <c r="U559" s="103" t="s">
        <v>170</v>
      </c>
      <c r="V559" s="112" t="n">
        <v>500</v>
      </c>
      <c r="W559" s="103" t="n">
        <f aca="false">DATA_PIPELINE!$K559</f>
        <v>0</v>
      </c>
      <c r="X559" s="103" t="n">
        <f aca="false">DATA_PIPELINE!$V559-DATA_PIPELINE!$W559</f>
        <v>500</v>
      </c>
      <c r="Y559" s="103" t="str">
        <f aca="false">IF(DATA_PIPELINE!$X559=0,"Paid",IF(DATA_PIPELINE!$W559=0,"Unpaid","Partly Paid"))</f>
        <v>Unpaid</v>
      </c>
    </row>
    <row r="560" s="106" customFormat="true" ht="15" hidden="false" customHeight="true" outlineLevel="0" collapsed="false">
      <c r="A560" s="103" t="n">
        <v>555</v>
      </c>
      <c r="B560" s="18" t="s">
        <v>1655</v>
      </c>
      <c r="C560" s="105" t="s">
        <v>170</v>
      </c>
      <c r="D560" s="103" t="s">
        <v>420</v>
      </c>
      <c r="E560" s="105" t="s">
        <v>170</v>
      </c>
      <c r="F560" s="105" t="s">
        <v>170</v>
      </c>
      <c r="G560" s="105" t="s">
        <v>170</v>
      </c>
      <c r="H560" s="105" t="s">
        <v>170</v>
      </c>
      <c r="I560" s="105"/>
      <c r="J560" s="105" t="s">
        <v>170</v>
      </c>
      <c r="K560" s="105" t="n">
        <v>0</v>
      </c>
      <c r="L560" s="105" t="n">
        <v>0</v>
      </c>
      <c r="M560" s="105" t="n">
        <v>0</v>
      </c>
      <c r="N560" s="105" t="n">
        <v>0</v>
      </c>
      <c r="O560" s="103" t="n">
        <v>0</v>
      </c>
      <c r="P560" s="103" t="n">
        <v>0</v>
      </c>
      <c r="Q560" s="103" t="n">
        <v>0</v>
      </c>
      <c r="R560" s="103" t="n">
        <v>0</v>
      </c>
      <c r="S560" s="105" t="n">
        <v>0</v>
      </c>
      <c r="T560" s="105" t="n">
        <v>0</v>
      </c>
      <c r="U560" s="103" t="s">
        <v>170</v>
      </c>
      <c r="V560" s="112" t="n">
        <v>500</v>
      </c>
      <c r="W560" s="103" t="n">
        <f aca="false">DATA_PIPELINE!$K560</f>
        <v>0</v>
      </c>
      <c r="X560" s="103" t="n">
        <f aca="false">DATA_PIPELINE!$V560-DATA_PIPELINE!$W560</f>
        <v>500</v>
      </c>
      <c r="Y560" s="103" t="str">
        <f aca="false">IF(DATA_PIPELINE!$X560=0,"Paid",IF(DATA_PIPELINE!$W560=0,"Unpaid","Partly Paid"))</f>
        <v>Unpaid</v>
      </c>
    </row>
    <row r="561" s="106" customFormat="true" ht="15" hidden="false" customHeight="true" outlineLevel="0" collapsed="false">
      <c r="A561" s="103" t="n">
        <v>556</v>
      </c>
      <c r="B561" s="18" t="s">
        <v>1656</v>
      </c>
      <c r="C561" s="105" t="s">
        <v>170</v>
      </c>
      <c r="D561" s="103" t="s">
        <v>253</v>
      </c>
      <c r="E561" s="105" t="s">
        <v>170</v>
      </c>
      <c r="F561" s="105" t="s">
        <v>170</v>
      </c>
      <c r="G561" s="105" t="s">
        <v>170</v>
      </c>
      <c r="H561" s="105" t="s">
        <v>170</v>
      </c>
      <c r="I561" s="105"/>
      <c r="J561" s="105" t="s">
        <v>170</v>
      </c>
      <c r="K561" s="105" t="n">
        <v>0</v>
      </c>
      <c r="L561" s="105" t="n">
        <v>0</v>
      </c>
      <c r="M561" s="105" t="n">
        <v>0</v>
      </c>
      <c r="N561" s="105" t="n">
        <v>0</v>
      </c>
      <c r="O561" s="103" t="n">
        <v>0</v>
      </c>
      <c r="P561" s="103" t="n">
        <v>0</v>
      </c>
      <c r="Q561" s="103" t="n">
        <v>0</v>
      </c>
      <c r="R561" s="103" t="n">
        <v>0</v>
      </c>
      <c r="S561" s="105" t="n">
        <v>0</v>
      </c>
      <c r="T561" s="105" t="n">
        <v>0</v>
      </c>
      <c r="U561" s="103" t="s">
        <v>170</v>
      </c>
      <c r="V561" s="112" t="n">
        <v>500</v>
      </c>
      <c r="W561" s="103" t="n">
        <f aca="false">DATA_PIPELINE!$K561</f>
        <v>0</v>
      </c>
      <c r="X561" s="103" t="n">
        <f aca="false">DATA_PIPELINE!$V561-DATA_PIPELINE!$W561</f>
        <v>500</v>
      </c>
      <c r="Y561" s="103" t="str">
        <f aca="false">IF(DATA_PIPELINE!$X561=0,"Paid",IF(DATA_PIPELINE!$W561=0,"Unpaid","Partly Paid"))</f>
        <v>Unpaid</v>
      </c>
    </row>
    <row r="562" s="106" customFormat="true" ht="15" hidden="false" customHeight="true" outlineLevel="0" collapsed="false">
      <c r="A562" s="103" t="n">
        <v>557</v>
      </c>
      <c r="B562" s="18" t="s">
        <v>1657</v>
      </c>
      <c r="C562" s="105" t="s">
        <v>170</v>
      </c>
      <c r="D562" s="103" t="s">
        <v>531</v>
      </c>
      <c r="E562" s="105" t="s">
        <v>170</v>
      </c>
      <c r="F562" s="105" t="s">
        <v>170</v>
      </c>
      <c r="G562" s="105" t="s">
        <v>170</v>
      </c>
      <c r="H562" s="105" t="s">
        <v>170</v>
      </c>
      <c r="I562" s="105"/>
      <c r="J562" s="105" t="s">
        <v>170</v>
      </c>
      <c r="K562" s="105" t="n">
        <v>0</v>
      </c>
      <c r="L562" s="105" t="n">
        <v>0</v>
      </c>
      <c r="M562" s="105" t="n">
        <v>0</v>
      </c>
      <c r="N562" s="105" t="n">
        <v>0</v>
      </c>
      <c r="O562" s="103" t="n">
        <v>0</v>
      </c>
      <c r="P562" s="103" t="n">
        <v>0</v>
      </c>
      <c r="Q562" s="103" t="n">
        <v>0</v>
      </c>
      <c r="R562" s="103" t="n">
        <v>0</v>
      </c>
      <c r="S562" s="105" t="n">
        <v>0</v>
      </c>
      <c r="T562" s="105" t="n">
        <v>0</v>
      </c>
      <c r="U562" s="103" t="s">
        <v>170</v>
      </c>
      <c r="V562" s="112" t="n">
        <v>500</v>
      </c>
      <c r="W562" s="103" t="n">
        <f aca="false">DATA_PIPELINE!$K562</f>
        <v>0</v>
      </c>
      <c r="X562" s="103" t="n">
        <f aca="false">DATA_PIPELINE!$V562-DATA_PIPELINE!$W562</f>
        <v>500</v>
      </c>
      <c r="Y562" s="103" t="str">
        <f aca="false">IF(DATA_PIPELINE!$X562=0,"Paid",IF(DATA_PIPELINE!$W562=0,"Unpaid","Partly Paid"))</f>
        <v>Unpaid</v>
      </c>
    </row>
    <row r="563" s="106" customFormat="true" ht="15" hidden="false" customHeight="true" outlineLevel="0" collapsed="false">
      <c r="A563" s="103" t="n">
        <v>558</v>
      </c>
      <c r="B563" s="18" t="s">
        <v>1658</v>
      </c>
      <c r="C563" s="105" t="s">
        <v>170</v>
      </c>
      <c r="D563" s="103" t="s">
        <v>531</v>
      </c>
      <c r="E563" s="105" t="s">
        <v>170</v>
      </c>
      <c r="F563" s="105" t="s">
        <v>170</v>
      </c>
      <c r="G563" s="105" t="s">
        <v>170</v>
      </c>
      <c r="H563" s="105" t="s">
        <v>170</v>
      </c>
      <c r="I563" s="105"/>
      <c r="J563" s="105" t="s">
        <v>170</v>
      </c>
      <c r="K563" s="105" t="n">
        <v>0</v>
      </c>
      <c r="L563" s="105" t="n">
        <v>0</v>
      </c>
      <c r="M563" s="105" t="n">
        <v>0</v>
      </c>
      <c r="N563" s="105" t="n">
        <v>0</v>
      </c>
      <c r="O563" s="103" t="n">
        <v>0</v>
      </c>
      <c r="P563" s="103" t="n">
        <v>0</v>
      </c>
      <c r="Q563" s="103" t="n">
        <v>0</v>
      </c>
      <c r="R563" s="103" t="n">
        <v>0</v>
      </c>
      <c r="S563" s="105" t="n">
        <v>0</v>
      </c>
      <c r="T563" s="105" t="n">
        <v>0</v>
      </c>
      <c r="U563" s="103" t="s">
        <v>170</v>
      </c>
      <c r="V563" s="112" t="n">
        <v>500</v>
      </c>
      <c r="W563" s="103" t="n">
        <f aca="false">DATA_PIPELINE!$K563</f>
        <v>0</v>
      </c>
      <c r="X563" s="103" t="n">
        <f aca="false">DATA_PIPELINE!$V563-DATA_PIPELINE!$W563</f>
        <v>500</v>
      </c>
      <c r="Y563" s="103" t="str">
        <f aca="false">IF(DATA_PIPELINE!$X563=0,"Paid",IF(DATA_PIPELINE!$W563=0,"Unpaid","Partly Paid"))</f>
        <v>Unpaid</v>
      </c>
    </row>
    <row r="564" s="106" customFormat="true" ht="15" hidden="false" customHeight="true" outlineLevel="0" collapsed="false">
      <c r="A564" s="103" t="n">
        <v>559</v>
      </c>
      <c r="B564" s="18" t="s">
        <v>1659</v>
      </c>
      <c r="C564" s="105" t="s">
        <v>170</v>
      </c>
      <c r="D564" s="103" t="s">
        <v>420</v>
      </c>
      <c r="E564" s="105" t="s">
        <v>170</v>
      </c>
      <c r="F564" s="105" t="s">
        <v>170</v>
      </c>
      <c r="G564" s="105" t="s">
        <v>170</v>
      </c>
      <c r="H564" s="105" t="s">
        <v>170</v>
      </c>
      <c r="I564" s="105"/>
      <c r="J564" s="105" t="s">
        <v>170</v>
      </c>
      <c r="K564" s="105" t="n">
        <v>0</v>
      </c>
      <c r="L564" s="105" t="n">
        <v>0</v>
      </c>
      <c r="M564" s="105" t="n">
        <v>0</v>
      </c>
      <c r="N564" s="105" t="n">
        <v>0</v>
      </c>
      <c r="O564" s="103" t="n">
        <v>0</v>
      </c>
      <c r="P564" s="103" t="n">
        <v>0</v>
      </c>
      <c r="Q564" s="103" t="n">
        <v>0</v>
      </c>
      <c r="R564" s="103" t="n">
        <v>0</v>
      </c>
      <c r="S564" s="105" t="n">
        <v>0</v>
      </c>
      <c r="T564" s="105" t="n">
        <v>0</v>
      </c>
      <c r="U564" s="103" t="s">
        <v>170</v>
      </c>
      <c r="V564" s="112" t="n">
        <v>500</v>
      </c>
      <c r="W564" s="103" t="n">
        <f aca="false">DATA_PIPELINE!$K564</f>
        <v>0</v>
      </c>
      <c r="X564" s="103" t="n">
        <f aca="false">DATA_PIPELINE!$V564-DATA_PIPELINE!$W564</f>
        <v>500</v>
      </c>
      <c r="Y564" s="103" t="str">
        <f aca="false">IF(DATA_PIPELINE!$X564=0,"Paid",IF(DATA_PIPELINE!$W564=0,"Unpaid","Partly Paid"))</f>
        <v>Unpaid</v>
      </c>
    </row>
    <row r="565" s="106" customFormat="true" ht="15" hidden="false" customHeight="true" outlineLevel="0" collapsed="false">
      <c r="A565" s="103" t="n">
        <v>560</v>
      </c>
      <c r="B565" s="18" t="s">
        <v>1660</v>
      </c>
      <c r="C565" s="105" t="s">
        <v>170</v>
      </c>
      <c r="D565" s="103" t="s">
        <v>253</v>
      </c>
      <c r="E565" s="105" t="s">
        <v>170</v>
      </c>
      <c r="F565" s="105" t="s">
        <v>170</v>
      </c>
      <c r="G565" s="105" t="s">
        <v>170</v>
      </c>
      <c r="H565" s="105" t="s">
        <v>170</v>
      </c>
      <c r="I565" s="105"/>
      <c r="J565" s="105" t="s">
        <v>170</v>
      </c>
      <c r="K565" s="105" t="n">
        <v>0</v>
      </c>
      <c r="L565" s="105" t="n">
        <v>0</v>
      </c>
      <c r="M565" s="105" t="n">
        <v>0</v>
      </c>
      <c r="N565" s="105" t="n">
        <v>0</v>
      </c>
      <c r="O565" s="103" t="n">
        <v>0</v>
      </c>
      <c r="P565" s="103" t="n">
        <v>0</v>
      </c>
      <c r="Q565" s="103" t="n">
        <v>0</v>
      </c>
      <c r="R565" s="103" t="n">
        <v>0</v>
      </c>
      <c r="S565" s="105" t="n">
        <v>0</v>
      </c>
      <c r="T565" s="105" t="n">
        <v>0</v>
      </c>
      <c r="U565" s="103" t="s">
        <v>170</v>
      </c>
      <c r="V565" s="112" t="n">
        <v>500</v>
      </c>
      <c r="W565" s="103" t="n">
        <f aca="false">DATA_PIPELINE!$K565</f>
        <v>0</v>
      </c>
      <c r="X565" s="103" t="n">
        <f aca="false">DATA_PIPELINE!$V565-DATA_PIPELINE!$W565</f>
        <v>500</v>
      </c>
      <c r="Y565" s="103" t="str">
        <f aca="false">IF(DATA_PIPELINE!$X565=0,"Paid",IF(DATA_PIPELINE!$W565=0,"Unpaid","Partly Paid"))</f>
        <v>Unpaid</v>
      </c>
    </row>
    <row r="566" s="106" customFormat="true" ht="15" hidden="false" customHeight="true" outlineLevel="0" collapsed="false">
      <c r="A566" s="103" t="n">
        <v>561</v>
      </c>
      <c r="B566" s="18" t="s">
        <v>1661</v>
      </c>
      <c r="C566" s="105" t="s">
        <v>170</v>
      </c>
      <c r="D566" s="103" t="s">
        <v>803</v>
      </c>
      <c r="E566" s="105" t="s">
        <v>170</v>
      </c>
      <c r="F566" s="105" t="s">
        <v>170</v>
      </c>
      <c r="G566" s="105" t="s">
        <v>170</v>
      </c>
      <c r="H566" s="105" t="s">
        <v>170</v>
      </c>
      <c r="I566" s="105"/>
      <c r="J566" s="105" t="s">
        <v>170</v>
      </c>
      <c r="K566" s="105" t="n">
        <v>0</v>
      </c>
      <c r="L566" s="105" t="n">
        <v>0</v>
      </c>
      <c r="M566" s="105" t="n">
        <v>0</v>
      </c>
      <c r="N566" s="105" t="n">
        <v>0</v>
      </c>
      <c r="O566" s="103" t="n">
        <v>0</v>
      </c>
      <c r="P566" s="103" t="n">
        <v>0</v>
      </c>
      <c r="Q566" s="103" t="n">
        <v>0</v>
      </c>
      <c r="R566" s="103" t="n">
        <v>0</v>
      </c>
      <c r="S566" s="105" t="n">
        <v>0</v>
      </c>
      <c r="T566" s="105" t="n">
        <v>0</v>
      </c>
      <c r="U566" s="103" t="s">
        <v>170</v>
      </c>
      <c r="V566" s="112" t="n">
        <v>500</v>
      </c>
      <c r="W566" s="103" t="n">
        <f aca="false">DATA_PIPELINE!$K566</f>
        <v>0</v>
      </c>
      <c r="X566" s="103" t="n">
        <f aca="false">DATA_PIPELINE!$V566-DATA_PIPELINE!$W566</f>
        <v>500</v>
      </c>
      <c r="Y566" s="103" t="str">
        <f aca="false">IF(DATA_PIPELINE!$X566=0,"Paid",IF(DATA_PIPELINE!$W566=0,"Unpaid","Partly Paid"))</f>
        <v>Unpaid</v>
      </c>
    </row>
    <row r="567" s="106" customFormat="true" ht="15" hidden="false" customHeight="true" outlineLevel="0" collapsed="false">
      <c r="A567" s="103" t="n">
        <v>562</v>
      </c>
      <c r="B567" s="18" t="s">
        <v>1662</v>
      </c>
      <c r="C567" s="105" t="s">
        <v>170</v>
      </c>
      <c r="D567" s="103" t="s">
        <v>988</v>
      </c>
      <c r="E567" s="105" t="s">
        <v>170</v>
      </c>
      <c r="F567" s="105" t="s">
        <v>170</v>
      </c>
      <c r="G567" s="105" t="s">
        <v>170</v>
      </c>
      <c r="H567" s="105" t="s">
        <v>170</v>
      </c>
      <c r="I567" s="105"/>
      <c r="J567" s="105" t="s">
        <v>170</v>
      </c>
      <c r="K567" s="105" t="n">
        <v>0</v>
      </c>
      <c r="L567" s="105" t="n">
        <v>0</v>
      </c>
      <c r="M567" s="105" t="n">
        <v>0</v>
      </c>
      <c r="N567" s="105" t="n">
        <v>0</v>
      </c>
      <c r="O567" s="103" t="n">
        <v>0</v>
      </c>
      <c r="P567" s="103" t="n">
        <v>0</v>
      </c>
      <c r="Q567" s="103" t="n">
        <v>0</v>
      </c>
      <c r="R567" s="103" t="n">
        <v>0</v>
      </c>
      <c r="S567" s="105" t="n">
        <v>0</v>
      </c>
      <c r="T567" s="105" t="n">
        <v>0</v>
      </c>
      <c r="U567" s="103" t="s">
        <v>170</v>
      </c>
      <c r="V567" s="112" t="n">
        <v>500</v>
      </c>
      <c r="W567" s="103" t="n">
        <f aca="false">DATA_PIPELINE!$K567</f>
        <v>0</v>
      </c>
      <c r="X567" s="103" t="n">
        <f aca="false">DATA_PIPELINE!$V567-DATA_PIPELINE!$W567</f>
        <v>500</v>
      </c>
      <c r="Y567" s="103" t="str">
        <f aca="false">IF(DATA_PIPELINE!$X567=0,"Paid",IF(DATA_PIPELINE!$W567=0,"Unpaid","Partly Paid"))</f>
        <v>Unpaid</v>
      </c>
    </row>
    <row r="568" s="106" customFormat="true" ht="15" hidden="false" customHeight="true" outlineLevel="0" collapsed="false">
      <c r="A568" s="103" t="n">
        <v>563</v>
      </c>
      <c r="B568" s="18" t="s">
        <v>1663</v>
      </c>
      <c r="C568" s="105" t="s">
        <v>170</v>
      </c>
      <c r="D568" s="103" t="s">
        <v>420</v>
      </c>
      <c r="E568" s="105" t="s">
        <v>170</v>
      </c>
      <c r="F568" s="105" t="s">
        <v>170</v>
      </c>
      <c r="G568" s="105" t="s">
        <v>170</v>
      </c>
      <c r="H568" s="105" t="s">
        <v>170</v>
      </c>
      <c r="I568" s="105"/>
      <c r="J568" s="105" t="s">
        <v>170</v>
      </c>
      <c r="K568" s="105" t="n">
        <v>0</v>
      </c>
      <c r="L568" s="105" t="n">
        <v>0</v>
      </c>
      <c r="M568" s="105" t="n">
        <v>0</v>
      </c>
      <c r="N568" s="105" t="n">
        <v>0</v>
      </c>
      <c r="O568" s="103" t="n">
        <v>0</v>
      </c>
      <c r="P568" s="103" t="n">
        <v>0</v>
      </c>
      <c r="Q568" s="103" t="n">
        <v>0</v>
      </c>
      <c r="R568" s="103" t="n">
        <v>0</v>
      </c>
      <c r="S568" s="105" t="n">
        <v>0</v>
      </c>
      <c r="T568" s="105" t="n">
        <v>0</v>
      </c>
      <c r="U568" s="103" t="s">
        <v>170</v>
      </c>
      <c r="V568" s="112" t="n">
        <v>500</v>
      </c>
      <c r="W568" s="103" t="n">
        <f aca="false">DATA_PIPELINE!$K568</f>
        <v>0</v>
      </c>
      <c r="X568" s="103" t="n">
        <f aca="false">DATA_PIPELINE!$V568-DATA_PIPELINE!$W568</f>
        <v>500</v>
      </c>
      <c r="Y568" s="103" t="str">
        <f aca="false">IF(DATA_PIPELINE!$X568=0,"Paid",IF(DATA_PIPELINE!$W568=0,"Unpaid","Partly Paid"))</f>
        <v>Unpaid</v>
      </c>
    </row>
    <row r="569" s="106" customFormat="true" ht="15" hidden="false" customHeight="true" outlineLevel="0" collapsed="false">
      <c r="A569" s="103" t="n">
        <v>564</v>
      </c>
      <c r="B569" s="18" t="s">
        <v>1664</v>
      </c>
      <c r="C569" s="113" t="s">
        <v>1665</v>
      </c>
      <c r="D569" s="107" t="s">
        <v>358</v>
      </c>
      <c r="E569" s="105" t="s">
        <v>1666</v>
      </c>
      <c r="F569" s="111" t="n">
        <v>788522939</v>
      </c>
      <c r="G569" s="105" t="s">
        <v>1536</v>
      </c>
      <c r="H569" s="105" t="s">
        <v>174</v>
      </c>
      <c r="I569" s="105"/>
      <c r="J569" s="105" t="s">
        <v>170</v>
      </c>
      <c r="K569" s="105" t="n">
        <v>0</v>
      </c>
      <c r="L569" s="105" t="n">
        <v>0</v>
      </c>
      <c r="M569" s="105" t="n">
        <v>0</v>
      </c>
      <c r="N569" s="105" t="n">
        <v>10</v>
      </c>
      <c r="O569" s="103" t="n">
        <v>0</v>
      </c>
      <c r="P569" s="103" t="n">
        <v>0</v>
      </c>
      <c r="Q569" s="103" t="n">
        <v>0</v>
      </c>
      <c r="R569" s="103" t="n">
        <v>0</v>
      </c>
      <c r="S569" s="105" t="n">
        <v>0</v>
      </c>
      <c r="T569" s="105" t="n">
        <v>0</v>
      </c>
      <c r="U569" s="103" t="s">
        <v>170</v>
      </c>
      <c r="V569" s="112" t="n">
        <v>500</v>
      </c>
      <c r="W569" s="103" t="n">
        <f aca="false">DATA_PIPELINE!$K569</f>
        <v>0</v>
      </c>
      <c r="X569" s="103" t="n">
        <f aca="false">DATA_PIPELINE!$V569-DATA_PIPELINE!$W569</f>
        <v>500</v>
      </c>
      <c r="Y569" s="103" t="str">
        <f aca="false">IF(DATA_PIPELINE!$X569=0,"Paid",IF(DATA_PIPELINE!$W569=0,"Unpaid","Partly Paid"))</f>
        <v>Unpaid</v>
      </c>
    </row>
    <row r="570" s="106" customFormat="true" ht="15" hidden="false" customHeight="true" outlineLevel="0" collapsed="false">
      <c r="A570" s="103" t="n">
        <v>565</v>
      </c>
      <c r="B570" s="18" t="s">
        <v>1667</v>
      </c>
      <c r="C570" s="105" t="s">
        <v>170</v>
      </c>
      <c r="D570" s="103" t="s">
        <v>918</v>
      </c>
      <c r="E570" s="105" t="s">
        <v>170</v>
      </c>
      <c r="F570" s="105" t="s">
        <v>170</v>
      </c>
      <c r="G570" s="105" t="s">
        <v>170</v>
      </c>
      <c r="H570" s="105" t="s">
        <v>170</v>
      </c>
      <c r="I570" s="105"/>
      <c r="J570" s="105" t="s">
        <v>170</v>
      </c>
      <c r="K570" s="105" t="n">
        <v>0</v>
      </c>
      <c r="L570" s="105" t="n">
        <v>0</v>
      </c>
      <c r="M570" s="105" t="n">
        <v>0</v>
      </c>
      <c r="N570" s="105" t="n">
        <v>0</v>
      </c>
      <c r="O570" s="103" t="n">
        <v>0</v>
      </c>
      <c r="P570" s="103" t="n">
        <v>0</v>
      </c>
      <c r="Q570" s="103" t="n">
        <v>0</v>
      </c>
      <c r="R570" s="103" t="n">
        <v>0</v>
      </c>
      <c r="S570" s="105" t="n">
        <v>0</v>
      </c>
      <c r="T570" s="105" t="n">
        <v>0</v>
      </c>
      <c r="U570" s="103" t="s">
        <v>170</v>
      </c>
      <c r="V570" s="112" t="n">
        <v>500</v>
      </c>
      <c r="W570" s="103" t="n">
        <f aca="false">DATA_PIPELINE!$K570</f>
        <v>0</v>
      </c>
      <c r="X570" s="103" t="n">
        <f aca="false">DATA_PIPELINE!$V570-DATA_PIPELINE!$W570</f>
        <v>500</v>
      </c>
      <c r="Y570" s="103" t="str">
        <f aca="false">IF(DATA_PIPELINE!$X570=0,"Paid",IF(DATA_PIPELINE!$W570=0,"Unpaid","Partly Paid"))</f>
        <v>Unpaid</v>
      </c>
    </row>
    <row r="571" s="106" customFormat="true" ht="15" hidden="false" customHeight="true" outlineLevel="0" collapsed="false">
      <c r="A571" s="103" t="n">
        <v>566</v>
      </c>
      <c r="B571" s="18" t="s">
        <v>1668</v>
      </c>
      <c r="C571" s="105" t="s">
        <v>170</v>
      </c>
      <c r="D571" s="103" t="s">
        <v>803</v>
      </c>
      <c r="E571" s="105" t="s">
        <v>170</v>
      </c>
      <c r="F571" s="105" t="s">
        <v>170</v>
      </c>
      <c r="G571" s="105" t="s">
        <v>170</v>
      </c>
      <c r="H571" s="105" t="s">
        <v>170</v>
      </c>
      <c r="I571" s="105"/>
      <c r="J571" s="105" t="s">
        <v>170</v>
      </c>
      <c r="K571" s="105" t="n">
        <v>0</v>
      </c>
      <c r="L571" s="105" t="n">
        <v>0</v>
      </c>
      <c r="M571" s="105" t="n">
        <v>0</v>
      </c>
      <c r="N571" s="105" t="n">
        <v>0</v>
      </c>
      <c r="O571" s="103" t="n">
        <v>0</v>
      </c>
      <c r="P571" s="103" t="n">
        <v>0</v>
      </c>
      <c r="Q571" s="103" t="n">
        <v>0</v>
      </c>
      <c r="R571" s="103" t="n">
        <v>0</v>
      </c>
      <c r="S571" s="105" t="n">
        <v>0</v>
      </c>
      <c r="T571" s="105" t="n">
        <v>0</v>
      </c>
      <c r="U571" s="103" t="s">
        <v>170</v>
      </c>
      <c r="V571" s="112" t="n">
        <v>500</v>
      </c>
      <c r="W571" s="103" t="n">
        <f aca="false">DATA_PIPELINE!$K571</f>
        <v>0</v>
      </c>
      <c r="X571" s="103" t="n">
        <f aca="false">DATA_PIPELINE!$V571-DATA_PIPELINE!$W571</f>
        <v>500</v>
      </c>
      <c r="Y571" s="103" t="str">
        <f aca="false">IF(DATA_PIPELINE!$X571=0,"Paid",IF(DATA_PIPELINE!$W571=0,"Unpaid","Partly Paid"))</f>
        <v>Unpaid</v>
      </c>
    </row>
    <row r="572" s="106" customFormat="true" ht="15" hidden="false" customHeight="true" outlineLevel="0" collapsed="false">
      <c r="A572" s="103" t="n">
        <v>567</v>
      </c>
      <c r="B572" s="105" t="s">
        <v>1669</v>
      </c>
      <c r="C572" s="105" t="s">
        <v>1670</v>
      </c>
      <c r="D572" s="107" t="s">
        <v>358</v>
      </c>
      <c r="E572" s="105" t="s">
        <v>1671</v>
      </c>
      <c r="F572" s="105" t="n">
        <v>779582865</v>
      </c>
      <c r="G572" s="105" t="s">
        <v>1631</v>
      </c>
      <c r="H572" s="105" t="s">
        <v>170</v>
      </c>
      <c r="I572" s="105" t="n">
        <v>5</v>
      </c>
      <c r="J572" s="105" t="s">
        <v>170</v>
      </c>
      <c r="K572" s="105" t="n">
        <v>100</v>
      </c>
      <c r="L572" s="105" t="n">
        <v>400</v>
      </c>
      <c r="M572" s="105"/>
      <c r="N572" s="105" t="n">
        <v>30</v>
      </c>
      <c r="O572" s="103"/>
      <c r="P572" s="103"/>
      <c r="Q572" s="103"/>
      <c r="R572" s="103"/>
      <c r="S572" s="105"/>
      <c r="T572" s="105"/>
      <c r="U572" s="103" t="s">
        <v>177</v>
      </c>
      <c r="V572" s="112" t="n">
        <v>500</v>
      </c>
      <c r="W572" s="103" t="n">
        <f aca="false">DATA_PIPELINE!$K572</f>
        <v>100</v>
      </c>
      <c r="X572" s="103" t="n">
        <f aca="false">DATA_PIPELINE!$V572-DATA_PIPELINE!$W572</f>
        <v>400</v>
      </c>
      <c r="Y572" s="105" t="s">
        <v>1672</v>
      </c>
    </row>
    <row r="573" s="106" customFormat="true" ht="15" hidden="false" customHeight="true" outlineLevel="0" collapsed="false">
      <c r="A573" s="103" t="n">
        <v>568</v>
      </c>
      <c r="B573" s="110" t="s">
        <v>1673</v>
      </c>
      <c r="C573" s="105" t="s">
        <v>170</v>
      </c>
      <c r="D573" s="107" t="s">
        <v>988</v>
      </c>
      <c r="E573" s="105" t="s">
        <v>1674</v>
      </c>
      <c r="F573" s="105" t="s">
        <v>1675</v>
      </c>
      <c r="G573" s="105"/>
      <c r="H573" s="105" t="s">
        <v>170</v>
      </c>
      <c r="I573" s="105"/>
      <c r="J573" s="105" t="s">
        <v>170</v>
      </c>
      <c r="K573" s="105" t="n">
        <v>250</v>
      </c>
      <c r="L573" s="105" t="n">
        <v>250</v>
      </c>
      <c r="M573" s="105" t="n">
        <v>0</v>
      </c>
      <c r="N573" s="105" t="n">
        <v>0</v>
      </c>
      <c r="O573" s="103" t="n">
        <v>0</v>
      </c>
      <c r="P573" s="103" t="n">
        <v>0</v>
      </c>
      <c r="Q573" s="103" t="n">
        <v>0</v>
      </c>
      <c r="R573" s="103" t="n">
        <v>0</v>
      </c>
      <c r="S573" s="105" t="n">
        <v>0</v>
      </c>
      <c r="T573" s="105"/>
      <c r="U573" s="103" t="s">
        <v>177</v>
      </c>
      <c r="V573" s="112" t="n">
        <v>500</v>
      </c>
      <c r="W573" s="103" t="n">
        <f aca="false">DATA_PIPELINE!$K573</f>
        <v>250</v>
      </c>
      <c r="X573" s="103" t="n">
        <f aca="false">DATA_PIPELINE!$V573-DATA_PIPELINE!$W573</f>
        <v>250</v>
      </c>
      <c r="Y573" s="103" t="str">
        <f aca="false">IF(DATA_PIPELINE!$X573=0,"Paid",IF(DATA_PIPELINE!$W573=0,"Unpaid","Partly Paid"))</f>
        <v>Partly Paid</v>
      </c>
    </row>
    <row r="574" s="106" customFormat="true" ht="15" hidden="false" customHeight="true" outlineLevel="0" collapsed="false">
      <c r="A574" s="103" t="n">
        <v>569</v>
      </c>
      <c r="B574" s="105" t="s">
        <v>1676</v>
      </c>
      <c r="C574" s="105" t="s">
        <v>170</v>
      </c>
      <c r="D574" s="103" t="s">
        <v>918</v>
      </c>
      <c r="E574" s="103" t="s">
        <v>170</v>
      </c>
      <c r="F574" s="103" t="s">
        <v>170</v>
      </c>
      <c r="G574" s="103" t="s">
        <v>170</v>
      </c>
      <c r="H574" s="103" t="s">
        <v>170</v>
      </c>
      <c r="I574" s="103" t="s">
        <v>170</v>
      </c>
      <c r="J574" s="103" t="s">
        <v>170</v>
      </c>
      <c r="K574" s="105"/>
      <c r="L574" s="105"/>
      <c r="M574" s="105" t="n">
        <v>2000</v>
      </c>
      <c r="N574" s="105"/>
      <c r="O574" s="103"/>
      <c r="P574" s="103"/>
      <c r="Q574" s="103"/>
      <c r="R574" s="103"/>
      <c r="S574" s="105"/>
      <c r="T574" s="105"/>
      <c r="U574" s="103" t="s">
        <v>177</v>
      </c>
      <c r="V574" s="112" t="n">
        <v>500</v>
      </c>
      <c r="W574" s="103" t="n">
        <f aca="false">DATA_PIPELINE!$K574</f>
        <v>0</v>
      </c>
      <c r="X574" s="103" t="n">
        <f aca="false">DATA_PIPELINE!$V574-DATA_PIPELINE!$W574</f>
        <v>500</v>
      </c>
      <c r="Y574" s="105" t="s">
        <v>1677</v>
      </c>
    </row>
    <row r="575" s="106" customFormat="true" ht="15" hidden="false" customHeight="true" outlineLevel="0" collapsed="false">
      <c r="A575" s="103" t="n">
        <v>570</v>
      </c>
      <c r="B575" s="107" t="s">
        <v>1678</v>
      </c>
      <c r="C575" s="105" t="s">
        <v>170</v>
      </c>
      <c r="D575" s="103" t="s">
        <v>1209</v>
      </c>
      <c r="E575" s="103" t="s">
        <v>170</v>
      </c>
      <c r="F575" s="103" t="s">
        <v>170</v>
      </c>
      <c r="G575" s="103" t="s">
        <v>170</v>
      </c>
      <c r="H575" s="103" t="s">
        <v>170</v>
      </c>
      <c r="I575" s="103" t="s">
        <v>170</v>
      </c>
      <c r="J575" s="103" t="s">
        <v>170</v>
      </c>
      <c r="K575" s="105" t="n">
        <v>500</v>
      </c>
      <c r="L575" s="105" t="n">
        <v>0</v>
      </c>
      <c r="M575" s="105" t="s">
        <v>170</v>
      </c>
      <c r="N575" s="105" t="s">
        <v>170</v>
      </c>
      <c r="O575" s="105" t="s">
        <v>170</v>
      </c>
      <c r="P575" s="105" t="s">
        <v>170</v>
      </c>
      <c r="Q575" s="105" t="s">
        <v>170</v>
      </c>
      <c r="R575" s="105" t="s">
        <v>170</v>
      </c>
      <c r="S575" s="105" t="s">
        <v>170</v>
      </c>
      <c r="T575" s="105" t="s">
        <v>170</v>
      </c>
      <c r="U575" s="103" t="s">
        <v>177</v>
      </c>
      <c r="V575" s="112" t="n">
        <v>500</v>
      </c>
      <c r="W575" s="103" t="n">
        <f aca="false">DATA_PIPELINE!$K575</f>
        <v>500</v>
      </c>
      <c r="X575" s="103" t="n">
        <f aca="false">DATA_PIPELINE!$V575-DATA_PIPELINE!$W575</f>
        <v>0</v>
      </c>
      <c r="Y575" s="105" t="s">
        <v>1679</v>
      </c>
    </row>
    <row r="576" s="106" customFormat="true" ht="15" hidden="false" customHeight="true" outlineLevel="0" collapsed="false">
      <c r="A576" s="103" t="n">
        <v>571</v>
      </c>
      <c r="B576" s="107" t="s">
        <v>1680</v>
      </c>
      <c r="C576" s="105" t="s">
        <v>170</v>
      </c>
      <c r="D576" s="103" t="s">
        <v>803</v>
      </c>
      <c r="E576" s="105" t="s">
        <v>170</v>
      </c>
      <c r="F576" s="105" t="s">
        <v>1681</v>
      </c>
      <c r="G576" s="105" t="s">
        <v>170</v>
      </c>
      <c r="H576" s="105" t="s">
        <v>170</v>
      </c>
      <c r="I576" s="105" t="s">
        <v>170</v>
      </c>
      <c r="J576" s="105" t="s">
        <v>170</v>
      </c>
      <c r="K576" s="105" t="n">
        <v>25</v>
      </c>
      <c r="L576" s="105" t="n">
        <v>475</v>
      </c>
      <c r="M576" s="105" t="s">
        <v>170</v>
      </c>
      <c r="N576" s="105" t="s">
        <v>170</v>
      </c>
      <c r="O576" s="105" t="s">
        <v>170</v>
      </c>
      <c r="P576" s="105" t="s">
        <v>170</v>
      </c>
      <c r="Q576" s="105" t="s">
        <v>170</v>
      </c>
      <c r="R576" s="105" t="s">
        <v>170</v>
      </c>
      <c r="S576" s="105" t="s">
        <v>170</v>
      </c>
      <c r="T576" s="105" t="s">
        <v>170</v>
      </c>
      <c r="U576" s="103" t="s">
        <v>177</v>
      </c>
      <c r="V576" s="112" t="n">
        <v>500</v>
      </c>
      <c r="W576" s="103" t="n">
        <f aca="false">DATA_PIPELINE!$K576</f>
        <v>25</v>
      </c>
      <c r="X576" s="103" t="n">
        <f aca="false">DATA_PIPELINE!$V576-DATA_PIPELINE!$W576</f>
        <v>475</v>
      </c>
      <c r="Y576" s="105" t="s">
        <v>1672</v>
      </c>
    </row>
    <row r="577" s="106" customFormat="true" ht="15" hidden="false" customHeight="true" outlineLevel="0" collapsed="false">
      <c r="A577" s="103" t="n">
        <v>572</v>
      </c>
      <c r="B577" s="107" t="s">
        <v>1682</v>
      </c>
      <c r="C577" s="105" t="s">
        <v>170</v>
      </c>
      <c r="D577" s="104" t="s">
        <v>171</v>
      </c>
      <c r="E577" s="105" t="s">
        <v>170</v>
      </c>
      <c r="F577" s="103" t="s">
        <v>1683</v>
      </c>
      <c r="G577" s="103" t="s">
        <v>170</v>
      </c>
      <c r="H577" s="103" t="s">
        <v>170</v>
      </c>
      <c r="I577" s="103" t="s">
        <v>170</v>
      </c>
      <c r="J577" s="103" t="s">
        <v>170</v>
      </c>
      <c r="K577" s="105" t="n">
        <v>100</v>
      </c>
      <c r="L577" s="105" t="n">
        <v>400</v>
      </c>
      <c r="M577" s="105" t="s">
        <v>170</v>
      </c>
      <c r="N577" s="105" t="s">
        <v>170</v>
      </c>
      <c r="O577" s="105" t="s">
        <v>170</v>
      </c>
      <c r="P577" s="105" t="s">
        <v>170</v>
      </c>
      <c r="Q577" s="105" t="s">
        <v>170</v>
      </c>
      <c r="R577" s="105" t="s">
        <v>170</v>
      </c>
      <c r="S577" s="105" t="s">
        <v>170</v>
      </c>
      <c r="T577" s="105" t="s">
        <v>170</v>
      </c>
      <c r="U577" s="103" t="s">
        <v>177</v>
      </c>
      <c r="V577" s="112" t="n">
        <v>500</v>
      </c>
      <c r="W577" s="105" t="n">
        <v>100</v>
      </c>
      <c r="X577" s="103" t="n">
        <f aca="false">DATA_PIPELINE!$V577-DATA_PIPELINE!$W577</f>
        <v>400</v>
      </c>
      <c r="Y577" s="105" t="s">
        <v>1672</v>
      </c>
    </row>
    <row r="578" s="106" customFormat="true" ht="15" hidden="false" customHeight="true" outlineLevel="0" collapsed="false">
      <c r="A578" s="103" t="n">
        <v>573</v>
      </c>
      <c r="B578" s="114" t="s">
        <v>1684</v>
      </c>
      <c r="C578" s="105" t="s">
        <v>170</v>
      </c>
      <c r="D578" s="103" t="s">
        <v>420</v>
      </c>
      <c r="E578" s="103"/>
      <c r="F578" s="103"/>
      <c r="G578" s="103"/>
      <c r="H578" s="103"/>
      <c r="I578" s="103"/>
      <c r="J578" s="103"/>
      <c r="K578" s="105" t="n">
        <v>200</v>
      </c>
      <c r="L578" s="105" t="n">
        <v>300</v>
      </c>
      <c r="M578" s="105" t="n">
        <v>100</v>
      </c>
      <c r="N578" s="105"/>
      <c r="O578" s="105"/>
      <c r="P578" s="105"/>
      <c r="Q578" s="105"/>
      <c r="R578" s="105"/>
      <c r="S578" s="105"/>
      <c r="T578" s="105"/>
      <c r="U578" s="103" t="s">
        <v>177</v>
      </c>
      <c r="V578" s="112" t="n">
        <v>500</v>
      </c>
      <c r="W578" s="105" t="n">
        <v>200</v>
      </c>
      <c r="X578" s="103" t="n">
        <f aca="false">DATA_PIPELINE!$V578-DATA_PIPELINE!$W578</f>
        <v>300</v>
      </c>
      <c r="Y578" s="105" t="s">
        <v>1672</v>
      </c>
    </row>
    <row r="579" s="106" customFormat="true" ht="15" hidden="false" customHeight="true" outlineLevel="0" collapsed="false">
      <c r="A579" s="103"/>
      <c r="B579" s="107"/>
      <c r="C579" s="105"/>
      <c r="D579" s="103"/>
      <c r="E579" s="103"/>
      <c r="F579" s="103"/>
      <c r="G579" s="103"/>
      <c r="H579" s="103"/>
      <c r="I579" s="103"/>
      <c r="J579" s="103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3"/>
      <c r="V579" s="112"/>
      <c r="W579" s="105"/>
      <c r="X579" s="103"/>
      <c r="Y579" s="105"/>
    </row>
    <row r="580" s="106" customFormat="true" ht="15" hidden="false" customHeight="true" outlineLevel="0" collapsed="false">
      <c r="A580" s="103"/>
      <c r="B580" s="107"/>
      <c r="C580" s="105"/>
      <c r="D580" s="103"/>
      <c r="E580" s="103"/>
      <c r="F580" s="103"/>
      <c r="G580" s="103"/>
      <c r="H580" s="103"/>
      <c r="I580" s="103"/>
      <c r="J580" s="103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3"/>
      <c r="V580" s="112"/>
      <c r="W580" s="105"/>
      <c r="X580" s="103"/>
      <c r="Y580" s="105"/>
    </row>
    <row r="581" s="106" customFormat="true" ht="15" hidden="false" customHeight="true" outlineLevel="0" collapsed="false">
      <c r="A581" s="103"/>
      <c r="B581" s="107"/>
      <c r="C581" s="105"/>
      <c r="D581" s="103"/>
      <c r="E581" s="103"/>
      <c r="F581" s="103"/>
      <c r="G581" s="103"/>
      <c r="H581" s="103"/>
      <c r="I581" s="103"/>
      <c r="J581" s="103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3"/>
      <c r="V581" s="112"/>
      <c r="W581" s="105"/>
      <c r="X581" s="103"/>
      <c r="Y581" s="105"/>
    </row>
    <row r="582" s="106" customFormat="true" ht="15" hidden="false" customHeight="true" outlineLevel="0" collapsed="false">
      <c r="A582" s="103"/>
      <c r="B582" s="107"/>
      <c r="C582" s="105"/>
      <c r="D582" s="103"/>
      <c r="E582" s="103"/>
      <c r="F582" s="103"/>
      <c r="G582" s="103"/>
      <c r="H582" s="103"/>
      <c r="I582" s="103"/>
      <c r="J582" s="103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3"/>
      <c r="V582" s="112"/>
      <c r="W582" s="105"/>
      <c r="X582" s="103"/>
      <c r="Y582" s="105"/>
    </row>
    <row r="583" s="106" customFormat="true" ht="15" hidden="false" customHeight="true" outlineLevel="0" collapsed="false">
      <c r="A583" s="103"/>
      <c r="B583" s="107"/>
      <c r="C583" s="105"/>
      <c r="D583" s="103"/>
      <c r="E583" s="103"/>
      <c r="F583" s="103"/>
      <c r="G583" s="103"/>
      <c r="H583" s="103"/>
      <c r="I583" s="103"/>
      <c r="J583" s="103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3"/>
      <c r="V583" s="112"/>
      <c r="W583" s="105"/>
      <c r="X583" s="103"/>
      <c r="Y583" s="105"/>
    </row>
    <row r="584" s="106" customFormat="true" ht="15" hidden="false" customHeight="true" outlineLevel="0" collapsed="false">
      <c r="A584" s="103"/>
      <c r="B584" s="107"/>
      <c r="C584" s="105"/>
      <c r="D584" s="103"/>
      <c r="E584" s="103"/>
      <c r="F584" s="103"/>
      <c r="G584" s="103"/>
      <c r="H584" s="103"/>
      <c r="I584" s="103"/>
      <c r="J584" s="103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3"/>
      <c r="V584" s="112"/>
      <c r="W584" s="105"/>
      <c r="X584" s="103"/>
      <c r="Y584" s="105"/>
    </row>
    <row r="585" s="106" customFormat="true" ht="15" hidden="false" customHeight="true" outlineLevel="0" collapsed="false">
      <c r="A585" s="103"/>
      <c r="B585" s="107"/>
      <c r="C585" s="105"/>
      <c r="D585" s="103"/>
      <c r="E585" s="103"/>
      <c r="F585" s="103"/>
      <c r="G585" s="103"/>
      <c r="H585" s="103"/>
      <c r="I585" s="103"/>
      <c r="J585" s="103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3"/>
      <c r="V585" s="112"/>
      <c r="W585" s="105"/>
      <c r="X585" s="103"/>
      <c r="Y585" s="105"/>
    </row>
    <row r="586" s="106" customFormat="true" ht="15" hidden="false" customHeight="true" outlineLevel="0" collapsed="false">
      <c r="A586" s="103"/>
      <c r="B586" s="107"/>
      <c r="C586" s="105"/>
      <c r="D586" s="103"/>
      <c r="E586" s="103"/>
      <c r="F586" s="103"/>
      <c r="G586" s="103"/>
      <c r="H586" s="103"/>
      <c r="I586" s="103"/>
      <c r="J586" s="103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3"/>
      <c r="V586" s="112"/>
      <c r="W586" s="105"/>
      <c r="X586" s="103"/>
      <c r="Y586" s="105"/>
    </row>
    <row r="587" s="106" customFormat="true" ht="15" hidden="false" customHeight="true" outlineLevel="0" collapsed="false">
      <c r="A587" s="103"/>
      <c r="B587" s="107"/>
      <c r="C587" s="105"/>
      <c r="D587" s="103"/>
      <c r="E587" s="103"/>
      <c r="F587" s="103"/>
      <c r="G587" s="103"/>
      <c r="H587" s="103"/>
      <c r="I587" s="103"/>
      <c r="J587" s="103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3"/>
      <c r="V587" s="112"/>
      <c r="W587" s="105"/>
      <c r="X587" s="103"/>
      <c r="Y587" s="105"/>
    </row>
    <row r="588" s="106" customFormat="true" ht="15" hidden="false" customHeight="true" outlineLevel="0" collapsed="false">
      <c r="A588" s="103"/>
      <c r="B588" s="107"/>
      <c r="C588" s="105"/>
      <c r="D588" s="103"/>
      <c r="E588" s="103"/>
      <c r="F588" s="103"/>
      <c r="G588" s="103"/>
      <c r="H588" s="103"/>
      <c r="I588" s="103"/>
      <c r="J588" s="103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3"/>
      <c r="V588" s="112"/>
      <c r="W588" s="105"/>
      <c r="X588" s="103"/>
      <c r="Y588" s="105"/>
    </row>
    <row r="589" s="106" customFormat="true" ht="15" hidden="false" customHeight="true" outlineLevel="0" collapsed="false">
      <c r="A589" s="103"/>
      <c r="B589" s="107"/>
      <c r="C589" s="105"/>
      <c r="D589" s="103"/>
      <c r="E589" s="103"/>
      <c r="F589" s="103"/>
      <c r="G589" s="103"/>
      <c r="H589" s="103"/>
      <c r="I589" s="103"/>
      <c r="J589" s="103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3"/>
      <c r="V589" s="112"/>
      <c r="W589" s="105"/>
      <c r="X589" s="103"/>
      <c r="Y589" s="105"/>
    </row>
    <row r="590" s="106" customFormat="true" ht="15" hidden="false" customHeight="true" outlineLevel="0" collapsed="false">
      <c r="A590" s="103"/>
      <c r="B590" s="107"/>
      <c r="C590" s="105"/>
      <c r="D590" s="103"/>
      <c r="E590" s="103"/>
      <c r="F590" s="103"/>
      <c r="G590" s="103"/>
      <c r="H590" s="103"/>
      <c r="I590" s="103"/>
      <c r="J590" s="103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3"/>
      <c r="V590" s="112"/>
      <c r="W590" s="105"/>
      <c r="X590" s="103"/>
      <c r="Y590" s="105"/>
    </row>
    <row r="591" s="106" customFormat="true" ht="15" hidden="false" customHeight="true" outlineLevel="0" collapsed="false">
      <c r="A591" s="103"/>
      <c r="B591" s="107"/>
      <c r="C591" s="105"/>
      <c r="D591" s="103"/>
      <c r="E591" s="103"/>
      <c r="F591" s="103"/>
      <c r="G591" s="103"/>
      <c r="H591" s="103"/>
      <c r="I591" s="103"/>
      <c r="J591" s="103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3"/>
      <c r="V591" s="112"/>
      <c r="W591" s="105"/>
      <c r="X591" s="103"/>
      <c r="Y591" s="105"/>
    </row>
    <row r="592" s="106" customFormat="true" ht="15" hidden="false" customHeight="true" outlineLevel="0" collapsed="false">
      <c r="A592" s="103"/>
      <c r="B592" s="107"/>
      <c r="C592" s="105"/>
      <c r="D592" s="103"/>
      <c r="E592" s="103"/>
      <c r="F592" s="103"/>
      <c r="G592" s="103"/>
      <c r="H592" s="103"/>
      <c r="I592" s="103"/>
      <c r="J592" s="103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3"/>
      <c r="V592" s="112"/>
      <c r="W592" s="105"/>
      <c r="X592" s="103"/>
      <c r="Y592" s="105"/>
    </row>
    <row r="593" s="106" customFormat="true" ht="15" hidden="false" customHeight="true" outlineLevel="0" collapsed="false">
      <c r="A593" s="103"/>
      <c r="B593" s="107"/>
      <c r="C593" s="105"/>
      <c r="D593" s="103"/>
      <c r="E593" s="103"/>
      <c r="F593" s="103"/>
      <c r="G593" s="103"/>
      <c r="H593" s="103"/>
      <c r="I593" s="103"/>
      <c r="J593" s="103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3"/>
      <c r="V593" s="112"/>
      <c r="W593" s="105"/>
      <c r="X593" s="103"/>
      <c r="Y593" s="105"/>
    </row>
    <row r="594" s="106" customFormat="true" ht="15" hidden="false" customHeight="true" outlineLevel="0" collapsed="false">
      <c r="A594" s="103"/>
      <c r="B594" s="107"/>
      <c r="C594" s="105"/>
      <c r="D594" s="103"/>
      <c r="E594" s="103"/>
      <c r="F594" s="103"/>
      <c r="G594" s="103"/>
      <c r="H594" s="103"/>
      <c r="I594" s="103"/>
      <c r="J594" s="103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3"/>
      <c r="V594" s="112"/>
      <c r="W594" s="105"/>
      <c r="X594" s="103"/>
      <c r="Y594" s="105"/>
    </row>
    <row r="595" s="106" customFormat="true" ht="15" hidden="false" customHeight="true" outlineLevel="0" collapsed="false">
      <c r="A595" s="103"/>
      <c r="B595" s="107"/>
      <c r="C595" s="105"/>
      <c r="D595" s="103"/>
      <c r="E595" s="103"/>
      <c r="F595" s="103"/>
      <c r="G595" s="103"/>
      <c r="H595" s="103"/>
      <c r="I595" s="103"/>
      <c r="J595" s="103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3"/>
      <c r="V595" s="112"/>
      <c r="W595" s="105"/>
      <c r="X595" s="103"/>
      <c r="Y595" s="105"/>
    </row>
    <row r="596" s="106" customFormat="true" ht="15" hidden="false" customHeight="true" outlineLevel="0" collapsed="false">
      <c r="A596" s="103"/>
      <c r="B596" s="107"/>
      <c r="C596" s="105"/>
      <c r="D596" s="103"/>
      <c r="E596" s="103"/>
      <c r="F596" s="103"/>
      <c r="G596" s="103"/>
      <c r="H596" s="103"/>
      <c r="I596" s="103"/>
      <c r="J596" s="103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3"/>
      <c r="V596" s="112"/>
      <c r="W596" s="105"/>
      <c r="X596" s="103"/>
      <c r="Y596" s="105"/>
    </row>
    <row r="597" s="106" customFormat="true" ht="15" hidden="false" customHeight="true" outlineLevel="0" collapsed="false">
      <c r="A597" s="103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3"/>
      <c r="P597" s="103"/>
      <c r="Q597" s="103"/>
      <c r="R597" s="103"/>
      <c r="S597" s="105"/>
      <c r="T597" s="105"/>
      <c r="U597" s="103"/>
      <c r="V597" s="112"/>
      <c r="W597" s="105"/>
      <c r="X597" s="103" t="n">
        <f aca="false">DATA_PIPELINE!$V597-DATA_PIPELINE!$W597</f>
        <v>0</v>
      </c>
      <c r="Y597" s="105"/>
    </row>
    <row r="598" s="106" customFormat="true" ht="15" hidden="false" customHeight="true" outlineLevel="0" collapsed="false">
      <c r="A598" s="103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3"/>
      <c r="P598" s="103"/>
      <c r="Q598" s="103"/>
      <c r="R598" s="103"/>
      <c r="S598" s="105"/>
      <c r="T598" s="105"/>
      <c r="U598" s="103"/>
      <c r="V598" s="105"/>
      <c r="W598" s="105"/>
      <c r="X598" s="103" t="n">
        <f aca="false">DATA_PIPELINE!$V598-DATA_PIPELINE!$W598</f>
        <v>0</v>
      </c>
      <c r="Y598" s="105"/>
    </row>
    <row r="599" customFormat="false" ht="15" hidden="false" customHeight="true" outlineLevel="0" collapsed="false">
      <c r="A599" s="103"/>
      <c r="B599" s="103"/>
      <c r="C599" s="103"/>
      <c r="D599" s="103"/>
      <c r="E599" s="103"/>
      <c r="F599" s="103" t="s">
        <v>1685</v>
      </c>
      <c r="G599" s="103"/>
      <c r="H599" s="103"/>
      <c r="I599" s="103"/>
      <c r="J599" s="103"/>
      <c r="K599" s="115" t="n">
        <f aca="false">SUM(K6:K598)</f>
        <v>17375</v>
      </c>
      <c r="L599" s="115" t="n">
        <f aca="false">SUM(L6:L598)</f>
        <v>13175</v>
      </c>
      <c r="M599" s="115" t="n">
        <f aca="false">SUM(M6:M598)</f>
        <v>10420</v>
      </c>
      <c r="N599" s="115" t="n">
        <f aca="false">SUM(N6:N598)</f>
        <v>20466</v>
      </c>
      <c r="O599" s="115" t="n">
        <f aca="false">SUM(O6:O598)</f>
        <v>3812211.33</v>
      </c>
      <c r="P599" s="115" t="n">
        <f aca="false">SUM(P6:P598)</f>
        <v>455.388</v>
      </c>
      <c r="Q599" s="115" t="n">
        <f aca="false">SUM(Q6:Q598)</f>
        <v>166105.53</v>
      </c>
      <c r="R599" s="115" t="n">
        <f aca="false">SUM(R6:R598)</f>
        <v>3646105.87</v>
      </c>
      <c r="S599" s="115" t="n">
        <f aca="false">SUM(S6:S598)</f>
        <v>1375.24</v>
      </c>
      <c r="T599" s="115" t="n">
        <f aca="false">SUM(T6:T598)</f>
        <v>22299</v>
      </c>
      <c r="U599" s="115" t="n">
        <f aca="false">SUM(U6:U598)</f>
        <v>0</v>
      </c>
      <c r="V599" s="115" t="n">
        <f aca="false">SUM(V6:V598)</f>
        <v>298500</v>
      </c>
      <c r="W599" s="115" t="n">
        <f aca="false">SUM(W6:W598)</f>
        <v>17375</v>
      </c>
      <c r="X599" s="115" t="n">
        <f aca="false">SUM(X6:X598)</f>
        <v>281125</v>
      </c>
      <c r="Y599" s="105"/>
    </row>
    <row r="600" customFormat="false" ht="15" hidden="false" customHeight="true" outlineLevel="0" collapsed="false">
      <c r="A600" s="103"/>
      <c r="Y600" s="105"/>
    </row>
    <row r="601" customFormat="false" ht="15" hidden="false" customHeight="true" outlineLevel="0" collapsed="false">
      <c r="A601" s="103"/>
      <c r="Y601" s="105"/>
    </row>
    <row r="602" customFormat="false" ht="15" hidden="false" customHeight="true" outlineLevel="0" collapsed="false">
      <c r="B602" s="0" t="n">
        <f aca="false">COUNTA(B6:B600)</f>
        <v>573</v>
      </c>
    </row>
    <row r="603" customFormat="false" ht="15" hidden="false" customHeight="true" outlineLevel="0" collapsed="false"/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K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46" activePane="bottomLeft" state="frozen"/>
      <selection pane="topLeft" activeCell="A1" activeCellId="0" sqref="A1"/>
      <selection pane="bottomLeft" activeCell="D82" activeCellId="1" sqref="A1:L7 D82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1"/>
    <col collapsed="false" customWidth="true" hidden="false" outlineLevel="0" max="3" min="3" style="0" width="29.54"/>
    <col collapsed="false" customWidth="true" hidden="false" outlineLevel="0" max="11" min="4" style="0" width="14"/>
  </cols>
  <sheetData>
    <row r="1" customFormat="false" ht="33.75" hidden="false" customHeight="true" outlineLevel="0" collapsed="false">
      <c r="A1" s="1" t="s">
        <v>1686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4.25" hidden="false" customHeight="true" outlineLevel="0" collapsed="false">
      <c r="A2" s="2" t="s">
        <v>143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4.25" hidden="false" customHeight="true" outlineLevel="0" collapsed="false">
      <c r="A3" s="6" t="str">
        <f aca="false">HYPERLINK("#'HOME'!A1","HOME")</f>
        <v>HOME</v>
      </c>
      <c r="B3" s="6" t="str">
        <f aca="false">HYPERLINK("#'FARMERS'!A1","FARMERS")</f>
        <v>FARMERS</v>
      </c>
      <c r="C3" s="6" t="str">
        <f aca="false">HYPERLINK("#'SUBSCRIPTIONS'!A1","SUBSCRIPTIONS")</f>
        <v>SUBSCRIPTIONS</v>
      </c>
      <c r="D3" s="6" t="str">
        <f aca="false">HYPERLINK("#'PRODUCTION'!A1","PRODUCTION")</f>
        <v>PRODUCTION</v>
      </c>
      <c r="E3" s="6" t="str">
        <f aca="false">HYPERLINK("#'RECOVERY'!A1","RECOVERY")</f>
        <v>RECOVERY</v>
      </c>
      <c r="F3" s="6" t="str">
        <f aca="false">HYPERLINK("#'DELIVERIES'!A1","DELIVERIES")</f>
        <v>DELIVERIES</v>
      </c>
      <c r="G3" s="6" t="str">
        <f aca="false">HYPERLINK("#'FINANCE'!A1","FINANCE")</f>
        <v>FINANCE</v>
      </c>
    </row>
    <row r="5" customFormat="false" ht="14.25" hidden="false" customHeight="true" outlineLevel="0" collapsed="false">
      <c r="A5" s="102" t="s">
        <v>1687</v>
      </c>
      <c r="B5" s="102" t="s">
        <v>1688</v>
      </c>
      <c r="C5" s="102" t="s">
        <v>145</v>
      </c>
      <c r="D5" s="102" t="s">
        <v>1689</v>
      </c>
      <c r="E5" s="102" t="s">
        <v>1690</v>
      </c>
      <c r="F5" s="102" t="s">
        <v>161</v>
      </c>
      <c r="G5" s="102" t="s">
        <v>1691</v>
      </c>
    </row>
    <row r="6" customFormat="false" ht="14.25" hidden="false" customHeight="true" outlineLevel="0" collapsed="false">
      <c r="A6" s="116" t="n">
        <v>45962</v>
      </c>
      <c r="B6" s="117" t="n">
        <v>45986</v>
      </c>
      <c r="C6" s="103" t="s">
        <v>1692</v>
      </c>
      <c r="D6" s="118" t="n">
        <v>1000</v>
      </c>
      <c r="E6" s="118" t="n">
        <v>1000</v>
      </c>
      <c r="F6" s="118" t="n">
        <f aca="false">DATA_RECEIPTS!$D6-DATA_RECEIPTS!$E6</f>
        <v>0</v>
      </c>
      <c r="G6" s="103" t="s">
        <v>1693</v>
      </c>
    </row>
    <row r="7" customFormat="false" ht="14.25" hidden="false" customHeight="true" outlineLevel="0" collapsed="false">
      <c r="A7" s="116" t="n">
        <v>45962</v>
      </c>
      <c r="B7" s="117" t="n">
        <v>45984</v>
      </c>
      <c r="C7" s="103" t="s">
        <v>1523</v>
      </c>
      <c r="D7" s="118" t="n">
        <v>1000</v>
      </c>
      <c r="E7" s="118" t="n">
        <v>1000</v>
      </c>
      <c r="F7" s="118" t="n">
        <f aca="false">DATA_RECEIPTS!$D7-DATA_RECEIPTS!$E7</f>
        <v>0</v>
      </c>
      <c r="G7" s="103" t="s">
        <v>1693</v>
      </c>
    </row>
    <row r="8" customFormat="false" ht="14.25" hidden="false" customHeight="true" outlineLevel="0" collapsed="false">
      <c r="A8" s="116" t="n">
        <v>45962</v>
      </c>
      <c r="B8" s="117" t="n">
        <v>45984</v>
      </c>
      <c r="C8" s="103" t="s">
        <v>1694</v>
      </c>
      <c r="D8" s="118" t="n">
        <v>1000</v>
      </c>
      <c r="E8" s="118" t="n">
        <v>1000</v>
      </c>
      <c r="F8" s="118" t="n">
        <f aca="false">DATA_RECEIPTS!$D8-DATA_RECEIPTS!$E8</f>
        <v>0</v>
      </c>
      <c r="G8" s="103" t="s">
        <v>1693</v>
      </c>
    </row>
    <row r="9" customFormat="false" ht="14.25" hidden="false" customHeight="true" outlineLevel="0" collapsed="false">
      <c r="A9" s="116" t="n">
        <v>45962</v>
      </c>
      <c r="B9" s="119" t="n">
        <v>45984</v>
      </c>
      <c r="C9" s="103" t="s">
        <v>1526</v>
      </c>
      <c r="D9" s="118" t="n">
        <v>1000</v>
      </c>
      <c r="E9" s="118" t="n">
        <v>1000</v>
      </c>
      <c r="F9" s="118" t="n">
        <f aca="false">DATA_RECEIPTS!$D9-DATA_RECEIPTS!$E9</f>
        <v>0</v>
      </c>
      <c r="G9" s="103" t="s">
        <v>1693</v>
      </c>
    </row>
    <row r="10" customFormat="false" ht="14.25" hidden="false" customHeight="true" outlineLevel="0" collapsed="false">
      <c r="A10" s="116" t="n">
        <v>45962</v>
      </c>
      <c r="B10" s="117" t="n">
        <v>45987</v>
      </c>
      <c r="C10" s="103" t="s">
        <v>1695</v>
      </c>
      <c r="D10" s="118" t="n">
        <v>1000</v>
      </c>
      <c r="E10" s="118" t="n">
        <v>1000</v>
      </c>
      <c r="F10" s="118" t="n">
        <f aca="false">DATA_RECEIPTS!$D10-DATA_RECEIPTS!$E10</f>
        <v>0</v>
      </c>
      <c r="G10" s="103" t="s">
        <v>1693</v>
      </c>
    </row>
    <row r="11" customFormat="false" ht="14.25" hidden="false" customHeight="true" outlineLevel="0" collapsed="false">
      <c r="A11" s="116" t="n">
        <v>45962</v>
      </c>
      <c r="B11" s="117" t="n">
        <v>45987</v>
      </c>
      <c r="C11" s="103" t="s">
        <v>1696</v>
      </c>
      <c r="D11" s="118" t="n">
        <v>500</v>
      </c>
      <c r="E11" s="118" t="n">
        <v>500</v>
      </c>
      <c r="F11" s="118" t="n">
        <f aca="false">DATA_RECEIPTS!$D11-DATA_RECEIPTS!$E11</f>
        <v>0</v>
      </c>
      <c r="G11" s="103" t="s">
        <v>1693</v>
      </c>
    </row>
    <row r="12" customFormat="false" ht="14.25" hidden="false" customHeight="true" outlineLevel="0" collapsed="false">
      <c r="A12" s="116" t="n">
        <v>45962</v>
      </c>
      <c r="B12" s="117" t="n">
        <v>45987</v>
      </c>
      <c r="C12" s="103" t="s">
        <v>1697</v>
      </c>
      <c r="D12" s="118" t="n">
        <v>1000</v>
      </c>
      <c r="E12" s="118" t="n">
        <v>1000</v>
      </c>
      <c r="F12" s="118" t="n">
        <f aca="false">DATA_RECEIPTS!$D12-DATA_RECEIPTS!$E12</f>
        <v>0</v>
      </c>
      <c r="G12" s="103" t="s">
        <v>1693</v>
      </c>
    </row>
    <row r="13" customFormat="false" ht="14.25" hidden="false" customHeight="true" outlineLevel="0" collapsed="false">
      <c r="A13" s="116" t="n">
        <v>45962</v>
      </c>
      <c r="B13" s="117" t="n">
        <v>45987</v>
      </c>
      <c r="C13" s="103" t="s">
        <v>1698</v>
      </c>
      <c r="D13" s="118" t="n">
        <v>1000</v>
      </c>
      <c r="E13" s="118" t="n">
        <v>1000</v>
      </c>
      <c r="F13" s="118" t="n">
        <f aca="false">DATA_RECEIPTS!$D13-DATA_RECEIPTS!$E13</f>
        <v>0</v>
      </c>
      <c r="G13" s="103" t="s">
        <v>1693</v>
      </c>
    </row>
    <row r="14" customFormat="false" ht="14.25" hidden="false" customHeight="true" outlineLevel="0" collapsed="false">
      <c r="A14" s="116" t="n">
        <v>46174</v>
      </c>
      <c r="B14" s="117" t="n">
        <v>46184</v>
      </c>
      <c r="C14" s="103" t="s">
        <v>1699</v>
      </c>
      <c r="D14" s="118" t="n">
        <v>500</v>
      </c>
      <c r="E14" s="118" t="n">
        <v>500</v>
      </c>
      <c r="F14" s="118" t="n">
        <f aca="false">DATA_RECEIPTS!$D14-DATA_RECEIPTS!$E14</f>
        <v>0</v>
      </c>
      <c r="G14" s="103" t="s">
        <v>1693</v>
      </c>
    </row>
    <row r="15" customFormat="false" ht="14.25" hidden="false" customHeight="true" outlineLevel="0" collapsed="false">
      <c r="A15" s="116" t="n">
        <v>46174</v>
      </c>
      <c r="B15" s="117" t="n">
        <v>46198</v>
      </c>
      <c r="C15" s="103" t="s">
        <v>1700</v>
      </c>
      <c r="D15" s="118" t="n">
        <v>500</v>
      </c>
      <c r="E15" s="118" t="n">
        <v>200</v>
      </c>
      <c r="F15" s="118" t="n">
        <f aca="false">DATA_RECEIPTS!$D15-DATA_RECEIPTS!$E15</f>
        <v>300</v>
      </c>
      <c r="G15" s="103" t="s">
        <v>1693</v>
      </c>
    </row>
    <row r="16" customFormat="false" ht="14.25" hidden="false" customHeight="true" outlineLevel="0" collapsed="false">
      <c r="A16" s="116" t="n">
        <v>46204</v>
      </c>
      <c r="B16" s="117" t="n">
        <v>46206</v>
      </c>
      <c r="C16" s="103" t="s">
        <v>1701</v>
      </c>
      <c r="D16" s="118" t="n">
        <v>300</v>
      </c>
      <c r="E16" s="118" t="n">
        <v>300</v>
      </c>
      <c r="F16" s="118" t="n">
        <f aca="false">DATA_RECEIPTS!$D16-DATA_RECEIPTS!$E16</f>
        <v>0</v>
      </c>
      <c r="G16" s="103"/>
    </row>
    <row r="17" customFormat="false" ht="14.25" hidden="false" customHeight="true" outlineLevel="0" collapsed="false">
      <c r="A17" s="116" t="n">
        <v>46204</v>
      </c>
      <c r="B17" s="117" t="n">
        <v>46219</v>
      </c>
      <c r="C17" s="103" t="s">
        <v>1529</v>
      </c>
      <c r="D17" s="118" t="n">
        <v>500</v>
      </c>
      <c r="E17" s="118" t="n">
        <v>500</v>
      </c>
      <c r="F17" s="118" t="n">
        <f aca="false">DATA_RECEIPTS!$D17-DATA_RECEIPTS!$E17</f>
        <v>0</v>
      </c>
      <c r="G17" s="103" t="s">
        <v>1702</v>
      </c>
    </row>
    <row r="18" customFormat="false" ht="15" hidden="false" customHeight="true" outlineLevel="0" collapsed="false">
      <c r="A18" s="116" t="n">
        <v>46204</v>
      </c>
      <c r="B18" s="117" t="n">
        <v>46227</v>
      </c>
      <c r="C18" s="103" t="s">
        <v>1532</v>
      </c>
      <c r="D18" s="118" t="n">
        <v>500</v>
      </c>
      <c r="E18" s="118" t="n">
        <v>500</v>
      </c>
      <c r="F18" s="118" t="n">
        <f aca="false">DATA_RECEIPTS!$D18-DATA_RECEIPTS!$E18</f>
        <v>0</v>
      </c>
      <c r="G18" s="103"/>
    </row>
    <row r="19" customFormat="false" ht="15" hidden="false" customHeight="true" outlineLevel="0" collapsed="false">
      <c r="A19" s="116" t="n">
        <v>46204</v>
      </c>
      <c r="B19" s="117" t="n">
        <v>46227</v>
      </c>
      <c r="C19" s="103" t="s">
        <v>1703</v>
      </c>
      <c r="D19" s="118" t="n">
        <v>500</v>
      </c>
      <c r="E19" s="118" t="n">
        <v>100</v>
      </c>
      <c r="F19" s="118" t="n">
        <f aca="false">DATA_RECEIPTS!$D19-DATA_RECEIPTS!$E19</f>
        <v>400</v>
      </c>
      <c r="G19" s="103"/>
    </row>
    <row r="20" customFormat="false" ht="15" hidden="false" customHeight="true" outlineLevel="0" collapsed="false">
      <c r="A20" s="116" t="n">
        <v>46204</v>
      </c>
      <c r="B20" s="119" t="n">
        <v>46227</v>
      </c>
      <c r="C20" s="103" t="s">
        <v>420</v>
      </c>
      <c r="D20" s="118" t="n">
        <v>500</v>
      </c>
      <c r="E20" s="118" t="n">
        <v>200</v>
      </c>
      <c r="F20" s="118" t="n">
        <f aca="false">DATA_RECEIPTS!$D20-DATA_RECEIPTS!$E20</f>
        <v>300</v>
      </c>
      <c r="G20" s="103"/>
    </row>
    <row r="21" customFormat="false" ht="14.25" hidden="false" customHeight="true" outlineLevel="0" collapsed="false">
      <c r="A21" s="116" t="n">
        <v>46235</v>
      </c>
      <c r="B21" s="117" t="n">
        <v>46237</v>
      </c>
      <c r="C21" s="103" t="s">
        <v>1704</v>
      </c>
      <c r="D21" s="118" t="n">
        <v>500</v>
      </c>
      <c r="E21" s="118" t="n">
        <v>200</v>
      </c>
      <c r="F21" s="118" t="n">
        <f aca="false">DATA_RECEIPTS!$D21-DATA_RECEIPTS!$E21</f>
        <v>300</v>
      </c>
      <c r="G21" s="103"/>
    </row>
    <row r="22" customFormat="false" ht="14.25" hidden="false" customHeight="true" outlineLevel="0" collapsed="false">
      <c r="A22" s="116" t="n">
        <v>46235</v>
      </c>
      <c r="B22" s="117" t="n">
        <v>46237</v>
      </c>
      <c r="C22" s="103" t="s">
        <v>1705</v>
      </c>
      <c r="D22" s="118" t="n">
        <v>500</v>
      </c>
      <c r="E22" s="118" t="n">
        <v>100</v>
      </c>
      <c r="F22" s="118" t="n">
        <f aca="false">DATA_RECEIPTS!$D22-DATA_RECEIPTS!$E22</f>
        <v>400</v>
      </c>
      <c r="G22" s="103" t="s">
        <v>1702</v>
      </c>
    </row>
    <row r="23" customFormat="false" ht="14.25" hidden="false" customHeight="true" outlineLevel="0" collapsed="false">
      <c r="A23" s="116" t="n">
        <v>46235</v>
      </c>
      <c r="B23" s="117" t="n">
        <v>46237</v>
      </c>
      <c r="C23" s="103" t="s">
        <v>1579</v>
      </c>
      <c r="D23" s="118" t="n">
        <v>500</v>
      </c>
      <c r="E23" s="118" t="n">
        <v>100</v>
      </c>
      <c r="F23" s="118" t="n">
        <f aca="false">DATA_RECEIPTS!$D23-DATA_RECEIPTS!$E23</f>
        <v>400</v>
      </c>
      <c r="G23" s="103" t="s">
        <v>1702</v>
      </c>
    </row>
    <row r="24" customFormat="false" ht="14.25" hidden="false" customHeight="true" outlineLevel="0" collapsed="false">
      <c r="A24" s="116" t="n">
        <v>46235</v>
      </c>
      <c r="B24" s="117" t="n">
        <v>46238</v>
      </c>
      <c r="C24" s="103" t="s">
        <v>1706</v>
      </c>
      <c r="D24" s="118" t="n">
        <v>500</v>
      </c>
      <c r="E24" s="118" t="n">
        <v>100</v>
      </c>
      <c r="F24" s="118" t="n">
        <f aca="false">DATA_RECEIPTS!$D24-DATA_RECEIPTS!$E24</f>
        <v>400</v>
      </c>
      <c r="G24" s="103" t="s">
        <v>1702</v>
      </c>
    </row>
    <row r="25" customFormat="false" ht="14.25" hidden="false" customHeight="true" outlineLevel="0" collapsed="false">
      <c r="A25" s="116" t="n">
        <v>46235</v>
      </c>
      <c r="B25" s="117" t="n">
        <v>46237</v>
      </c>
      <c r="C25" s="103" t="s">
        <v>1707</v>
      </c>
      <c r="D25" s="118" t="n">
        <v>500</v>
      </c>
      <c r="E25" s="118" t="n">
        <v>500</v>
      </c>
      <c r="F25" s="118" t="n">
        <f aca="false">DATA_RECEIPTS!$D25-DATA_RECEIPTS!$E25</f>
        <v>0</v>
      </c>
      <c r="G25" s="103" t="s">
        <v>1702</v>
      </c>
    </row>
    <row r="26" customFormat="false" ht="14.25" hidden="false" customHeight="true" outlineLevel="0" collapsed="false">
      <c r="A26" s="116" t="n">
        <v>46235</v>
      </c>
      <c r="B26" s="117" t="n">
        <v>46237</v>
      </c>
      <c r="C26" s="103" t="s">
        <v>1708</v>
      </c>
      <c r="D26" s="118" t="n">
        <v>500</v>
      </c>
      <c r="E26" s="118" t="n">
        <v>200</v>
      </c>
      <c r="F26" s="118" t="n">
        <f aca="false">DATA_RECEIPTS!$D26-DATA_RECEIPTS!$E26</f>
        <v>300</v>
      </c>
      <c r="G26" s="103" t="s">
        <v>1702</v>
      </c>
    </row>
    <row r="27" customFormat="false" ht="15" hidden="false" customHeight="true" outlineLevel="0" collapsed="false">
      <c r="A27" s="116" t="n">
        <v>46235</v>
      </c>
      <c r="B27" s="117" t="n">
        <v>46240</v>
      </c>
      <c r="C27" s="103" t="s">
        <v>1709</v>
      </c>
      <c r="D27" s="118" t="n">
        <v>500</v>
      </c>
      <c r="E27" s="118" t="n">
        <v>100</v>
      </c>
      <c r="F27" s="118" t="n">
        <f aca="false">DATA_RECEIPTS!$D27-DATA_RECEIPTS!$E27</f>
        <v>400</v>
      </c>
      <c r="G27" s="103" t="s">
        <v>1702</v>
      </c>
    </row>
    <row r="28" customFormat="false" ht="15" hidden="false" customHeight="true" outlineLevel="0" collapsed="false">
      <c r="A28" s="116" t="n">
        <v>46246</v>
      </c>
      <c r="B28" s="117" t="n">
        <v>46241</v>
      </c>
      <c r="C28" s="120" t="s">
        <v>1710</v>
      </c>
      <c r="D28" s="121" t="n">
        <v>500</v>
      </c>
      <c r="E28" s="121" t="n">
        <v>500</v>
      </c>
      <c r="F28" s="121" t="n">
        <f aca="false">DATA_RECEIPTS!$D28-DATA_RECEIPTS!$E28</f>
        <v>0</v>
      </c>
      <c r="G28" s="120" t="s">
        <v>1702</v>
      </c>
    </row>
    <row r="29" customFormat="false" ht="15" hidden="false" customHeight="true" outlineLevel="0" collapsed="false">
      <c r="A29" s="116" t="n">
        <v>46235</v>
      </c>
      <c r="B29" s="117" t="n">
        <v>46243</v>
      </c>
      <c r="C29" s="120" t="s">
        <v>1382</v>
      </c>
      <c r="D29" s="121" t="n">
        <v>500</v>
      </c>
      <c r="E29" s="121" t="n">
        <v>100</v>
      </c>
      <c r="F29" s="121" t="n">
        <f aca="false">DATA_RECEIPTS!$D29-DATA_RECEIPTS!$E29</f>
        <v>400</v>
      </c>
      <c r="G29" s="120" t="s">
        <v>1702</v>
      </c>
    </row>
    <row r="30" customFormat="false" ht="15" hidden="false" customHeight="true" outlineLevel="0" collapsed="false">
      <c r="A30" s="122" t="n">
        <v>46260</v>
      </c>
      <c r="B30" s="123" t="n">
        <v>46246</v>
      </c>
      <c r="C30" s="0" t="s">
        <v>1711</v>
      </c>
      <c r="D30" s="124" t="n">
        <v>500</v>
      </c>
      <c r="E30" s="124" t="n">
        <v>100</v>
      </c>
      <c r="F30" s="121" t="n">
        <f aca="false">DATA_RECEIPTS!$D30-DATA_RECEIPTS!$E30</f>
        <v>400</v>
      </c>
      <c r="G30" s="0" t="s">
        <v>1712</v>
      </c>
    </row>
    <row r="31" customFormat="false" ht="15" hidden="false" customHeight="true" outlineLevel="0" collapsed="false">
      <c r="A31" s="122" t="n">
        <v>46248</v>
      </c>
      <c r="B31" s="123" t="n">
        <v>46248</v>
      </c>
      <c r="C31" s="0" t="s">
        <v>1713</v>
      </c>
      <c r="D31" s="124" t="n">
        <v>500</v>
      </c>
      <c r="E31" s="124" t="n">
        <v>100</v>
      </c>
      <c r="F31" s="121" t="n">
        <f aca="false">DATA_RECEIPTS!$D31-DATA_RECEIPTS!$E31</f>
        <v>400</v>
      </c>
      <c r="G31" s="0" t="s">
        <v>1714</v>
      </c>
    </row>
    <row r="32" customFormat="false" ht="15" hidden="false" customHeight="true" outlineLevel="0" collapsed="false">
      <c r="A32" s="122" t="n">
        <v>46248</v>
      </c>
      <c r="B32" s="123" t="n">
        <v>46248</v>
      </c>
      <c r="C32" s="0" t="s">
        <v>1715</v>
      </c>
      <c r="D32" s="124" t="n">
        <v>500</v>
      </c>
      <c r="E32" s="124" t="n">
        <v>50</v>
      </c>
      <c r="F32" s="0" t="n">
        <f aca="false">DATA_RECEIPTS!$D32-DATA_RECEIPTS!$E32</f>
        <v>450</v>
      </c>
      <c r="G32" s="0" t="s">
        <v>1714</v>
      </c>
    </row>
    <row r="33" customFormat="false" ht="15" hidden="false" customHeight="true" outlineLevel="0" collapsed="false">
      <c r="A33" s="122" t="n">
        <v>46248</v>
      </c>
      <c r="B33" s="123" t="n">
        <v>46248</v>
      </c>
      <c r="C33" s="0" t="s">
        <v>1716</v>
      </c>
      <c r="D33" s="124" t="n">
        <v>500</v>
      </c>
      <c r="E33" s="124" t="n">
        <v>200</v>
      </c>
      <c r="F33" s="124" t="n">
        <f aca="false">DATA_RECEIPTS!$D33-DATA_RECEIPTS!$E33</f>
        <v>300</v>
      </c>
      <c r="G33" s="0" t="s">
        <v>1714</v>
      </c>
    </row>
    <row r="34" customFormat="false" ht="15" hidden="false" customHeight="true" outlineLevel="0" collapsed="false">
      <c r="A34" s="122" t="n">
        <v>46251</v>
      </c>
      <c r="B34" s="123" t="n">
        <v>46251</v>
      </c>
      <c r="C34" s="0" t="s">
        <v>1717</v>
      </c>
      <c r="D34" s="124" t="n">
        <v>500</v>
      </c>
      <c r="E34" s="124" t="n">
        <v>100</v>
      </c>
      <c r="F34" s="124" t="n">
        <f aca="false">DATA_RECEIPTS!$D34-DATA_RECEIPTS!$E34</f>
        <v>400</v>
      </c>
      <c r="G34" s="0" t="s">
        <v>1714</v>
      </c>
    </row>
    <row r="35" customFormat="false" ht="15" hidden="false" customHeight="true" outlineLevel="0" collapsed="false">
      <c r="A35" s="122" t="n">
        <v>46252</v>
      </c>
      <c r="B35" s="123" t="n">
        <v>46252</v>
      </c>
      <c r="C35" s="0" t="s">
        <v>1718</v>
      </c>
      <c r="D35" s="124" t="n">
        <v>500</v>
      </c>
      <c r="E35" s="124" t="n">
        <v>100</v>
      </c>
      <c r="F35" s="124" t="n">
        <v>400</v>
      </c>
      <c r="G35" s="0" t="s">
        <v>1714</v>
      </c>
    </row>
    <row r="36" customFormat="false" ht="15" hidden="false" customHeight="true" outlineLevel="0" collapsed="false">
      <c r="A36" s="122" t="n">
        <v>46255</v>
      </c>
      <c r="B36" s="123" t="n">
        <v>46255</v>
      </c>
      <c r="C36" s="0" t="s">
        <v>1719</v>
      </c>
      <c r="D36" s="124" t="n">
        <v>500</v>
      </c>
      <c r="E36" s="124" t="n">
        <v>200</v>
      </c>
      <c r="F36" s="124" t="n">
        <f aca="false">DATA_RECEIPTS!$D36-DATA_RECEIPTS!$E36</f>
        <v>300</v>
      </c>
      <c r="G36" s="0" t="s">
        <v>1714</v>
      </c>
    </row>
    <row r="37" customFormat="false" ht="15" hidden="false" customHeight="true" outlineLevel="0" collapsed="false">
      <c r="A37" s="122" t="n">
        <v>46255</v>
      </c>
      <c r="B37" s="123" t="n">
        <v>46255</v>
      </c>
      <c r="C37" s="0" t="s">
        <v>1720</v>
      </c>
      <c r="D37" s="124" t="n">
        <v>500</v>
      </c>
      <c r="E37" s="124" t="n">
        <v>200</v>
      </c>
      <c r="F37" s="124" t="n">
        <v>200</v>
      </c>
      <c r="G37" s="0" t="s">
        <v>1714</v>
      </c>
    </row>
    <row r="38" customFormat="false" ht="15" hidden="false" customHeight="true" outlineLevel="0" collapsed="false">
      <c r="A38" s="122" t="n">
        <v>46258</v>
      </c>
      <c r="B38" s="123" t="n">
        <v>46258</v>
      </c>
      <c r="C38" s="0" t="s">
        <v>1721</v>
      </c>
      <c r="D38" s="124" t="n">
        <v>500</v>
      </c>
      <c r="E38" s="124" t="n">
        <v>100</v>
      </c>
      <c r="F38" s="124" t="n">
        <f aca="false">DATA_RECEIPTS!$D38-DATA_RECEIPTS!$E38</f>
        <v>400</v>
      </c>
      <c r="G38" s="0" t="s">
        <v>1714</v>
      </c>
    </row>
    <row r="39" customFormat="false" ht="15" hidden="false" customHeight="true" outlineLevel="0" collapsed="false">
      <c r="A39" s="122" t="n">
        <v>46254</v>
      </c>
      <c r="B39" s="123" t="n">
        <v>46254</v>
      </c>
      <c r="C39" s="0" t="s">
        <v>1722</v>
      </c>
      <c r="D39" s="124" t="n">
        <v>500</v>
      </c>
      <c r="E39" s="124" t="n">
        <v>100</v>
      </c>
      <c r="F39" s="124" t="n">
        <f aca="false">DATA_RECEIPTS!$D39-DATA_RECEIPTS!$E39</f>
        <v>400</v>
      </c>
      <c r="G39" s="0" t="s">
        <v>1714</v>
      </c>
    </row>
    <row r="40" customFormat="false" ht="15" hidden="false" customHeight="true" outlineLevel="0" collapsed="false">
      <c r="A40" s="122" t="n">
        <v>46258</v>
      </c>
      <c r="B40" s="123" t="n">
        <v>46258</v>
      </c>
      <c r="C40" s="0" t="s">
        <v>1723</v>
      </c>
      <c r="D40" s="124" t="n">
        <v>500</v>
      </c>
      <c r="E40" s="124" t="n">
        <v>50</v>
      </c>
      <c r="F40" s="124" t="n">
        <f aca="false">DATA_RECEIPTS!$D40-DATA_RECEIPTS!$E40</f>
        <v>450</v>
      </c>
      <c r="G40" s="0" t="s">
        <v>1702</v>
      </c>
    </row>
    <row r="41" customFormat="false" ht="15" hidden="false" customHeight="true" outlineLevel="0" collapsed="false">
      <c r="A41" s="122" t="n">
        <v>46259</v>
      </c>
      <c r="B41" s="123" t="n">
        <v>46259</v>
      </c>
      <c r="C41" s="0" t="s">
        <v>1724</v>
      </c>
      <c r="D41" s="124" t="n">
        <v>500</v>
      </c>
      <c r="E41" s="124" t="n">
        <v>250</v>
      </c>
      <c r="F41" s="124" t="n">
        <f aca="false">DATA_RECEIPTS!$D41-DATA_RECEIPTS!$E41</f>
        <v>250</v>
      </c>
      <c r="G41" s="0" t="s">
        <v>1714</v>
      </c>
    </row>
    <row r="42" customFormat="false" ht="14.25" hidden="false" customHeight="true" outlineLevel="0" collapsed="false">
      <c r="A42" s="122" t="n">
        <v>46262</v>
      </c>
      <c r="B42" s="123" t="n">
        <v>46262</v>
      </c>
      <c r="C42" s="0" t="s">
        <v>1725</v>
      </c>
      <c r="D42" s="124" t="n">
        <v>500</v>
      </c>
      <c r="E42" s="124" t="n">
        <v>50</v>
      </c>
      <c r="F42" s="124" t="n">
        <f aca="false">DATA_RECEIPTS!$D42-DATA_RECEIPTS!$E42</f>
        <v>450</v>
      </c>
      <c r="G42" s="0" t="s">
        <v>1714</v>
      </c>
    </row>
    <row r="43" customFormat="false" ht="14.25" hidden="false" customHeight="true" outlineLevel="0" collapsed="false">
      <c r="A43" s="122" t="n">
        <v>46262</v>
      </c>
      <c r="B43" s="123" t="n">
        <v>46262</v>
      </c>
      <c r="C43" s="0" t="s">
        <v>1726</v>
      </c>
      <c r="D43" s="124" t="n">
        <v>500</v>
      </c>
      <c r="E43" s="124" t="n">
        <v>500</v>
      </c>
      <c r="F43" s="124" t="n">
        <f aca="false">DATA_RECEIPTS!$D43-DATA_RECEIPTS!$E43</f>
        <v>0</v>
      </c>
      <c r="G43" s="0" t="s">
        <v>1714</v>
      </c>
    </row>
    <row r="44" customFormat="false" ht="14.25" hidden="false" customHeight="true" outlineLevel="0" collapsed="false">
      <c r="A44" s="125" t="n">
        <v>46263</v>
      </c>
      <c r="B44" s="126" t="n">
        <v>46263</v>
      </c>
      <c r="C44" s="0" t="s">
        <v>1727</v>
      </c>
      <c r="D44" s="127" t="n">
        <v>500</v>
      </c>
      <c r="E44" s="124" t="n">
        <v>100</v>
      </c>
      <c r="F44" s="124" t="n">
        <f aca="false">DATA_RECEIPTS!$D44-DATA_RECEIPTS!$E44</f>
        <v>400</v>
      </c>
      <c r="G44" s="0" t="s">
        <v>1714</v>
      </c>
    </row>
    <row r="45" customFormat="false" ht="14.25" hidden="false" customHeight="true" outlineLevel="0" collapsed="false">
      <c r="A45" s="126" t="n">
        <v>46263</v>
      </c>
      <c r="B45" s="126" t="n">
        <v>46263</v>
      </c>
      <c r="C45" s="0" t="s">
        <v>1728</v>
      </c>
      <c r="D45" s="127" t="n">
        <v>500</v>
      </c>
      <c r="E45" s="124" t="n">
        <v>50</v>
      </c>
      <c r="F45" s="124" t="n">
        <f aca="false">DATA_RECEIPTS!$D45-DATA_RECEIPTS!$E45</f>
        <v>450</v>
      </c>
      <c r="G45" s="0" t="s">
        <v>1714</v>
      </c>
    </row>
    <row r="46" customFormat="false" ht="14.25" hidden="false" customHeight="true" outlineLevel="0" collapsed="false">
      <c r="A46" s="126" t="n">
        <v>46265</v>
      </c>
      <c r="B46" s="126" t="n">
        <v>46265</v>
      </c>
      <c r="C46" s="0" t="s">
        <v>1729</v>
      </c>
      <c r="D46" s="127" t="n">
        <v>500</v>
      </c>
      <c r="E46" s="124" t="n">
        <v>500</v>
      </c>
      <c r="F46" s="124" t="n">
        <f aca="false">DATA_RECEIPTS!$D46-DATA_RECEIPTS!$E46</f>
        <v>0</v>
      </c>
      <c r="G46" s="0" t="s">
        <v>1702</v>
      </c>
    </row>
    <row r="47" customFormat="false" ht="14.25" hidden="false" customHeight="true" outlineLevel="0" collapsed="false">
      <c r="A47" s="126" t="n">
        <v>46265</v>
      </c>
      <c r="B47" s="126" t="n">
        <v>46265</v>
      </c>
      <c r="C47" s="0" t="s">
        <v>1730</v>
      </c>
      <c r="D47" s="127" t="n">
        <v>500</v>
      </c>
      <c r="E47" s="124" t="n">
        <v>200</v>
      </c>
      <c r="F47" s="124" t="n">
        <f aca="false">DATA_RECEIPTS!$D47-DATA_RECEIPTS!$E47</f>
        <v>300</v>
      </c>
      <c r="G47" s="0" t="s">
        <v>1714</v>
      </c>
    </row>
    <row r="48" customFormat="false" ht="14.25" hidden="false" customHeight="true" outlineLevel="0" collapsed="false">
      <c r="A48" s="126" t="n">
        <v>46266</v>
      </c>
      <c r="B48" s="128" t="n">
        <v>46266</v>
      </c>
      <c r="C48" s="0" t="s">
        <v>1731</v>
      </c>
      <c r="D48" s="127" t="n">
        <v>500</v>
      </c>
      <c r="E48" s="129" t="n">
        <v>200</v>
      </c>
      <c r="F48" s="124" t="n">
        <f aca="false">DATA_RECEIPTS!$D48-DATA_RECEIPTS!$E48</f>
        <v>300</v>
      </c>
      <c r="G48" s="0" t="s">
        <v>1714</v>
      </c>
    </row>
    <row r="49" customFormat="false" ht="14.25" hidden="false" customHeight="true" outlineLevel="0" collapsed="false">
      <c r="A49" s="126" t="n">
        <v>46266</v>
      </c>
      <c r="B49" s="128" t="n">
        <v>46266</v>
      </c>
      <c r="C49" s="0" t="s">
        <v>1732</v>
      </c>
      <c r="D49" s="127" t="n">
        <v>500</v>
      </c>
      <c r="E49" s="129" t="n">
        <v>100</v>
      </c>
      <c r="F49" s="124" t="n">
        <f aca="false">DATA_RECEIPTS!$D49-DATA_RECEIPTS!$E49</f>
        <v>400</v>
      </c>
      <c r="G49" s="0" t="s">
        <v>1714</v>
      </c>
    </row>
    <row r="50" s="106" customFormat="true" ht="14.25" hidden="false" customHeight="true" outlineLevel="0" collapsed="false">
      <c r="A50" s="130" t="n">
        <v>46266</v>
      </c>
      <c r="B50" s="131" t="n">
        <v>46266</v>
      </c>
      <c r="C50" s="106" t="s">
        <v>1733</v>
      </c>
      <c r="D50" s="127" t="n">
        <v>500</v>
      </c>
      <c r="E50" s="129" t="n">
        <v>25</v>
      </c>
      <c r="F50" s="124" t="n">
        <f aca="false">DATA_RECEIPTS!$D50-DATA_RECEIPTS!$E50</f>
        <v>475</v>
      </c>
      <c r="G50" s="106" t="s">
        <v>1714</v>
      </c>
    </row>
    <row r="51" customFormat="false" ht="14.25" hidden="false" customHeight="true" outlineLevel="0" collapsed="false">
      <c r="A51" s="126" t="n">
        <v>46266</v>
      </c>
      <c r="B51" s="128" t="n">
        <v>46266</v>
      </c>
      <c r="C51" s="0" t="s">
        <v>1734</v>
      </c>
      <c r="D51" s="127" t="n">
        <v>500</v>
      </c>
      <c r="E51" s="129" t="n">
        <v>50</v>
      </c>
      <c r="F51" s="124" t="n">
        <f aca="false">DATA_RECEIPTS!$D51-DATA_RECEIPTS!$E51</f>
        <v>450</v>
      </c>
      <c r="G51" s="0" t="s">
        <v>1702</v>
      </c>
    </row>
    <row r="52" customFormat="false" ht="14.25" hidden="false" customHeight="true" outlineLevel="0" collapsed="false">
      <c r="A52" s="126" t="n">
        <v>46266</v>
      </c>
      <c r="B52" s="128" t="n">
        <v>46266</v>
      </c>
      <c r="C52" s="0" t="s">
        <v>1735</v>
      </c>
      <c r="D52" s="127" t="n">
        <v>500</v>
      </c>
      <c r="E52" s="129" t="n">
        <v>50</v>
      </c>
      <c r="F52" s="124" t="n">
        <f aca="false">DATA_RECEIPTS!$D52-DATA_RECEIPTS!$E52</f>
        <v>450</v>
      </c>
      <c r="G52" s="0" t="s">
        <v>1702</v>
      </c>
    </row>
    <row r="53" customFormat="false" ht="14.25" hidden="false" customHeight="true" outlineLevel="0" collapsed="false">
      <c r="A53" s="126" t="n">
        <v>46267</v>
      </c>
      <c r="B53" s="128" t="n">
        <v>46266</v>
      </c>
      <c r="C53" s="0" t="s">
        <v>1736</v>
      </c>
      <c r="D53" s="127" t="n">
        <v>500</v>
      </c>
      <c r="E53" s="129" t="n">
        <v>200</v>
      </c>
      <c r="F53" s="124" t="n">
        <f aca="false">DATA_RECEIPTS!$D53-DATA_RECEIPTS!$E53</f>
        <v>300</v>
      </c>
      <c r="G53" s="0" t="s">
        <v>1714</v>
      </c>
    </row>
    <row r="54" customFormat="false" ht="14.25" hidden="false" customHeight="true" outlineLevel="0" collapsed="false">
      <c r="A54" s="126" t="n">
        <v>46267</v>
      </c>
      <c r="B54" s="128" t="n">
        <v>46267</v>
      </c>
      <c r="C54" s="0" t="s">
        <v>1737</v>
      </c>
      <c r="D54" s="127" t="n">
        <v>500</v>
      </c>
      <c r="E54" s="129" t="n">
        <v>500</v>
      </c>
      <c r="F54" s="124" t="n">
        <f aca="false">DATA_RECEIPTS!$D54-DATA_RECEIPTS!$E54</f>
        <v>0</v>
      </c>
      <c r="G54" s="0" t="s">
        <v>1714</v>
      </c>
    </row>
    <row r="55" customFormat="false" ht="14.25" hidden="false" customHeight="true" outlineLevel="0" collapsed="false">
      <c r="A55" s="126" t="n">
        <v>46268</v>
      </c>
      <c r="B55" s="128" t="n">
        <v>46268</v>
      </c>
      <c r="C55" s="132" t="s">
        <v>1738</v>
      </c>
      <c r="D55" s="127" t="n">
        <v>500</v>
      </c>
      <c r="E55" s="129" t="n">
        <v>100</v>
      </c>
      <c r="F55" s="124" t="n">
        <f aca="false">DATA_RECEIPTS!$D55-DATA_RECEIPTS!$E55</f>
        <v>400</v>
      </c>
      <c r="G55" s="0" t="s">
        <v>1702</v>
      </c>
    </row>
    <row r="56" customFormat="false" ht="14.25" hidden="false" customHeight="true" outlineLevel="0" collapsed="false">
      <c r="A56" s="126" t="n">
        <v>46269</v>
      </c>
      <c r="B56" s="128" t="n">
        <v>46269</v>
      </c>
      <c r="C56" s="107" t="s">
        <v>1739</v>
      </c>
      <c r="D56" s="127" t="n">
        <v>500</v>
      </c>
      <c r="E56" s="129" t="n">
        <v>200</v>
      </c>
      <c r="F56" s="124" t="n">
        <f aca="false">DATA_RECEIPTS!$D56-DATA_RECEIPTS!$E56</f>
        <v>300</v>
      </c>
      <c r="G56" s="0" t="s">
        <v>1714</v>
      </c>
    </row>
    <row r="57" customFormat="false" ht="14.25" hidden="false" customHeight="true" outlineLevel="0" collapsed="false">
      <c r="A57" s="126" t="n">
        <v>46269</v>
      </c>
      <c r="B57" s="126" t="n">
        <v>46269</v>
      </c>
      <c r="C57" s="0" t="s">
        <v>1740</v>
      </c>
      <c r="D57" s="127" t="n">
        <v>500</v>
      </c>
      <c r="E57" s="124" t="n">
        <v>100</v>
      </c>
      <c r="F57" s="124" t="n">
        <f aca="false">DATA_RECEIPTS!$D57-DATA_RECEIPTS!$E57</f>
        <v>400</v>
      </c>
      <c r="G57" s="0" t="s">
        <v>1702</v>
      </c>
    </row>
    <row r="58" customFormat="false" ht="14.25" hidden="false" customHeight="true" outlineLevel="0" collapsed="false">
      <c r="A58" s="128" t="n">
        <v>46270</v>
      </c>
      <c r="B58" s="128" t="n">
        <v>46270</v>
      </c>
      <c r="C58" s="0" t="s">
        <v>1741</v>
      </c>
      <c r="D58" s="127" t="n">
        <v>500</v>
      </c>
      <c r="E58" s="124" t="n">
        <v>200</v>
      </c>
      <c r="F58" s="124" t="n">
        <f aca="false">DATA_RECEIPTS!$D58-DATA_RECEIPTS!$E58</f>
        <v>300</v>
      </c>
      <c r="G58" s="0" t="s">
        <v>1714</v>
      </c>
    </row>
    <row r="59" customFormat="false" ht="14.25" hidden="false" customHeight="true" outlineLevel="0" collapsed="false">
      <c r="A59" s="128" t="n">
        <v>46270</v>
      </c>
      <c r="B59" s="128" t="n">
        <v>46270</v>
      </c>
      <c r="C59" s="0" t="s">
        <v>1742</v>
      </c>
      <c r="D59" s="127" t="n">
        <v>500</v>
      </c>
      <c r="E59" s="124" t="n">
        <v>100</v>
      </c>
      <c r="F59" s="124" t="n">
        <f aca="false">DATA_RECEIPTS!$D59-DATA_RECEIPTS!$E59</f>
        <v>400</v>
      </c>
      <c r="G59" s="0" t="s">
        <v>1714</v>
      </c>
    </row>
    <row r="60" customFormat="false" ht="14.25" hidden="false" customHeight="true" outlineLevel="0" collapsed="false">
      <c r="A60" s="128" t="n">
        <v>46272</v>
      </c>
      <c r="B60" s="128" t="n">
        <v>46272</v>
      </c>
      <c r="C60" s="114" t="s">
        <v>1684</v>
      </c>
      <c r="D60" s="127" t="n">
        <v>500</v>
      </c>
      <c r="E60" s="124" t="n">
        <v>200</v>
      </c>
      <c r="F60" s="124" t="n">
        <f aca="false">DATA_RECEIPTS!$D60-DATA_RECEIPTS!$E60</f>
        <v>300</v>
      </c>
      <c r="G60" s="0" t="s">
        <v>1714</v>
      </c>
    </row>
    <row r="61" customFormat="false" ht="14.25" hidden="false" customHeight="true" outlineLevel="0" collapsed="false">
      <c r="A61" s="128" t="n">
        <v>46272</v>
      </c>
      <c r="B61" s="128" t="n">
        <v>46272</v>
      </c>
      <c r="C61" s="103" t="s">
        <v>1701</v>
      </c>
      <c r="D61" s="127" t="n">
        <v>200</v>
      </c>
      <c r="E61" s="124" t="n">
        <v>200</v>
      </c>
      <c r="F61" s="124" t="n">
        <f aca="false">DATA_RECEIPTS!$D61-DATA_RECEIPTS!$E61</f>
        <v>0</v>
      </c>
      <c r="G61" s="0" t="s">
        <v>1693</v>
      </c>
    </row>
    <row r="62" customFormat="false" ht="14.25" hidden="false" customHeight="true" outlineLevel="0" collapsed="false">
      <c r="A62" s="128" t="n">
        <v>46273</v>
      </c>
      <c r="B62" s="128" t="n">
        <v>46273</v>
      </c>
      <c r="C62" s="107" t="s">
        <v>1743</v>
      </c>
      <c r="D62" s="127" t="n">
        <v>500</v>
      </c>
      <c r="E62" s="124" t="n">
        <v>500</v>
      </c>
      <c r="F62" s="124" t="n">
        <f aca="false">DATA_RECEIPTS!$D62-DATA_RECEIPTS!$E62</f>
        <v>0</v>
      </c>
      <c r="G62" s="0" t="s">
        <v>1702</v>
      </c>
    </row>
    <row r="63" customFormat="false" ht="14.25" hidden="false" customHeight="true" outlineLevel="0" collapsed="false">
      <c r="A63" s="128"/>
      <c r="B63" s="128"/>
      <c r="D63" s="127" t="n">
        <v>0</v>
      </c>
      <c r="E63" s="124" t="n">
        <v>0</v>
      </c>
      <c r="F63" s="124" t="n">
        <f aca="false">DATA_RECEIPTS!$D63-DATA_RECEIPTS!$E63</f>
        <v>0</v>
      </c>
    </row>
    <row r="64" customFormat="false" ht="14.25" hidden="false" customHeight="true" outlineLevel="0" collapsed="false">
      <c r="A64" s="128"/>
      <c r="B64" s="128"/>
      <c r="D64" s="127" t="n">
        <v>0</v>
      </c>
      <c r="E64" s="124" t="n">
        <v>0</v>
      </c>
      <c r="F64" s="124" t="n">
        <f aca="false">DATA_RECEIPTS!$D64-DATA_RECEIPTS!$E64</f>
        <v>0</v>
      </c>
    </row>
    <row r="65" customFormat="false" ht="14.25" hidden="false" customHeight="true" outlineLevel="0" collapsed="false">
      <c r="A65" s="128"/>
      <c r="B65" s="128"/>
      <c r="D65" s="127" t="n">
        <v>0</v>
      </c>
      <c r="E65" s="124" t="n">
        <v>0</v>
      </c>
      <c r="F65" s="124" t="n">
        <f aca="false">DATA_RECEIPTS!$D65-DATA_RECEIPTS!$E65</f>
        <v>0</v>
      </c>
    </row>
    <row r="66" customFormat="false" ht="14.25" hidden="false" customHeight="true" outlineLevel="0" collapsed="false">
      <c r="A66" s="128"/>
      <c r="B66" s="128"/>
      <c r="D66" s="127" t="n">
        <v>0</v>
      </c>
      <c r="E66" s="124" t="n">
        <v>0</v>
      </c>
      <c r="F66" s="124" t="n">
        <f aca="false">DATA_RECEIPTS!$D66-DATA_RECEIPTS!$E66</f>
        <v>0</v>
      </c>
    </row>
    <row r="67" customFormat="false" ht="14.25" hidden="false" customHeight="true" outlineLevel="0" collapsed="false">
      <c r="A67" s="128"/>
      <c r="B67" s="128"/>
      <c r="D67" s="127" t="n">
        <v>0</v>
      </c>
      <c r="E67" s="124" t="n">
        <v>0</v>
      </c>
      <c r="F67" s="124" t="n">
        <f aca="false">DATA_RECEIPTS!$D67-DATA_RECEIPTS!$E67</f>
        <v>0</v>
      </c>
    </row>
    <row r="68" customFormat="false" ht="14.25" hidden="false" customHeight="true" outlineLevel="0" collapsed="false">
      <c r="A68" s="128"/>
      <c r="B68" s="128"/>
      <c r="D68" s="127" t="n">
        <v>0</v>
      </c>
      <c r="E68" s="124" t="n">
        <v>0</v>
      </c>
      <c r="F68" s="124" t="n">
        <f aca="false">DATA_RECEIPTS!$D68-DATA_RECEIPTS!$E68</f>
        <v>0</v>
      </c>
    </row>
    <row r="69" customFormat="false" ht="14.25" hidden="false" customHeight="true" outlineLevel="0" collapsed="false">
      <c r="A69" s="128"/>
      <c r="B69" s="128"/>
      <c r="D69" s="127" t="n">
        <v>0</v>
      </c>
      <c r="E69" s="124" t="n">
        <v>0</v>
      </c>
      <c r="F69" s="124" t="n">
        <f aca="false">DATA_RECEIPTS!$D69-DATA_RECEIPTS!$E69</f>
        <v>0</v>
      </c>
    </row>
    <row r="70" customFormat="false" ht="14.25" hidden="false" customHeight="true" outlineLevel="0" collapsed="false">
      <c r="A70" s="128"/>
      <c r="B70" s="128"/>
      <c r="D70" s="127" t="n">
        <v>0</v>
      </c>
      <c r="E70" s="124" t="n">
        <v>0</v>
      </c>
      <c r="F70" s="124" t="n">
        <f aca="false">DATA_RECEIPTS!$D70-DATA_RECEIPTS!$E70</f>
        <v>0</v>
      </c>
    </row>
    <row r="71" customFormat="false" ht="14.25" hidden="false" customHeight="true" outlineLevel="0" collapsed="false">
      <c r="A71" s="128"/>
      <c r="B71" s="128"/>
      <c r="D71" s="127" t="n">
        <v>0</v>
      </c>
      <c r="E71" s="124" t="n">
        <v>0</v>
      </c>
      <c r="F71" s="124" t="n">
        <f aca="false">DATA_RECEIPTS!$D71-DATA_RECEIPTS!$E71</f>
        <v>0</v>
      </c>
    </row>
    <row r="72" customFormat="false" ht="14.25" hidden="false" customHeight="true" outlineLevel="0" collapsed="false">
      <c r="A72" s="133"/>
      <c r="B72" s="133"/>
      <c r="D72" s="127" t="n">
        <v>0</v>
      </c>
      <c r="E72" s="124" t="n">
        <v>0</v>
      </c>
      <c r="F72" s="124" t="n">
        <f aca="false">DATA_RECEIPTS!$D72-DATA_RECEIPTS!$E72</f>
        <v>0</v>
      </c>
    </row>
    <row r="73" customFormat="false" ht="14.25" hidden="false" customHeight="true" outlineLevel="0" collapsed="false">
      <c r="A73" s="133"/>
      <c r="B73" s="133"/>
      <c r="D73" s="127" t="n">
        <v>0</v>
      </c>
      <c r="E73" s="124" t="n">
        <v>0</v>
      </c>
      <c r="F73" s="124" t="n">
        <f aca="false">DATA_RECEIPTS!$D73-DATA_RECEIPTS!$E73</f>
        <v>0</v>
      </c>
    </row>
    <row r="74" customFormat="false" ht="14.25" hidden="false" customHeight="true" outlineLevel="0" collapsed="false">
      <c r="A74" s="133"/>
      <c r="B74" s="133"/>
      <c r="D74" s="127"/>
      <c r="E74" s="124" t="n">
        <v>0</v>
      </c>
      <c r="F74" s="124" t="n">
        <f aca="false">DATA_RECEIPTS!$D74-DATA_RECEIPTS!$E74</f>
        <v>0</v>
      </c>
    </row>
    <row r="75" customFormat="false" ht="14.25" hidden="false" customHeight="true" outlineLevel="0" collapsed="false">
      <c r="A75" s="133"/>
      <c r="B75" s="133"/>
      <c r="D75" s="127"/>
      <c r="E75" s="124" t="n">
        <v>0</v>
      </c>
      <c r="F75" s="124" t="n">
        <f aca="false">DATA_RECEIPTS!$D75-DATA_RECEIPTS!$E75</f>
        <v>0</v>
      </c>
    </row>
    <row r="77" customFormat="false" ht="14.25" hidden="false" customHeight="true" outlineLevel="0" collapsed="false">
      <c r="C77" s="134" t="s">
        <v>27</v>
      </c>
      <c r="D77" s="135" t="n">
        <f aca="false">SUM(D6:D75)</f>
        <v>31500</v>
      </c>
      <c r="E77" s="135" t="n">
        <f aca="false">SUM(E6:E75)</f>
        <v>17375</v>
      </c>
      <c r="F77" s="135" t="n">
        <f aca="false">SUM(F6:F75)</f>
        <v>14025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1" sqref="A1:L7 C10"/>
    </sheetView>
  </sheetViews>
  <sheetFormatPr defaultColWidth="8.6796875" defaultRowHeight="12.8" zeroHeight="false" outlineLevelRow="0" outlineLevelCol="0"/>
  <cols>
    <col collapsed="false" customWidth="true" hidden="false" outlineLevel="0" max="1" min="1" style="0" width="22.45"/>
    <col collapsed="false" customWidth="true" hidden="false" outlineLevel="0" max="2" min="2" style="0" width="25.45"/>
    <col collapsed="false" customWidth="true" hidden="false" outlineLevel="0" max="3" min="3" style="0" width="25.18"/>
    <col collapsed="false" customWidth="true" hidden="false" outlineLevel="0" max="4" min="4" style="0" width="21.82"/>
    <col collapsed="false" customWidth="true" hidden="false" outlineLevel="0" max="5" min="5" style="0" width="26"/>
    <col collapsed="false" customWidth="true" hidden="false" outlineLevel="0" max="6" min="6" style="0" width="22.54"/>
    <col collapsed="false" customWidth="true" hidden="false" outlineLevel="0" max="7" min="7" style="0" width="29.18"/>
    <col collapsed="false" customWidth="true" hidden="false" outlineLevel="0" max="8" min="8" style="0" width="27.73"/>
    <col collapsed="false" customWidth="true" hidden="false" outlineLevel="0" max="9" min="9" style="0" width="25.82"/>
    <col collapsed="false" customWidth="true" hidden="false" outlineLevel="0" max="10" min="10" style="0" width="27"/>
  </cols>
  <sheetData>
    <row r="1" customFormat="false" ht="21" hidden="false" customHeight="true" outlineLevel="0" collapsed="false">
      <c r="A1" s="136" t="s">
        <v>1744</v>
      </c>
      <c r="B1" s="136"/>
      <c r="C1" s="136"/>
      <c r="D1" s="136"/>
      <c r="E1" s="136"/>
      <c r="F1" s="136"/>
      <c r="G1" s="136"/>
      <c r="H1" s="136"/>
      <c r="I1" s="136"/>
      <c r="J1" s="136"/>
    </row>
    <row r="2" customFormat="false" ht="12.8" hidden="false" customHeight="false" outlineLevel="0" collapsed="false">
      <c r="A2" s="137" t="s">
        <v>1745</v>
      </c>
      <c r="B2" s="137"/>
      <c r="C2" s="137"/>
      <c r="D2" s="137"/>
      <c r="E2" s="137"/>
      <c r="F2" s="137"/>
      <c r="G2" s="137"/>
      <c r="H2" s="137"/>
      <c r="I2" s="137"/>
      <c r="J2" s="137"/>
    </row>
    <row r="3" customFormat="false" ht="13.8" hidden="false" customHeight="false" outlineLevel="0" collapsed="false"/>
    <row r="4" customFormat="false" ht="13.8" hidden="false" customHeight="false" outlineLevel="0" collapsed="false">
      <c r="A4" s="138" t="str">
        <f aca="false">HYPERLINK("#'HOME'!A1","HOME")</f>
        <v>HOME</v>
      </c>
      <c r="B4" s="138" t="str">
        <f aca="false">HYPERLINK("#'FINANCE'!A1","FINANCE")</f>
        <v>FINANCE</v>
      </c>
      <c r="C4" s="138" t="str">
        <f aca="false">HYPERLINK("#'REPORTS'!A1","REPORTS")</f>
        <v>REPORTS</v>
      </c>
      <c r="D4" s="138" t="str">
        <f aca="false">HYPERLINK("#'PRODUCTION'!A1","PRODUCTION")</f>
        <v>PRODUCTION</v>
      </c>
      <c r="E4" s="138" t="str">
        <f aca="false">HYPERLINK("#'SORGHUM BUDGET'!A1","SORGHUM BUDGET")</f>
        <v>SORGHUM BUDGET</v>
      </c>
      <c r="F4" s="138" t="str">
        <f aca="false">HYPERLINK("#'MAIZE BUDGET'!A1","MAIZE BUDGET")</f>
        <v>MAIZE BUDGET</v>
      </c>
    </row>
    <row r="5" customFormat="false" ht="13.8" hidden="false" customHeight="false" outlineLevel="0" collapsed="false"/>
    <row r="6" s="120" customFormat="true" ht="30.75" hidden="false" customHeight="true" outlineLevel="0" collapsed="false">
      <c r="A6" s="139" t="s">
        <v>1746</v>
      </c>
      <c r="B6" s="140" t="s">
        <v>1747</v>
      </c>
      <c r="C6" s="140" t="s">
        <v>1748</v>
      </c>
      <c r="D6" s="140" t="s">
        <v>1749</v>
      </c>
      <c r="E6" s="140" t="s">
        <v>1750</v>
      </c>
      <c r="F6" s="140" t="s">
        <v>1751</v>
      </c>
      <c r="G6" s="140" t="s">
        <v>1752</v>
      </c>
      <c r="H6" s="140" t="s">
        <v>1753</v>
      </c>
      <c r="I6" s="140" t="s">
        <v>1754</v>
      </c>
      <c r="J6" s="141" t="s">
        <v>1755</v>
      </c>
    </row>
    <row r="7" customFormat="false" ht="13.8" hidden="false" customHeight="false" outlineLevel="0" collapsed="false">
      <c r="A7" s="142" t="s">
        <v>1756</v>
      </c>
      <c r="B7" s="142" t="s">
        <v>1757</v>
      </c>
      <c r="C7" s="142" t="s">
        <v>1758</v>
      </c>
      <c r="D7" s="143" t="n">
        <v>46265</v>
      </c>
      <c r="E7" s="142" t="n">
        <v>390</v>
      </c>
      <c r="F7" s="142" t="n">
        <v>80</v>
      </c>
      <c r="G7" s="142" t="n">
        <v>2</v>
      </c>
      <c r="H7" s="144" t="n">
        <f aca="false">IF(OR(E7="",F7="",G7=""),"",MAX(0,(E7-F7)/G7))</f>
        <v>155</v>
      </c>
      <c r="I7" s="144" t="n">
        <f aca="false">IF(OR(H7="",D7=""),"",MIN(E7-F7,H7*MAX(0,YEARFRAC(D7,DATE(2027,8,31)))))</f>
        <v>155</v>
      </c>
      <c r="J7" s="145" t="n">
        <f aca="false">IF(E7="","",MAX(F7,E7-IF(I7="",0,I7)))</f>
        <v>235</v>
      </c>
    </row>
    <row r="8" customFormat="false" ht="13.8" hidden="false" customHeight="false" outlineLevel="0" collapsed="false">
      <c r="A8" s="146" t="s">
        <v>1759</v>
      </c>
      <c r="B8" s="146" t="s">
        <v>1760</v>
      </c>
      <c r="C8" s="146" t="s">
        <v>1761</v>
      </c>
      <c r="D8" s="147" t="n">
        <v>46265</v>
      </c>
      <c r="E8" s="146" t="n">
        <v>380</v>
      </c>
      <c r="F8" s="146" t="n">
        <v>16</v>
      </c>
      <c r="G8" s="146" t="n">
        <v>1</v>
      </c>
      <c r="H8" s="144" t="n">
        <f aca="false">IF(OR(E8="",F8="",G8=""),"",MAX(0,(E8-F8)/G8))</f>
        <v>364</v>
      </c>
      <c r="I8" s="144" t="n">
        <f aca="false">IF(OR(H8="",D8=""),"",MIN(E8-F8,H8*MAX(0,YEARFRAC(D8,DATE(2027,8,31)))))</f>
        <v>364</v>
      </c>
      <c r="J8" s="145" t="n">
        <f aca="false">IF(E8="","",MAX(F8,E8-IF(I8="",0,I8)))</f>
        <v>16</v>
      </c>
    </row>
    <row r="9" customFormat="false" ht="13.8" hidden="false" customHeight="false" outlineLevel="0" collapsed="false">
      <c r="A9" s="148"/>
      <c r="B9" s="149"/>
      <c r="C9" s="149"/>
      <c r="D9" s="150"/>
      <c r="E9" s="144"/>
      <c r="F9" s="144"/>
      <c r="G9" s="151"/>
      <c r="H9" s="144" t="str">
        <f aca="false">IF(OR(E9="",F9="",G9=""),"",MAX(0,(E9-F9)/G9))</f>
        <v/>
      </c>
      <c r="I9" s="144" t="str">
        <f aca="false">IF(OR(H9="",D9=""),"",MIN(E9-F9,H9*MAX(0,YEARFRAC(D9,DATE(2027,8,31)))))</f>
        <v/>
      </c>
      <c r="J9" s="145" t="str">
        <f aca="false">IF(E9="","",MAX(F9,E9-IF(I9="",0,I9)))</f>
        <v/>
      </c>
    </row>
    <row r="10" customFormat="false" ht="13.8" hidden="false" customHeight="false" outlineLevel="0" collapsed="false">
      <c r="A10" s="148"/>
      <c r="B10" s="149"/>
      <c r="C10" s="149"/>
      <c r="D10" s="150"/>
      <c r="E10" s="144"/>
      <c r="F10" s="144"/>
      <c r="G10" s="151"/>
      <c r="H10" s="144" t="str">
        <f aca="false">IF(OR(E10="",F10="",G10=""),"",MAX(0,(E10-F10)/G10))</f>
        <v/>
      </c>
      <c r="I10" s="144" t="str">
        <f aca="false">IF(OR(H10="",D10=""),"",MIN(E10-F10,H10*MAX(0,YEARFRAC(D10,DATE(2027,8,31)))))</f>
        <v/>
      </c>
      <c r="J10" s="145" t="str">
        <f aca="false">IF(E10="","",MAX(F10,E10-IF(I10="",0,I10)))</f>
        <v/>
      </c>
    </row>
    <row r="11" customFormat="false" ht="13.8" hidden="false" customHeight="false" outlineLevel="0" collapsed="false">
      <c r="A11" s="148"/>
      <c r="B11" s="149"/>
      <c r="C11" s="149"/>
      <c r="D11" s="150"/>
      <c r="E11" s="144"/>
      <c r="F11" s="144"/>
      <c r="G11" s="151"/>
      <c r="H11" s="144" t="str">
        <f aca="false">IF(OR(E11="",F11="",G11=""),"",MAX(0,(E11-F11)/G11))</f>
        <v/>
      </c>
      <c r="I11" s="144" t="str">
        <f aca="false">IF(OR(H11="",D11=""),"",MIN(E11-F11,H11*MAX(0,YEARFRAC(D11,DATE(2027,8,31)))))</f>
        <v/>
      </c>
      <c r="J11" s="145" t="str">
        <f aca="false">IF(E11="","",MAX(F11,E11-IF(I11="",0,I11)))</f>
        <v/>
      </c>
    </row>
    <row r="12" customFormat="false" ht="13.8" hidden="false" customHeight="false" outlineLevel="0" collapsed="false">
      <c r="A12" s="148"/>
      <c r="B12" s="149"/>
      <c r="C12" s="149"/>
      <c r="D12" s="150"/>
      <c r="E12" s="144"/>
      <c r="F12" s="144"/>
      <c r="G12" s="151"/>
      <c r="H12" s="144" t="str">
        <f aca="false">IF(OR(E12="",F12="",G12=""),"",MAX(0,(E12-F12)/G12))</f>
        <v/>
      </c>
      <c r="I12" s="144" t="str">
        <f aca="false">IF(OR(H12="",D12=""),"",MIN(E12-F12,H12*MAX(0,YEARFRAC(D12,DATE(2027,8,31)))))</f>
        <v/>
      </c>
      <c r="J12" s="145" t="str">
        <f aca="false">IF(E12="","",MAX(F12,E12-IF(I12="",0,I12)))</f>
        <v/>
      </c>
    </row>
    <row r="13" customFormat="false" ht="13.8" hidden="false" customHeight="false" outlineLevel="0" collapsed="false">
      <c r="A13" s="148"/>
      <c r="B13" s="149"/>
      <c r="C13" s="149"/>
      <c r="D13" s="150"/>
      <c r="E13" s="144"/>
      <c r="F13" s="144"/>
      <c r="G13" s="151"/>
      <c r="H13" s="144" t="str">
        <f aca="false">IF(OR(E13="",F13="",G13=""),"",MAX(0,(E13-F13)/G13))</f>
        <v/>
      </c>
      <c r="I13" s="144" t="str">
        <f aca="false">IF(OR(H13="",D13=""),"",MIN(E13-F13,H13*MAX(0,YEARFRAC(D13,DATE(2027,8,31)))))</f>
        <v/>
      </c>
      <c r="J13" s="145" t="str">
        <f aca="false">IF(E13="","",MAX(F13,E13-IF(I13="",0,I13)))</f>
        <v/>
      </c>
    </row>
    <row r="14" customFormat="false" ht="13.8" hidden="false" customHeight="false" outlineLevel="0" collapsed="false">
      <c r="A14" s="148"/>
      <c r="B14" s="149"/>
      <c r="C14" s="149"/>
      <c r="D14" s="150"/>
      <c r="E14" s="144"/>
      <c r="F14" s="144"/>
      <c r="G14" s="151"/>
      <c r="H14" s="144" t="str">
        <f aca="false">IF(OR(E14="",F14="",G14=""),"",MAX(0,(E14-F14)/G14))</f>
        <v/>
      </c>
      <c r="I14" s="144" t="str">
        <f aca="false">IF(OR(H14="",D14=""),"",MIN(E14-F14,H14*MAX(0,YEARFRAC(D14,DATE(2027,8,31)))))</f>
        <v/>
      </c>
      <c r="J14" s="145" t="str">
        <f aca="false">IF(E14="","",MAX(F14,E14-IF(I14="",0,I14)))</f>
        <v/>
      </c>
    </row>
    <row r="15" customFormat="false" ht="13.8" hidden="false" customHeight="false" outlineLevel="0" collapsed="false">
      <c r="A15" s="148"/>
      <c r="B15" s="149"/>
      <c r="C15" s="149"/>
      <c r="D15" s="150"/>
      <c r="E15" s="144"/>
      <c r="F15" s="144"/>
      <c r="G15" s="151"/>
      <c r="H15" s="144" t="str">
        <f aca="false">IF(OR(E15="",F15="",G15=""),"",MAX(0,(E15-F15)/G15))</f>
        <v/>
      </c>
      <c r="I15" s="144" t="str">
        <f aca="false">IF(OR(H15="",D15=""),"",MIN(E15-F15,H15*MAX(0,YEARFRAC(D15,DATE(2027,8,31)))))</f>
        <v/>
      </c>
      <c r="J15" s="145" t="str">
        <f aca="false">IF(E15="","",MAX(F15,E15-IF(I15="",0,I15)))</f>
        <v/>
      </c>
    </row>
    <row r="16" customFormat="false" ht="13.8" hidden="false" customHeight="false" outlineLevel="0" collapsed="false">
      <c r="A16" s="148"/>
      <c r="B16" s="149"/>
      <c r="C16" s="149"/>
      <c r="D16" s="150"/>
      <c r="E16" s="144"/>
      <c r="F16" s="144"/>
      <c r="G16" s="151"/>
      <c r="H16" s="144" t="str">
        <f aca="false">IF(OR(E16="",F16="",G16=""),"",MAX(0,(E16-F16)/G16))</f>
        <v/>
      </c>
      <c r="I16" s="144" t="str">
        <f aca="false">IF(OR(H16="",D16=""),"",MIN(E16-F16,H16*MAX(0,YEARFRAC(D16,DATE(2027,8,31)))))</f>
        <v/>
      </c>
      <c r="J16" s="145" t="str">
        <f aca="false">IF(E16="","",MAX(F16,E16-IF(I16="",0,I16)))</f>
        <v/>
      </c>
    </row>
    <row r="17" customFormat="false" ht="13.8" hidden="false" customHeight="false" outlineLevel="0" collapsed="false">
      <c r="A17" s="148"/>
      <c r="B17" s="149"/>
      <c r="C17" s="149"/>
      <c r="D17" s="150"/>
      <c r="E17" s="144"/>
      <c r="F17" s="144"/>
      <c r="G17" s="151"/>
      <c r="H17" s="144" t="str">
        <f aca="false">IF(OR(E17="",F17="",G17=""),"",MAX(0,(E17-F17)/G17))</f>
        <v/>
      </c>
      <c r="I17" s="144" t="str">
        <f aca="false">IF(OR(H17="",D17=""),"",MIN(E17-F17,H17*MAX(0,YEARFRAC(D17,DATE(2027,8,31)))))</f>
        <v/>
      </c>
      <c r="J17" s="145" t="str">
        <f aca="false">IF(E17="","",MAX(F17,E17-IF(I17="",0,I17)))</f>
        <v/>
      </c>
    </row>
    <row r="18" customFormat="false" ht="13.8" hidden="false" customHeight="false" outlineLevel="0" collapsed="false">
      <c r="A18" s="148"/>
      <c r="B18" s="149"/>
      <c r="C18" s="149"/>
      <c r="D18" s="150"/>
      <c r="E18" s="144"/>
      <c r="F18" s="144"/>
      <c r="G18" s="151"/>
      <c r="H18" s="144" t="str">
        <f aca="false">IF(OR(E18="",F18="",G18=""),"",MAX(0,(E18-F18)/G18))</f>
        <v/>
      </c>
      <c r="I18" s="144" t="str">
        <f aca="false">IF(OR(H18="",D18=""),"",MIN(E18-F18,H18*MAX(0,YEARFRAC(D18,DATE(2027,8,31)))))</f>
        <v/>
      </c>
      <c r="J18" s="145" t="str">
        <f aca="false">IF(E18="","",MAX(F18,E18-IF(I18="",0,I18)))</f>
        <v/>
      </c>
    </row>
    <row r="19" customFormat="false" ht="13.8" hidden="false" customHeight="false" outlineLevel="0" collapsed="false">
      <c r="A19" s="148"/>
      <c r="B19" s="149"/>
      <c r="C19" s="149"/>
      <c r="D19" s="150"/>
      <c r="E19" s="144"/>
      <c r="F19" s="144"/>
      <c r="G19" s="151"/>
      <c r="H19" s="144" t="str">
        <f aca="false">IF(OR(E19="",F19="",G19=""),"",MAX(0,(E19-F19)/G19))</f>
        <v/>
      </c>
      <c r="I19" s="144" t="str">
        <f aca="false">IF(OR(H19="",D19=""),"",MIN(E19-F19,H19*MAX(0,YEARFRAC(D19,DATE(2027,8,31)))))</f>
        <v/>
      </c>
      <c r="J19" s="145" t="str">
        <f aca="false">IF(E19="","",MAX(F19,E19-IF(I19="",0,I19)))</f>
        <v/>
      </c>
    </row>
    <row r="20" customFormat="false" ht="13.8" hidden="false" customHeight="false" outlineLevel="0" collapsed="false">
      <c r="A20" s="148"/>
      <c r="B20" s="149"/>
      <c r="C20" s="149"/>
      <c r="D20" s="150"/>
      <c r="E20" s="144"/>
      <c r="F20" s="144"/>
      <c r="G20" s="151"/>
      <c r="H20" s="144" t="str">
        <f aca="false">IF(OR(E20="",F20="",G20=""),"",MAX(0,(E20-F20)/G20))</f>
        <v/>
      </c>
      <c r="I20" s="144" t="str">
        <f aca="false">IF(OR(H20="",D20=""),"",MIN(E20-F20,H20*MAX(0,YEARFRAC(D20,DATE(2027,8,31)))))</f>
        <v/>
      </c>
      <c r="J20" s="145" t="str">
        <f aca="false">IF(E20="","",MAX(F20,E20-IF(I20="",0,I20)))</f>
        <v/>
      </c>
    </row>
    <row r="21" customFormat="false" ht="13.8" hidden="false" customHeight="false" outlineLevel="0" collapsed="false">
      <c r="A21" s="148"/>
      <c r="B21" s="149"/>
      <c r="C21" s="149"/>
      <c r="D21" s="150"/>
      <c r="E21" s="144"/>
      <c r="F21" s="144"/>
      <c r="G21" s="151"/>
      <c r="H21" s="144" t="str">
        <f aca="false">IF(OR(E21="",F21="",G21=""),"",MAX(0,(E21-F21)/G21))</f>
        <v/>
      </c>
      <c r="I21" s="144" t="str">
        <f aca="false">IF(OR(H21="",D21=""),"",MIN(E21-F21,H21*MAX(0,YEARFRAC(D21,DATE(2027,8,31)))))</f>
        <v/>
      </c>
      <c r="J21" s="145" t="str">
        <f aca="false">IF(E21="","",MAX(F21,E21-IF(I21="",0,I21)))</f>
        <v/>
      </c>
    </row>
    <row r="22" customFormat="false" ht="13.8" hidden="false" customHeight="false" outlineLevel="0" collapsed="false">
      <c r="A22" s="148"/>
      <c r="B22" s="149"/>
      <c r="C22" s="149"/>
      <c r="D22" s="150"/>
      <c r="E22" s="144"/>
      <c r="F22" s="144"/>
      <c r="G22" s="151"/>
      <c r="H22" s="144" t="str">
        <f aca="false">IF(OR(E22="",F22="",G22=""),"",MAX(0,(E22-F22)/G22))</f>
        <v/>
      </c>
      <c r="I22" s="144" t="str">
        <f aca="false">IF(OR(H22="",D22=""),"",MIN(E22-F22,H22*MAX(0,YEARFRAC(D22,DATE(2027,8,31)))))</f>
        <v/>
      </c>
      <c r="J22" s="145" t="str">
        <f aca="false">IF(E22="","",MAX(F22,E22-IF(I22="",0,I22)))</f>
        <v/>
      </c>
    </row>
    <row r="23" customFormat="false" ht="13.8" hidden="false" customHeight="false" outlineLevel="0" collapsed="false">
      <c r="A23" s="148"/>
      <c r="B23" s="149"/>
      <c r="C23" s="149"/>
      <c r="D23" s="150"/>
      <c r="E23" s="144"/>
      <c r="F23" s="144"/>
      <c r="G23" s="151"/>
      <c r="H23" s="144" t="str">
        <f aca="false">IF(OR(E23="",F23="",G23=""),"",MAX(0,(E23-F23)/G23))</f>
        <v/>
      </c>
      <c r="I23" s="144" t="str">
        <f aca="false">IF(OR(H23="",D23=""),"",MIN(E23-F23,H23*MAX(0,YEARFRAC(D23,DATE(2027,8,31)))))</f>
        <v/>
      </c>
      <c r="J23" s="145" t="str">
        <f aca="false">IF(E23="","",MAX(F23,E23-IF(I23="",0,I23)))</f>
        <v/>
      </c>
    </row>
    <row r="24" customFormat="false" ht="13.8" hidden="false" customHeight="false" outlineLevel="0" collapsed="false">
      <c r="A24" s="148"/>
      <c r="B24" s="149"/>
      <c r="C24" s="149"/>
      <c r="D24" s="150"/>
      <c r="E24" s="144"/>
      <c r="F24" s="144"/>
      <c r="G24" s="151"/>
      <c r="H24" s="144" t="str">
        <f aca="false">IF(OR(E24="",F24="",G24=""),"",MAX(0,(E24-F24)/G24))</f>
        <v/>
      </c>
      <c r="I24" s="144" t="str">
        <f aca="false">IF(OR(H24="",D24=""),"",MIN(E24-F24,H24*MAX(0,YEARFRAC(D24,DATE(2027,8,31)))))</f>
        <v/>
      </c>
      <c r="J24" s="145" t="str">
        <f aca="false">IF(E24="","",MAX(F24,E24-IF(I24="",0,I24)))</f>
        <v/>
      </c>
    </row>
    <row r="25" customFormat="false" ht="13.8" hidden="false" customHeight="false" outlineLevel="0" collapsed="false">
      <c r="A25" s="148"/>
      <c r="B25" s="149"/>
      <c r="C25" s="149"/>
      <c r="D25" s="150"/>
      <c r="E25" s="144"/>
      <c r="F25" s="144"/>
      <c r="G25" s="151"/>
      <c r="H25" s="144" t="str">
        <f aca="false">IF(OR(E25="",F25="",G25=""),"",MAX(0,(E25-F25)/G25))</f>
        <v/>
      </c>
      <c r="I25" s="144" t="str">
        <f aca="false">IF(OR(H25="",D25=""),"",MIN(E25-F25,H25*MAX(0,YEARFRAC(D25,DATE(2027,8,31)))))</f>
        <v/>
      </c>
      <c r="J25" s="145" t="str">
        <f aca="false">IF(E25="","",MAX(F25,E25-IF(I25="",0,I25)))</f>
        <v/>
      </c>
    </row>
    <row r="26" customFormat="false" ht="13.8" hidden="false" customHeight="false" outlineLevel="0" collapsed="false">
      <c r="A26" s="152"/>
      <c r="B26" s="153"/>
      <c r="C26" s="153"/>
      <c r="D26" s="154"/>
      <c r="E26" s="155"/>
      <c r="F26" s="155"/>
      <c r="G26" s="156"/>
      <c r="H26" s="155" t="str">
        <f aca="false">IF(OR(E26="",F26="",G26=""),"",MAX(0,(E26-F26)/G26))</f>
        <v/>
      </c>
      <c r="I26" s="155" t="str">
        <f aca="false">IF(OR(H26="",D26=""),"",MIN(E26-F26,H26*MAX(0,YEARFRAC(D26,DATE(2027,8,31)))))</f>
        <v/>
      </c>
      <c r="J26" s="157" t="str">
        <f aca="false">IF(E26="","",MAX(F26,E26-IF(I26="",0,I26)))</f>
        <v/>
      </c>
    </row>
    <row r="27" customFormat="false" ht="13.8" hidden="false" customHeight="false" outlineLevel="0" collapsed="false">
      <c r="A27" s="158"/>
      <c r="B27" s="159" t="s">
        <v>1762</v>
      </c>
      <c r="C27" s="158"/>
      <c r="D27" s="158"/>
      <c r="E27" s="160" t="n">
        <f aca="false">SUM(E7:E26)</f>
        <v>770</v>
      </c>
      <c r="F27" s="160" t="n">
        <f aca="false">SUM(F7:F26)</f>
        <v>96</v>
      </c>
      <c r="G27" s="158"/>
      <c r="H27" s="160" t="n">
        <f aca="false">SUM(H7:H26)</f>
        <v>519</v>
      </c>
      <c r="I27" s="160" t="n">
        <f aca="false">SUM(I7:I26)</f>
        <v>519</v>
      </c>
      <c r="J27" s="160" t="n">
        <f aca="false">SUM(J7:J26)</f>
        <v>251</v>
      </c>
    </row>
    <row r="28" customFormat="false" ht="13.8" hidden="false" customHeight="false" outlineLevel="0" collapsed="false"/>
    <row r="29" customFormat="false" ht="13.8" hidden="false" customHeight="false" outlineLevel="0" collapsed="false">
      <c r="A29" s="161" t="s">
        <v>1763</v>
      </c>
      <c r="B29" s="162" t="s">
        <v>1764</v>
      </c>
    </row>
    <row r="30" customFormat="false" ht="13.8" hidden="false" customHeight="false" outlineLevel="0" collapsed="false">
      <c r="A30" s="161" t="s">
        <v>1765</v>
      </c>
      <c r="B30" s="162" t="s">
        <v>1766</v>
      </c>
    </row>
    <row r="31" customFormat="false" ht="13.8" hidden="false" customHeight="false" outlineLevel="0" collapsed="false">
      <c r="A31" s="161" t="s">
        <v>1767</v>
      </c>
      <c r="B31" s="162" t="s">
        <v>1768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41" activeCellId="1" sqref="A1:L7 A41"/>
    </sheetView>
  </sheetViews>
  <sheetFormatPr defaultColWidth="8.6796875" defaultRowHeight="12.8" zeroHeight="false" outlineLevelRow="0" outlineLevelCol="0"/>
  <cols>
    <col collapsed="false" customWidth="true" hidden="false" outlineLevel="0" max="1" min="1" style="0" width="32.18"/>
    <col collapsed="false" customWidth="true" hidden="false" outlineLevel="0" max="2" min="2" style="0" width="26.27"/>
    <col collapsed="false" customWidth="true" hidden="false" outlineLevel="0" max="3" min="3" style="0" width="21"/>
    <col collapsed="false" customWidth="true" hidden="false" outlineLevel="0" max="4" min="4" style="0" width="14.73"/>
    <col collapsed="false" customWidth="true" hidden="false" outlineLevel="0" max="5" min="5" style="0" width="19"/>
    <col collapsed="false" customWidth="true" hidden="false" outlineLevel="0" max="6" min="6" style="0" width="25.73"/>
    <col collapsed="false" customWidth="true" hidden="false" outlineLevel="0" max="7" min="7" style="0" width="20.45"/>
    <col collapsed="false" customWidth="true" hidden="false" outlineLevel="0" max="8" min="8" style="0" width="20.82"/>
    <col collapsed="false" customWidth="true" hidden="false" outlineLevel="0" max="9" min="9" style="0" width="25.27"/>
    <col collapsed="false" customWidth="true" hidden="false" outlineLevel="0" max="10" min="10" style="0" width="14.54"/>
    <col collapsed="false" customWidth="true" hidden="false" outlineLevel="0" max="11" min="11" style="0" width="18.45"/>
  </cols>
  <sheetData>
    <row r="1" customFormat="false" ht="21.75" hidden="false" customHeight="true" outlineLevel="0" collapsed="false">
      <c r="A1" s="163" t="s">
        <v>1769</v>
      </c>
      <c r="B1" s="163"/>
      <c r="C1" s="163"/>
      <c r="D1" s="163"/>
      <c r="E1" s="163"/>
      <c r="F1" s="163"/>
      <c r="G1" s="163"/>
      <c r="H1" s="163"/>
      <c r="I1" s="163"/>
      <c r="J1" s="163"/>
      <c r="K1" s="164"/>
    </row>
    <row r="2" customFormat="false" ht="13.8" hidden="false" customHeight="false" outlineLevel="0" collapsed="false">
      <c r="A2" s="165" t="s">
        <v>1770</v>
      </c>
      <c r="B2" s="165"/>
      <c r="C2" s="165"/>
      <c r="D2" s="165"/>
      <c r="E2" s="165"/>
      <c r="F2" s="165"/>
      <c r="G2" s="165"/>
      <c r="H2" s="165"/>
      <c r="I2" s="165"/>
      <c r="J2" s="165"/>
      <c r="K2" s="164"/>
    </row>
    <row r="3" customFormat="false" ht="13.8" hidden="false" customHeight="false" outlineLevel="0" collapsed="false">
      <c r="A3" s="166" t="s">
        <v>1771</v>
      </c>
      <c r="B3" s="166" t="s">
        <v>1772</v>
      </c>
      <c r="C3" s="166" t="s">
        <v>1773</v>
      </c>
      <c r="D3" s="166" t="s">
        <v>142</v>
      </c>
      <c r="E3" s="166" t="s">
        <v>1774</v>
      </c>
      <c r="F3" s="166" t="s">
        <v>1775</v>
      </c>
      <c r="G3" s="166" t="s">
        <v>1776</v>
      </c>
      <c r="H3" s="166" t="s">
        <v>1777</v>
      </c>
      <c r="I3" s="164"/>
      <c r="J3" s="164"/>
      <c r="K3" s="164"/>
    </row>
    <row r="4" customFormat="false" ht="13.8" hidden="false" customHeight="false" outlineLevel="0" collapsed="false">
      <c r="A4" s="164"/>
      <c r="B4" s="164"/>
      <c r="C4" s="164"/>
      <c r="D4" s="164"/>
      <c r="E4" s="164"/>
      <c r="F4" s="164"/>
      <c r="G4" s="164"/>
      <c r="H4" s="164"/>
      <c r="I4" s="164"/>
      <c r="J4" s="164"/>
      <c r="K4" s="164"/>
    </row>
    <row r="5" customFormat="false" ht="13.8" hidden="false" customHeight="false" outlineLevel="0" collapsed="false">
      <c r="A5" s="166" t="s">
        <v>1778</v>
      </c>
      <c r="B5" s="166"/>
      <c r="C5" s="167" t="s">
        <v>1779</v>
      </c>
      <c r="D5" s="168"/>
      <c r="E5" s="169" t="s">
        <v>1780</v>
      </c>
      <c r="F5" s="169"/>
    </row>
    <row r="6" customFormat="false" ht="29.25" hidden="false" customHeight="true" outlineLevel="0" collapsed="false">
      <c r="A6" s="170" t="n">
        <v>429</v>
      </c>
      <c r="B6" s="170"/>
      <c r="C6" s="171" t="n">
        <v>567</v>
      </c>
      <c r="D6" s="172"/>
      <c r="E6" s="173" t="n">
        <f aca="false">(C6-A6)/A6</f>
        <v>0.321678321678322</v>
      </c>
      <c r="F6" s="173"/>
    </row>
    <row r="7" customFormat="false" ht="13.8" hidden="false" customHeight="false" outlineLevel="0" collapsed="false">
      <c r="A7" s="164"/>
      <c r="B7" s="164"/>
      <c r="C7" s="164"/>
      <c r="D7" s="164"/>
      <c r="F7" s="164"/>
    </row>
    <row r="8" customFormat="false" ht="13.8" hidden="false" customHeight="false" outlineLevel="0" collapsed="false">
      <c r="A8" s="164"/>
      <c r="B8" s="164"/>
      <c r="C8" s="164"/>
      <c r="D8" s="164"/>
      <c r="F8" s="164"/>
    </row>
    <row r="9" customFormat="false" ht="13.8" hidden="false" customHeight="false" outlineLevel="0" collapsed="false">
      <c r="A9" s="166" t="s">
        <v>1781</v>
      </c>
      <c r="B9" s="166"/>
      <c r="C9" s="167" t="s">
        <v>1782</v>
      </c>
      <c r="D9" s="168"/>
      <c r="E9" s="174" t="s">
        <v>1783</v>
      </c>
      <c r="F9" s="174"/>
    </row>
    <row r="10" customFormat="false" ht="27.75" hidden="false" customHeight="true" outlineLevel="0" collapsed="false">
      <c r="A10" s="175" t="n">
        <v>16492</v>
      </c>
      <c r="B10" s="175"/>
      <c r="C10" s="176" t="n">
        <v>20526</v>
      </c>
      <c r="D10" s="172"/>
      <c r="E10" s="173" t="n">
        <f aca="false">(C10-A10)/A10</f>
        <v>0.244603444094106</v>
      </c>
      <c r="F10" s="173"/>
    </row>
    <row r="11" customFormat="false" ht="13.8" hidden="false" customHeight="false" outlineLevel="0" collapsed="false">
      <c r="A11" s="164"/>
      <c r="B11" s="164"/>
      <c r="C11" s="164"/>
      <c r="D11" s="164"/>
      <c r="E11" s="164"/>
      <c r="F11" s="164"/>
    </row>
    <row r="12" customFormat="false" ht="13.8" hidden="false" customHeight="false" outlineLevel="0" collapsed="false">
      <c r="A12" s="166" t="s">
        <v>1784</v>
      </c>
      <c r="B12" s="166"/>
      <c r="C12" s="166" t="s">
        <v>1785</v>
      </c>
      <c r="D12" s="166"/>
      <c r="E12" s="174" t="s">
        <v>1783</v>
      </c>
      <c r="F12" s="174"/>
    </row>
    <row r="13" customFormat="false" ht="24" hidden="false" customHeight="true" outlineLevel="0" collapsed="false">
      <c r="A13" s="175" t="n">
        <v>7144</v>
      </c>
      <c r="B13" s="175"/>
      <c r="C13" s="175" t="n">
        <v>7144</v>
      </c>
      <c r="D13" s="175"/>
      <c r="E13" s="173" t="n">
        <f aca="false">(C13-A13)/A13</f>
        <v>0</v>
      </c>
      <c r="F13" s="173"/>
    </row>
    <row r="14" customFormat="false" ht="27.75" hidden="false" customHeight="true" outlineLevel="0" collapsed="false">
      <c r="C14" s="164"/>
      <c r="F14" s="164"/>
    </row>
    <row r="15" customFormat="false" ht="13.8" hidden="false" customHeight="false" outlineLevel="0" collapsed="false">
      <c r="A15" s="164"/>
      <c r="B15" s="164"/>
      <c r="C15" s="164"/>
      <c r="D15" s="164"/>
      <c r="E15" s="164"/>
      <c r="F15" s="164"/>
      <c r="G15" s="164"/>
      <c r="H15" s="164"/>
      <c r="I15" s="164"/>
      <c r="J15" s="164"/>
      <c r="K15" s="164"/>
      <c r="L15" s="164"/>
      <c r="M15" s="164"/>
      <c r="N15" s="164"/>
    </row>
    <row r="16" customFormat="false" ht="13.8" hidden="false" customHeight="false" outlineLevel="0" collapsed="false">
      <c r="H16" s="164"/>
      <c r="I16" s="164"/>
      <c r="J16" s="164"/>
      <c r="K16" s="164"/>
      <c r="L16" s="164"/>
      <c r="M16" s="164"/>
      <c r="N16" s="164"/>
    </row>
    <row r="17" customFormat="false" ht="13.8" hidden="false" customHeight="false" outlineLevel="0" collapsed="false">
      <c r="H17" s="164"/>
      <c r="I17" s="164"/>
      <c r="J17" s="164"/>
      <c r="K17" s="164"/>
      <c r="L17" s="164"/>
      <c r="M17" s="164"/>
      <c r="N17" s="164"/>
    </row>
    <row r="18" customFormat="false" ht="16.5" hidden="false" customHeight="true" outlineLevel="0" collapsed="false">
      <c r="A18" s="177" t="s">
        <v>1786</v>
      </c>
      <c r="B18" s="177"/>
      <c r="C18" s="177"/>
      <c r="D18" s="177"/>
      <c r="E18" s="177"/>
      <c r="F18" s="177"/>
      <c r="G18" s="164"/>
      <c r="H18" s="164"/>
      <c r="I18" s="164"/>
      <c r="J18" s="164"/>
      <c r="K18" s="164"/>
      <c r="L18" s="164"/>
      <c r="M18" s="164"/>
      <c r="N18" s="164"/>
    </row>
    <row r="19" customFormat="false" ht="33" hidden="false" customHeight="true" outlineLevel="0" collapsed="false">
      <c r="A19" s="178" t="s">
        <v>1787</v>
      </c>
      <c r="B19" s="178" t="s">
        <v>1788</v>
      </c>
      <c r="C19" s="178" t="s">
        <v>1789</v>
      </c>
      <c r="D19" s="178" t="s">
        <v>1790</v>
      </c>
      <c r="E19" s="178" t="s">
        <v>1791</v>
      </c>
      <c r="F19" s="178" t="s">
        <v>45</v>
      </c>
      <c r="G19" s="164"/>
      <c r="H19" s="164"/>
      <c r="I19" s="164"/>
      <c r="J19" s="164"/>
      <c r="K19" s="164"/>
      <c r="L19" s="164"/>
      <c r="M19" s="164"/>
      <c r="N19" s="164"/>
    </row>
    <row r="20" customFormat="false" ht="13.8" hidden="false" customHeight="false" outlineLevel="0" collapsed="false">
      <c r="A20" s="104" t="s">
        <v>1792</v>
      </c>
      <c r="B20" s="104" t="n">
        <v>429</v>
      </c>
      <c r="C20" s="104" t="n">
        <f aca="false">C6</f>
        <v>567</v>
      </c>
      <c r="D20" s="104" t="n">
        <f aca="false">C20-B20</f>
        <v>138</v>
      </c>
      <c r="E20" s="179" t="n">
        <f aca="false">E6</f>
        <v>0.321678321678322</v>
      </c>
      <c r="F20" s="104" t="s">
        <v>1793</v>
      </c>
      <c r="G20" s="164"/>
      <c r="H20" s="164"/>
      <c r="I20" s="164"/>
      <c r="J20" s="164"/>
      <c r="K20" s="164"/>
      <c r="L20" s="164"/>
      <c r="M20" s="164"/>
      <c r="N20" s="164"/>
    </row>
    <row r="21" customFormat="false" ht="13.8" hidden="false" customHeight="false" outlineLevel="0" collapsed="false">
      <c r="A21" s="104" t="s">
        <v>1794</v>
      </c>
      <c r="B21" s="180" t="n">
        <v>16492</v>
      </c>
      <c r="C21" s="180" t="n">
        <v>27670</v>
      </c>
      <c r="D21" s="180" t="n">
        <v>11178</v>
      </c>
      <c r="E21" s="179" t="n">
        <v>0.678</v>
      </c>
      <c r="F21" s="104" t="s">
        <v>1795</v>
      </c>
      <c r="G21" s="164"/>
      <c r="H21" s="164"/>
      <c r="I21" s="164"/>
      <c r="J21" s="164"/>
      <c r="K21" s="164"/>
      <c r="L21" s="164"/>
      <c r="M21" s="164"/>
      <c r="N21" s="164"/>
    </row>
    <row r="22" customFormat="false" ht="13.8" hidden="false" customHeight="false" outlineLevel="0" collapsed="false">
      <c r="A22" s="104" t="s">
        <v>1796</v>
      </c>
      <c r="B22" s="104" t="n">
        <v>0</v>
      </c>
      <c r="C22" s="180" t="n">
        <v>7144</v>
      </c>
      <c r="D22" s="180" t="n">
        <v>7144</v>
      </c>
      <c r="E22" s="104"/>
      <c r="F22" s="104" t="s">
        <v>1797</v>
      </c>
      <c r="G22" s="164"/>
      <c r="H22" s="164"/>
      <c r="I22" s="164"/>
      <c r="J22" s="164"/>
      <c r="K22" s="164"/>
      <c r="L22" s="164"/>
      <c r="M22" s="164"/>
      <c r="N22" s="164"/>
    </row>
    <row r="23" customFormat="false" ht="13.8" hidden="false" customHeight="false" outlineLevel="0" collapsed="false">
      <c r="A23" s="104" t="s">
        <v>1798</v>
      </c>
      <c r="B23" s="180" t="n">
        <v>16492</v>
      </c>
      <c r="C23" s="180" t="n">
        <v>20526</v>
      </c>
      <c r="D23" s="180" t="n">
        <v>4034</v>
      </c>
      <c r="E23" s="179" t="n">
        <v>0.245</v>
      </c>
      <c r="F23" s="104" t="s">
        <v>1799</v>
      </c>
      <c r="G23" s="164"/>
      <c r="H23" s="164"/>
      <c r="I23" s="164"/>
      <c r="J23" s="164"/>
      <c r="K23" s="164"/>
      <c r="L23" s="164"/>
      <c r="M23" s="164"/>
      <c r="N23" s="164"/>
    </row>
    <row r="24" customFormat="false" ht="13.8" hidden="false" customHeight="false" outlineLevel="0" collapsed="false">
      <c r="A24" s="164"/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</row>
    <row r="25" customFormat="false" ht="16.5" hidden="false" customHeight="true" outlineLevel="0" collapsed="false">
      <c r="A25" s="177" t="s">
        <v>1800</v>
      </c>
      <c r="B25" s="177"/>
      <c r="C25" s="177"/>
      <c r="D25" s="177"/>
      <c r="E25" s="177"/>
      <c r="F25" s="177"/>
      <c r="G25" s="164"/>
      <c r="H25" s="164"/>
      <c r="I25" s="164"/>
      <c r="J25" s="164"/>
      <c r="K25" s="164"/>
      <c r="L25" s="164"/>
      <c r="M25" s="164"/>
      <c r="N25" s="164"/>
    </row>
    <row r="26" customFormat="false" ht="13.8" hidden="false" customHeight="false" outlineLevel="0" collapsed="false">
      <c r="A26" s="181" t="s">
        <v>1801</v>
      </c>
      <c r="B26" s="181" t="s">
        <v>1802</v>
      </c>
      <c r="C26" s="181" t="s">
        <v>1803</v>
      </c>
      <c r="D26" s="181" t="s">
        <v>1804</v>
      </c>
      <c r="E26" s="181" t="s">
        <v>1805</v>
      </c>
      <c r="F26" s="181" t="s">
        <v>153</v>
      </c>
      <c r="G26" s="164"/>
      <c r="H26" s="164"/>
      <c r="I26" s="164"/>
      <c r="J26" s="164"/>
      <c r="K26" s="164"/>
      <c r="L26" s="164"/>
      <c r="M26" s="164"/>
      <c r="N26" s="164"/>
    </row>
    <row r="27" customFormat="false" ht="13.8" hidden="false" customHeight="false" outlineLevel="0" collapsed="false">
      <c r="A27" s="104" t="s">
        <v>1806</v>
      </c>
      <c r="B27" s="180" t="n">
        <v>20000</v>
      </c>
      <c r="C27" s="180" t="n">
        <v>7144</v>
      </c>
      <c r="D27" s="180" t="n">
        <v>12856</v>
      </c>
      <c r="E27" s="179" t="n">
        <v>0.357</v>
      </c>
      <c r="F27" s="104" t="s">
        <v>1807</v>
      </c>
      <c r="G27" s="164"/>
      <c r="H27" s="164"/>
      <c r="I27" s="164"/>
      <c r="J27" s="164"/>
      <c r="K27" s="164"/>
      <c r="L27" s="164"/>
      <c r="M27" s="164"/>
      <c r="N27" s="164"/>
    </row>
    <row r="28" customFormat="false" ht="13.8" hidden="false" customHeight="false" outlineLevel="0" collapsed="false">
      <c r="A28" s="104" t="s">
        <v>1808</v>
      </c>
      <c r="B28" s="180" t="n">
        <v>20000</v>
      </c>
      <c r="C28" s="180" t="n">
        <v>20526</v>
      </c>
      <c r="D28" s="104" t="n">
        <v>-526</v>
      </c>
      <c r="E28" s="179" t="n">
        <v>1.026</v>
      </c>
      <c r="F28" s="104" t="s">
        <v>1809</v>
      </c>
      <c r="G28" s="164"/>
      <c r="H28" s="164"/>
      <c r="I28" s="164"/>
      <c r="J28" s="164"/>
      <c r="K28" s="164"/>
      <c r="L28" s="164"/>
      <c r="M28" s="164"/>
      <c r="N28" s="164"/>
    </row>
    <row r="29" customFormat="false" ht="13.8" hidden="false" customHeight="false" outlineLevel="0" collapsed="false">
      <c r="A29" s="104" t="s">
        <v>1810</v>
      </c>
      <c r="B29" s="180" t="n">
        <v>40000</v>
      </c>
      <c r="C29" s="180" t="n">
        <v>27670</v>
      </c>
      <c r="D29" s="180" t="n">
        <v>12330</v>
      </c>
      <c r="E29" s="179" t="n">
        <v>0.692</v>
      </c>
      <c r="F29" s="104" t="s">
        <v>1807</v>
      </c>
      <c r="G29" s="164"/>
      <c r="H29" s="164"/>
      <c r="I29" s="164"/>
      <c r="J29" s="164"/>
      <c r="K29" s="164"/>
      <c r="L29" s="164"/>
      <c r="M29" s="164"/>
      <c r="N29" s="164"/>
    </row>
    <row r="30" customFormat="false" ht="13.8" hidden="false" customHeight="false" outlineLevel="0" collapsed="false">
      <c r="A30" s="164"/>
      <c r="B30" s="164"/>
      <c r="C30" s="164"/>
      <c r="D30" s="164"/>
      <c r="E30" s="164"/>
      <c r="F30" s="164"/>
      <c r="G30" s="164"/>
      <c r="H30" s="164"/>
      <c r="I30" s="164"/>
    </row>
    <row r="31" customFormat="false" ht="13.8" hidden="false" customHeight="false" outlineLevel="0" collapsed="false">
      <c r="A31" s="164"/>
      <c r="B31" s="164"/>
      <c r="C31" s="164"/>
      <c r="D31" s="164"/>
      <c r="E31" s="164"/>
      <c r="F31" s="164"/>
      <c r="G31" s="164"/>
      <c r="H31" s="164"/>
      <c r="I31" s="164"/>
    </row>
    <row r="32" customFormat="false" ht="16.5" hidden="false" customHeight="true" outlineLevel="0" collapsed="false">
      <c r="A32" s="177" t="s">
        <v>1811</v>
      </c>
      <c r="B32" s="177"/>
      <c r="C32" s="177"/>
      <c r="D32" s="177"/>
      <c r="E32" s="177"/>
      <c r="F32" s="177"/>
      <c r="G32" s="177"/>
      <c r="H32" s="177"/>
      <c r="I32" s="177"/>
    </row>
    <row r="33" s="120" customFormat="true" ht="34.5" hidden="false" customHeight="true" outlineLevel="0" collapsed="false">
      <c r="A33" s="182" t="s">
        <v>147</v>
      </c>
      <c r="B33" s="183" t="s">
        <v>1812</v>
      </c>
      <c r="C33" s="183" t="s">
        <v>1813</v>
      </c>
      <c r="D33" s="182" t="s">
        <v>1814</v>
      </c>
      <c r="E33" s="182" t="s">
        <v>1815</v>
      </c>
      <c r="F33" s="182" t="s">
        <v>1816</v>
      </c>
      <c r="G33" s="182" t="s">
        <v>1817</v>
      </c>
      <c r="H33" s="182" t="s">
        <v>1818</v>
      </c>
      <c r="I33" s="183" t="s">
        <v>1819</v>
      </c>
      <c r="J33" s="182" t="s">
        <v>1820</v>
      </c>
    </row>
    <row r="34" customFormat="false" ht="13.8" hidden="false" customHeight="false" outlineLevel="0" collapsed="false">
      <c r="A34" s="104" t="s">
        <v>1821</v>
      </c>
      <c r="B34" s="104" t="n">
        <v>282</v>
      </c>
      <c r="C34" s="104" t="n">
        <v>190</v>
      </c>
      <c r="D34" s="104" t="n">
        <v>236</v>
      </c>
      <c r="E34" s="184" t="n">
        <v>0</v>
      </c>
      <c r="F34" s="184" t="n">
        <v>6591</v>
      </c>
      <c r="G34" s="184" t="n">
        <v>7460</v>
      </c>
      <c r="H34" s="184" t="n">
        <v>8287</v>
      </c>
      <c r="I34" s="184" t="n">
        <v>14878</v>
      </c>
      <c r="J34" s="179" t="n">
        <v>0.538</v>
      </c>
    </row>
    <row r="35" customFormat="false" ht="13.8" hidden="false" customHeight="false" outlineLevel="0" collapsed="false">
      <c r="A35" s="185" t="s">
        <v>283</v>
      </c>
      <c r="B35" s="104" t="n">
        <v>13</v>
      </c>
      <c r="C35" s="104" t="n">
        <v>12</v>
      </c>
      <c r="D35" s="104" t="n">
        <v>12</v>
      </c>
      <c r="E35" s="184" t="n">
        <v>0</v>
      </c>
      <c r="F35" s="104" t="n">
        <v>0</v>
      </c>
      <c r="G35" s="184" t="n">
        <v>1305</v>
      </c>
      <c r="H35" s="184" t="n">
        <v>1895</v>
      </c>
      <c r="I35" s="184" t="n">
        <v>1895</v>
      </c>
      <c r="J35" s="179" t="n">
        <v>0.068</v>
      </c>
      <c r="K35" s="0" t="s">
        <v>1822</v>
      </c>
    </row>
    <row r="36" customFormat="false" ht="13.8" hidden="false" customHeight="false" outlineLevel="0" collapsed="false">
      <c r="A36" s="185" t="s">
        <v>1653</v>
      </c>
      <c r="B36" s="104" t="n">
        <v>49</v>
      </c>
      <c r="C36" s="104" t="n">
        <v>32</v>
      </c>
      <c r="D36" s="104" t="n">
        <v>37</v>
      </c>
      <c r="E36" s="184" t="n">
        <v>0</v>
      </c>
      <c r="F36" s="104" t="n">
        <v>56</v>
      </c>
      <c r="G36" s="184" t="n">
        <v>1110</v>
      </c>
      <c r="H36" s="184" t="n">
        <v>1575</v>
      </c>
      <c r="I36" s="184" t="n">
        <v>1631</v>
      </c>
      <c r="J36" s="179" t="n">
        <v>0.059</v>
      </c>
    </row>
    <row r="37" customFormat="false" ht="13.8" hidden="false" customHeight="false" outlineLevel="0" collapsed="false">
      <c r="A37" s="185" t="s">
        <v>364</v>
      </c>
      <c r="B37" s="104" t="n">
        <v>18</v>
      </c>
      <c r="C37" s="104" t="n">
        <v>18</v>
      </c>
      <c r="D37" s="104" t="n">
        <v>18</v>
      </c>
      <c r="E37" s="184" t="n">
        <v>0</v>
      </c>
      <c r="F37" s="104" t="n">
        <v>0</v>
      </c>
      <c r="G37" s="104" t="n">
        <v>825</v>
      </c>
      <c r="H37" s="184" t="n">
        <v>1470</v>
      </c>
      <c r="I37" s="184" t="n">
        <v>1470</v>
      </c>
      <c r="J37" s="179" t="n">
        <v>0.053</v>
      </c>
    </row>
    <row r="38" customFormat="false" ht="13.8" hidden="false" customHeight="false" outlineLevel="0" collapsed="false">
      <c r="A38" s="185" t="s">
        <v>1823</v>
      </c>
      <c r="B38" s="104" t="n">
        <v>43</v>
      </c>
      <c r="C38" s="104" t="n">
        <v>43</v>
      </c>
      <c r="D38" s="104" t="n">
        <v>41</v>
      </c>
      <c r="E38" s="184" t="n">
        <v>0</v>
      </c>
      <c r="F38" s="104" t="n">
        <v>300</v>
      </c>
      <c r="G38" s="184" t="n">
        <v>1000</v>
      </c>
      <c r="H38" s="184" t="n">
        <v>1050</v>
      </c>
      <c r="I38" s="184" t="n">
        <v>1350</v>
      </c>
      <c r="J38" s="179" t="n">
        <v>0.049</v>
      </c>
    </row>
    <row r="39" customFormat="false" ht="13.8" hidden="false" customHeight="false" outlineLevel="0" collapsed="false">
      <c r="A39" s="185" t="s">
        <v>918</v>
      </c>
      <c r="B39" s="104" t="n">
        <v>26</v>
      </c>
      <c r="C39" s="104" t="n">
        <v>25</v>
      </c>
      <c r="D39" s="104" t="n">
        <v>23</v>
      </c>
      <c r="E39" s="184" t="n">
        <v>0</v>
      </c>
      <c r="F39" s="104" t="n">
        <v>0</v>
      </c>
      <c r="G39" s="104" t="n">
        <v>985</v>
      </c>
      <c r="H39" s="184" t="n">
        <v>1265</v>
      </c>
      <c r="I39" s="184" t="n">
        <v>1265</v>
      </c>
      <c r="J39" s="179" t="n">
        <v>0.046</v>
      </c>
    </row>
    <row r="40" customFormat="false" ht="13.8" hidden="false" customHeight="false" outlineLevel="0" collapsed="false">
      <c r="A40" s="185" t="s">
        <v>171</v>
      </c>
      <c r="B40" s="104" t="n">
        <v>25</v>
      </c>
      <c r="C40" s="104" t="n">
        <v>25</v>
      </c>
      <c r="D40" s="104" t="n">
        <v>25</v>
      </c>
      <c r="E40" s="184" t="n">
        <v>0</v>
      </c>
      <c r="F40" s="104" t="n">
        <v>0</v>
      </c>
      <c r="G40" s="104" t="n">
        <v>986</v>
      </c>
      <c r="H40" s="184" t="n">
        <v>1150</v>
      </c>
      <c r="I40" s="184" t="n">
        <v>1150</v>
      </c>
      <c r="J40" s="179" t="n">
        <v>0.042</v>
      </c>
      <c r="K40" s="0" t="s">
        <v>1824</v>
      </c>
    </row>
    <row r="41" customFormat="false" ht="13.8" hidden="false" customHeight="false" outlineLevel="0" collapsed="false">
      <c r="A41" s="104" t="s">
        <v>358</v>
      </c>
      <c r="B41" s="104" t="n">
        <v>14</v>
      </c>
      <c r="C41" s="104" t="n">
        <v>13</v>
      </c>
      <c r="D41" s="104" t="n">
        <v>12</v>
      </c>
      <c r="E41" s="184" t="n">
        <v>0</v>
      </c>
      <c r="F41" s="104" t="n">
        <v>7</v>
      </c>
      <c r="G41" s="104" t="n">
        <v>920</v>
      </c>
      <c r="H41" s="184" t="n">
        <v>1140</v>
      </c>
      <c r="I41" s="184" t="n">
        <v>1147</v>
      </c>
      <c r="J41" s="179" t="n">
        <v>0.041</v>
      </c>
    </row>
    <row r="42" customFormat="false" ht="13.8" hidden="false" customHeight="false" outlineLevel="0" collapsed="false">
      <c r="A42" s="185" t="s">
        <v>1825</v>
      </c>
      <c r="B42" s="104" t="n">
        <v>16</v>
      </c>
      <c r="C42" s="104" t="n">
        <v>13</v>
      </c>
      <c r="D42" s="104" t="n">
        <v>16</v>
      </c>
      <c r="E42" s="184" t="n">
        <v>0</v>
      </c>
      <c r="F42" s="104" t="n">
        <v>0</v>
      </c>
      <c r="G42" s="104" t="n">
        <v>462</v>
      </c>
      <c r="H42" s="184" t="n">
        <v>1050</v>
      </c>
      <c r="I42" s="184" t="n">
        <v>1050</v>
      </c>
      <c r="J42" s="179" t="n">
        <v>0.038</v>
      </c>
    </row>
    <row r="43" customFormat="false" ht="13.8" hidden="false" customHeight="false" outlineLevel="0" collapsed="false">
      <c r="A43" s="104" t="s">
        <v>1826</v>
      </c>
      <c r="B43" s="104" t="n">
        <v>21</v>
      </c>
      <c r="C43" s="104" t="n">
        <v>19</v>
      </c>
      <c r="D43" s="104" t="n">
        <v>20</v>
      </c>
      <c r="E43" s="184" t="n">
        <v>0</v>
      </c>
      <c r="F43" s="104" t="n">
        <v>120</v>
      </c>
      <c r="G43" s="104" t="n">
        <v>473</v>
      </c>
      <c r="H43" s="104" t="n">
        <v>544</v>
      </c>
      <c r="I43" s="104" t="n">
        <v>664</v>
      </c>
      <c r="J43" s="179" t="n">
        <v>0.024</v>
      </c>
    </row>
    <row r="44" customFormat="false" ht="13.8" hidden="false" customHeight="false" outlineLevel="0" collapsed="false">
      <c r="A44" s="185" t="s">
        <v>253</v>
      </c>
      <c r="B44" s="104" t="n">
        <v>11</v>
      </c>
      <c r="C44" s="104" t="n">
        <v>11</v>
      </c>
      <c r="D44" s="104" t="n">
        <v>10</v>
      </c>
      <c r="E44" s="184" t="n">
        <v>0</v>
      </c>
      <c r="F44" s="104" t="n">
        <v>10</v>
      </c>
      <c r="G44" s="104" t="n">
        <v>452</v>
      </c>
      <c r="H44" s="104" t="n">
        <v>575</v>
      </c>
      <c r="I44" s="104" t="n">
        <v>585</v>
      </c>
      <c r="J44" s="179" t="n">
        <v>0.021</v>
      </c>
    </row>
    <row r="45" customFormat="false" ht="13.8" hidden="false" customHeight="false" outlineLevel="0" collapsed="false">
      <c r="A45" s="185" t="s">
        <v>1827</v>
      </c>
      <c r="B45" s="104" t="n">
        <v>26</v>
      </c>
      <c r="C45" s="104" t="n">
        <v>23</v>
      </c>
      <c r="D45" s="104" t="n">
        <v>25</v>
      </c>
      <c r="E45" s="184" t="n">
        <v>0</v>
      </c>
      <c r="F45" s="104" t="n">
        <v>0</v>
      </c>
      <c r="G45" s="104" t="n">
        <v>369</v>
      </c>
      <c r="H45" s="104" t="n">
        <v>335</v>
      </c>
      <c r="I45" s="104" t="n">
        <v>335</v>
      </c>
      <c r="J45" s="179" t="n">
        <v>0.012</v>
      </c>
    </row>
    <row r="46" customFormat="false" ht="13.8" hidden="false" customHeight="false" outlineLevel="0" collapsed="false">
      <c r="A46" s="185" t="s">
        <v>420</v>
      </c>
      <c r="B46" s="104" t="n">
        <v>5</v>
      </c>
      <c r="C46" s="104" t="n">
        <v>2</v>
      </c>
      <c r="D46" s="104" t="n">
        <v>3</v>
      </c>
      <c r="E46" s="184" t="n">
        <v>0</v>
      </c>
      <c r="F46" s="104" t="n">
        <v>20</v>
      </c>
      <c r="G46" s="104" t="n">
        <v>35</v>
      </c>
      <c r="H46" s="104" t="n">
        <v>90</v>
      </c>
      <c r="I46" s="104" t="n">
        <v>110</v>
      </c>
      <c r="J46" s="179" t="n">
        <v>0.004</v>
      </c>
    </row>
    <row r="47" customFormat="false" ht="13.8" hidden="false" customHeight="false" outlineLevel="0" collapsed="false">
      <c r="A47" s="185" t="s">
        <v>1828</v>
      </c>
      <c r="B47" s="104" t="n">
        <v>7</v>
      </c>
      <c r="C47" s="104" t="n">
        <v>1</v>
      </c>
      <c r="D47" s="104" t="n">
        <v>1</v>
      </c>
      <c r="E47" s="184" t="n">
        <v>0</v>
      </c>
      <c r="F47" s="104" t="n">
        <v>40</v>
      </c>
      <c r="G47" s="104" t="n">
        <v>10</v>
      </c>
      <c r="H47" s="104" t="n">
        <v>20</v>
      </c>
      <c r="I47" s="104" t="n">
        <v>60</v>
      </c>
      <c r="J47" s="179" t="n">
        <v>0.002</v>
      </c>
    </row>
    <row r="48" customFormat="false" ht="13.8" hidden="false" customHeight="false" outlineLevel="0" collapsed="false">
      <c r="A48" s="185" t="s">
        <v>914</v>
      </c>
      <c r="B48" s="104" t="n">
        <v>1</v>
      </c>
      <c r="C48" s="104" t="n">
        <v>0</v>
      </c>
      <c r="D48" s="104" t="n">
        <v>1</v>
      </c>
      <c r="E48" s="184" t="n">
        <v>0</v>
      </c>
      <c r="F48" s="104" t="n">
        <v>0</v>
      </c>
      <c r="G48" s="104" t="n">
        <v>0</v>
      </c>
      <c r="H48" s="104" t="n">
        <v>50</v>
      </c>
      <c r="I48" s="104" t="n">
        <v>50</v>
      </c>
      <c r="J48" s="179" t="n">
        <v>0.002</v>
      </c>
    </row>
    <row r="49" customFormat="false" ht="13.8" hidden="false" customHeight="false" outlineLevel="0" collapsed="false">
      <c r="A49" s="104" t="s">
        <v>1829</v>
      </c>
      <c r="B49" s="104" t="n">
        <v>1</v>
      </c>
      <c r="C49" s="104" t="n">
        <v>0</v>
      </c>
      <c r="D49" s="104" t="n">
        <v>1</v>
      </c>
      <c r="E49" s="184" t="n">
        <v>0</v>
      </c>
      <c r="F49" s="104" t="n">
        <v>0</v>
      </c>
      <c r="G49" s="104" t="n">
        <v>0</v>
      </c>
      <c r="H49" s="104" t="n">
        <v>30</v>
      </c>
      <c r="I49" s="104" t="n">
        <v>30</v>
      </c>
      <c r="J49" s="179" t="n">
        <v>0.001</v>
      </c>
    </row>
    <row r="50" customFormat="false" ht="13.8" hidden="false" customHeight="false" outlineLevel="0" collapsed="false">
      <c r="A50" s="185" t="s">
        <v>1288</v>
      </c>
      <c r="B50" s="104" t="n">
        <v>1</v>
      </c>
      <c r="C50" s="104" t="n">
        <v>1</v>
      </c>
      <c r="D50" s="104" t="n">
        <v>0</v>
      </c>
      <c r="E50" s="184" t="n">
        <v>0</v>
      </c>
      <c r="F50" s="104" t="n">
        <v>0</v>
      </c>
      <c r="G50" s="104" t="n">
        <v>100</v>
      </c>
      <c r="H50" s="104" t="n">
        <v>0</v>
      </c>
      <c r="I50" s="104" t="n">
        <v>0</v>
      </c>
      <c r="J50" s="179" t="n">
        <v>0</v>
      </c>
    </row>
    <row r="51" customFormat="false" ht="13.8" hidden="false" customHeight="false" outlineLevel="0" collapsed="false">
      <c r="A51" s="185" t="s">
        <v>1475</v>
      </c>
      <c r="B51" s="104" t="n">
        <v>7</v>
      </c>
      <c r="C51" s="104" t="n">
        <v>0</v>
      </c>
      <c r="D51" s="104" t="n">
        <v>0</v>
      </c>
      <c r="E51" s="184" t="n">
        <v>0</v>
      </c>
      <c r="F51" s="104" t="n">
        <v>0</v>
      </c>
      <c r="G51" s="104" t="n">
        <v>0</v>
      </c>
      <c r="H51" s="104" t="n">
        <v>0</v>
      </c>
      <c r="I51" s="104" t="n">
        <v>0</v>
      </c>
      <c r="J51" s="179" t="n">
        <v>0</v>
      </c>
    </row>
    <row r="52" customFormat="false" ht="13.8" hidden="false" customHeight="false" outlineLevel="0" collapsed="false">
      <c r="A52" s="185" t="s">
        <v>1830</v>
      </c>
      <c r="B52" s="104"/>
      <c r="C52" s="104"/>
      <c r="D52" s="104"/>
      <c r="E52" s="184"/>
      <c r="F52" s="104"/>
      <c r="G52" s="104"/>
      <c r="H52" s="104"/>
      <c r="I52" s="104"/>
      <c r="J52" s="179"/>
    </row>
    <row r="53" customFormat="false" ht="13.8" hidden="false" customHeight="false" outlineLevel="0" collapsed="false">
      <c r="A53" s="185" t="s">
        <v>1831</v>
      </c>
      <c r="B53" s="104"/>
      <c r="C53" s="104"/>
      <c r="D53" s="104"/>
      <c r="E53" s="184"/>
      <c r="F53" s="104"/>
      <c r="G53" s="104"/>
      <c r="H53" s="104"/>
      <c r="I53" s="104"/>
      <c r="J53" s="179"/>
    </row>
    <row r="54" customFormat="false" ht="13.8" hidden="false" customHeight="false" outlineLevel="0" collapsed="false">
      <c r="A54" s="185" t="s">
        <v>1489</v>
      </c>
      <c r="B54" s="104"/>
      <c r="C54" s="104"/>
      <c r="D54" s="104"/>
      <c r="E54" s="184"/>
      <c r="F54" s="104"/>
      <c r="G54" s="104"/>
      <c r="H54" s="104"/>
      <c r="I54" s="104"/>
      <c r="J54" s="179"/>
    </row>
    <row r="55" customFormat="false" ht="13.8" hidden="false" customHeight="false" outlineLevel="0" collapsed="false">
      <c r="A55" s="185" t="s">
        <v>1487</v>
      </c>
      <c r="B55" s="104"/>
      <c r="C55" s="104"/>
      <c r="D55" s="104"/>
      <c r="E55" s="184"/>
      <c r="F55" s="104"/>
      <c r="G55" s="104"/>
      <c r="H55" s="104"/>
      <c r="I55" s="104"/>
      <c r="J55" s="179"/>
    </row>
    <row r="56" customFormat="false" ht="13.8" hidden="false" customHeight="false" outlineLevel="0" collapsed="false">
      <c r="A56" s="185" t="s">
        <v>1832</v>
      </c>
      <c r="B56" s="104"/>
      <c r="C56" s="104"/>
      <c r="D56" s="104"/>
      <c r="E56" s="184"/>
      <c r="F56" s="104"/>
      <c r="G56" s="104"/>
      <c r="H56" s="104"/>
      <c r="I56" s="104"/>
      <c r="J56" s="179"/>
    </row>
    <row r="57" customFormat="false" ht="13.8" hidden="false" customHeight="false" outlineLevel="0" collapsed="false">
      <c r="A57" s="185" t="s">
        <v>1833</v>
      </c>
      <c r="B57" s="104"/>
      <c r="C57" s="104"/>
      <c r="D57" s="104"/>
      <c r="E57" s="184"/>
      <c r="F57" s="104"/>
      <c r="G57" s="104"/>
      <c r="H57" s="104"/>
      <c r="I57" s="104"/>
      <c r="J57" s="179"/>
    </row>
  </sheetData>
  <mergeCells count="18">
    <mergeCell ref="A1:J1"/>
    <mergeCell ref="A2:J2"/>
    <mergeCell ref="A5:B5"/>
    <mergeCell ref="A6:B6"/>
    <mergeCell ref="E6:F6"/>
    <mergeCell ref="A9:B9"/>
    <mergeCell ref="E9:F9"/>
    <mergeCell ref="A10:B10"/>
    <mergeCell ref="E10:F10"/>
    <mergeCell ref="A12:B12"/>
    <mergeCell ref="C12:D12"/>
    <mergeCell ref="E12:F12"/>
    <mergeCell ref="A13:B13"/>
    <mergeCell ref="C13:D13"/>
    <mergeCell ref="E13:F13"/>
    <mergeCell ref="A18:F18"/>
    <mergeCell ref="A25:F25"/>
    <mergeCell ref="A32:I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3CDDD"/>
    <pageSetUpPr fitToPage="tru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F33" activeCellId="1" sqref="A1:L7 F33"/>
    </sheetView>
  </sheetViews>
  <sheetFormatPr defaultColWidth="8.73046875" defaultRowHeight="14.25" zeroHeight="false" outlineLevelRow="0" outlineLevelCol="0"/>
  <cols>
    <col collapsed="false" customWidth="true" hidden="false" outlineLevel="0" max="12" min="1" style="0" width="14"/>
  </cols>
  <sheetData>
    <row r="1" customFormat="false" ht="33.75" hidden="false" customHeight="true" outlineLevel="0" collapsed="false">
      <c r="A1" s="1" t="s">
        <v>1834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4.25" hidden="false" customHeight="true" outlineLevel="0" collapsed="false">
      <c r="A2" s="2" t="s">
        <v>1835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4.25" hidden="false" customHeight="true" outlineLevel="0" collapsed="false">
      <c r="A3" s="6" t="str">
        <f aca="false">HYPERLINK("#'HOME'!A1","HOME")</f>
        <v>HOME</v>
      </c>
      <c r="B3" s="6" t="str">
        <f aca="false">HYPERLINK("#'FARMERS'!A1","FARMERS")</f>
        <v>FARMERS</v>
      </c>
      <c r="C3" s="6" t="str">
        <f aca="false">HYPERLINK("#'SUBSCRIPTIONS'!A1","SUBSCRIPTIONS")</f>
        <v>SUBSCRIPTIONS</v>
      </c>
      <c r="D3" s="6" t="str">
        <f aca="false">HYPERLINK("#'PRODUCTION'!A1","PRODUCTION")</f>
        <v>PRODUCTION</v>
      </c>
      <c r="E3" s="6" t="str">
        <f aca="false">HYPERLINK("#'RECOVERY'!A1","RECOVERY")</f>
        <v>RECOVERY</v>
      </c>
      <c r="F3" s="6" t="str">
        <f aca="false">HYPERLINK("#'DELIVERIES'!A1","DELIVERIES")</f>
        <v>DELIVERIES</v>
      </c>
      <c r="G3" s="6" t="str">
        <f aca="false">HYPERLINK("#'FINANCE'!A1","FINANCE")</f>
        <v>FINANCE</v>
      </c>
      <c r="H3" s="6" t="str">
        <f aca="false">HYPERLINK("#'REPORTS'!A1","REPORTS")</f>
        <v>REPORTS</v>
      </c>
    </row>
    <row r="5" customFormat="false" ht="24" hidden="false" customHeight="true" outlineLevel="0" collapsed="false">
      <c r="A5" s="30" t="s">
        <v>1836</v>
      </c>
      <c r="B5" s="30"/>
      <c r="C5" s="30" t="s">
        <v>1837</v>
      </c>
      <c r="D5" s="30"/>
      <c r="E5" s="30" t="s">
        <v>1838</v>
      </c>
      <c r="F5" s="30"/>
      <c r="G5" s="30" t="s">
        <v>1839</v>
      </c>
      <c r="H5" s="30"/>
      <c r="I5" s="30" t="s">
        <v>1840</v>
      </c>
      <c r="J5" s="30"/>
      <c r="K5" s="30" t="s">
        <v>167</v>
      </c>
      <c r="L5" s="30"/>
    </row>
    <row r="6" customFormat="false" ht="31.5" hidden="false" customHeight="true" outlineLevel="0" collapsed="false">
      <c r="A6" s="186" t="n">
        <f aca="false">COUNTA(DATA_PIPELINE!$B$6:$B$601)</f>
        <v>573</v>
      </c>
      <c r="B6" s="186"/>
      <c r="C6" s="186" t="n">
        <f aca="false">COUNTIF(DATA_PIPELINE!$U$6:$U$601,"Category A")</f>
        <v>515</v>
      </c>
      <c r="D6" s="186"/>
      <c r="E6" s="186" t="n">
        <f aca="false">COUNTIF(DATA_PIPELINE!$U$6:$U$601,"Category B")</f>
        <v>24</v>
      </c>
      <c r="F6" s="186"/>
      <c r="G6" s="32" t="n">
        <f aca="false">SUM(DATA_PIPELINE!$V$6:$V$601)</f>
        <v>597000</v>
      </c>
      <c r="H6" s="32"/>
      <c r="I6" s="32" t="n">
        <f aca="false">SUM(DATA_RECEIPTS!$E$6:$E$75)</f>
        <v>17375</v>
      </c>
      <c r="J6" s="32"/>
      <c r="K6" s="32" t="n">
        <f aca="false">SUM(DATA_RECEIPTS!$F$6:$F$75)</f>
        <v>14025</v>
      </c>
      <c r="L6" s="32"/>
    </row>
    <row r="9" customFormat="false" ht="14.25" hidden="false" customHeight="true" outlineLevel="0" collapsed="false">
      <c r="A9" s="187" t="s">
        <v>1748</v>
      </c>
      <c r="B9" s="187" t="s">
        <v>1792</v>
      </c>
      <c r="C9" s="187" t="s">
        <v>1841</v>
      </c>
      <c r="D9" s="187" t="s">
        <v>1842</v>
      </c>
      <c r="E9" s="187" t="s">
        <v>1679</v>
      </c>
      <c r="I9" s="187" t="s">
        <v>1843</v>
      </c>
      <c r="J9" s="187" t="s">
        <v>1844</v>
      </c>
      <c r="K9" s="187" t="s">
        <v>1845</v>
      </c>
      <c r="L9" s="187" t="s">
        <v>1846</v>
      </c>
    </row>
    <row r="10" customFormat="false" ht="14.25" hidden="false" customHeight="true" outlineLevel="0" collapsed="false">
      <c r="A10" s="120" t="s">
        <v>177</v>
      </c>
      <c r="B10" s="120" t="n">
        <f aca="false">COUNTIF(DATA_PIPELINE!$U$6:$U$601,"Category A")</f>
        <v>515</v>
      </c>
      <c r="C10" s="188" t="n">
        <f aca="false">B10*500</f>
        <v>257500</v>
      </c>
      <c r="D10" s="188" t="n">
        <v>500</v>
      </c>
      <c r="E10" s="0" t="n">
        <v>23</v>
      </c>
      <c r="I10" s="189" t="n">
        <f aca="false">SUMIFS(DATA_PIPELINE!$N$6:$N$601, DATA_PIPELINE!$U$6:$U$601, "Category A") + SUMIFS(DATA_PIPELINE!$M$6:$M$601, DATA_PIPELINE!$U$6:$U$601, "Category A")</f>
        <v>19791</v>
      </c>
      <c r="J10" s="189" t="n">
        <f aca="false">SUMIFS(DATA_PIPELINE!$N$6:$N$601, DATA_PIPELINE!$U$6:$U$601, "Category A")</f>
        <v>14556</v>
      </c>
      <c r="K10" s="189" t="n">
        <f aca="false">SUMIFS(DATA_PIPELINE!$M$6:$M$601, DATA_PIPELINE!$U$6:$U$601, "Category A")</f>
        <v>5235</v>
      </c>
      <c r="L10" s="190" t="n">
        <f aca="false">I10/I12</f>
        <v>0.640983287990672</v>
      </c>
    </row>
    <row r="11" customFormat="false" ht="14.25" hidden="false" customHeight="true" outlineLevel="0" collapsed="false">
      <c r="A11" s="120" t="s">
        <v>247</v>
      </c>
      <c r="B11" s="120" t="n">
        <f aca="false">COUNTIF(DATA_PIPELINE!$U$6:$U$601,"Category B")</f>
        <v>24</v>
      </c>
      <c r="C11" s="188" t="n">
        <f aca="false">B11*1000</f>
        <v>24000</v>
      </c>
      <c r="D11" s="188" t="n">
        <v>1000</v>
      </c>
      <c r="E11" s="0" t="n">
        <v>7</v>
      </c>
      <c r="I11" s="189" t="n">
        <f aca="false">SUMIFS(DATA_PIPELINE!$N$6:$N$601, DATA_PIPELINE!$U$6:$U$601, "Category B") + SUMIFS(DATA_PIPELINE!$M$6:$M$601, DATA_PIPELINE!$U$6:$U$601, "Category B")</f>
        <v>11085</v>
      </c>
      <c r="J11" s="189" t="n">
        <f aca="false">SUMIFS(DATA_PIPELINE!$N$6:$N$601, DATA_PIPELINE!$U$6:$U$601, "Category B")</f>
        <v>5900</v>
      </c>
      <c r="K11" s="189" t="n">
        <f aca="false">SUMIFS(DATA_PIPELINE!$M$6:$M$601, DATA_PIPELINE!$U$6:$U$601, "Category B")</f>
        <v>5185</v>
      </c>
      <c r="L11" s="190" t="n">
        <f aca="false">I11/I12</f>
        <v>0.359016712009328</v>
      </c>
    </row>
    <row r="12" customFormat="false" ht="14.25" hidden="false" customHeight="true" outlineLevel="0" collapsed="false">
      <c r="H12" s="0" t="s">
        <v>127</v>
      </c>
      <c r="I12" s="191" t="n">
        <f aca="false">I10+I11</f>
        <v>30876</v>
      </c>
      <c r="J12" s="191" t="n">
        <f aca="false">J10+J11</f>
        <v>20456</v>
      </c>
      <c r="K12" s="191" t="n">
        <f aca="false">K10+K11</f>
        <v>10420</v>
      </c>
      <c r="L12" s="192" t="n">
        <f aca="false">L10+L11</f>
        <v>1</v>
      </c>
    </row>
    <row r="14" customFormat="false" ht="17.25" hidden="false" customHeight="true" outlineLevel="0" collapsed="false">
      <c r="A14" s="34" t="s">
        <v>1847</v>
      </c>
    </row>
    <row r="15" customFormat="false" ht="14.25" hidden="false" customHeight="true" outlineLevel="0" collapsed="false">
      <c r="A15" s="187" t="s">
        <v>1848</v>
      </c>
      <c r="B15" s="187" t="s">
        <v>1849</v>
      </c>
      <c r="C15" s="187" t="s">
        <v>1850</v>
      </c>
      <c r="D15" s="187" t="s">
        <v>1851</v>
      </c>
    </row>
    <row r="16" customFormat="false" ht="14.25" hidden="false" customHeight="true" outlineLevel="0" collapsed="false">
      <c r="A16" s="193" t="n">
        <v>45962</v>
      </c>
      <c r="B16" s="194" t="n">
        <f aca="false">SUMIF(DATA_RECEIPTS!$A$6:$A$75,A16,DATA_RECEIPTS!$E$6:$E$75)</f>
        <v>7500</v>
      </c>
      <c r="C16" s="194" t="n">
        <f aca="false">SUMIF(DATA_RECEIPTS!$A$6:$A$75,A16,DATA_RECEIPTS!$F$6:$F$75)</f>
        <v>0</v>
      </c>
      <c r="D16" s="120" t="n">
        <f aca="false">COUNTIF(DATA_RECEIPTS!$A$6:$A$75,A16)</f>
        <v>8</v>
      </c>
    </row>
    <row r="17" customFormat="false" ht="14.25" hidden="false" customHeight="true" outlineLevel="0" collapsed="false">
      <c r="A17" s="193" t="n">
        <v>46174</v>
      </c>
      <c r="B17" s="194" t="n">
        <f aca="false">SUMIF(DATA_RECEIPTS!$A$6:$A$75,A17,DATA_RECEIPTS!$E$6:$E$75)</f>
        <v>700</v>
      </c>
      <c r="C17" s="194" t="n">
        <f aca="false">SUMIF(DATA_RECEIPTS!$A$6:$A$75,A17,DATA_RECEIPTS!$F$6:$F$75)</f>
        <v>300</v>
      </c>
      <c r="D17" s="120" t="n">
        <f aca="false">COUNTIF(DATA_RECEIPTS!$A$6:$A$75,A17)</f>
        <v>2</v>
      </c>
    </row>
    <row r="18" customFormat="false" ht="14.25" hidden="false" customHeight="true" outlineLevel="0" collapsed="false">
      <c r="A18" s="193" t="n">
        <v>46204</v>
      </c>
      <c r="B18" s="194" t="n">
        <f aca="false">SUMIF(DATA_RECEIPTS!$A$6:$A$75,A18,DATA_RECEIPTS!$E$6:$E$75)</f>
        <v>1600</v>
      </c>
      <c r="C18" s="194" t="n">
        <f aca="false">SUMIF(DATA_RECEIPTS!$A$6:$A$75,A18,DATA_RECEIPTS!$F$6:$F$75)</f>
        <v>700</v>
      </c>
      <c r="D18" s="120" t="n">
        <f aca="false">COUNTIF(DATA_RECEIPTS!$A$6:$A$75,A18)</f>
        <v>5</v>
      </c>
    </row>
    <row r="19" customFormat="false" ht="15" hidden="false" customHeight="true" outlineLevel="0" collapsed="false">
      <c r="A19" s="193" t="n">
        <v>46235</v>
      </c>
      <c r="B19" s="194" t="n">
        <f aca="false">SUMIFS(DATA_RECEIPTS!E:E, DATA_RECEIPTS!A:A, "&gt;=2026-08-01", DATA_RECEIPTS!A:A, "&lt;2026-09-01")</f>
        <v>4850</v>
      </c>
      <c r="C19" s="194" t="n">
        <f aca="false">SUMIF(DATA_RECEIPTS!$A$6:$A$75,A19,DATA_RECEIPTS!$F$6:$F$75)</f>
        <v>2600</v>
      </c>
      <c r="D19" s="120" t="n">
        <f aca="false">COUNTIF(DATA_RECEIPTS!$A$6:$A$75,A19)</f>
        <v>8</v>
      </c>
    </row>
    <row r="20" customFormat="false" ht="14.25" hidden="false" customHeight="true" outlineLevel="0" collapsed="false">
      <c r="A20" s="193" t="n">
        <v>46266</v>
      </c>
      <c r="B20" s="195" t="n">
        <f aca="false">SUMIFS(DATA_RECEIPTS!E:E, DATA_RECEIPTS!A:A, "&gt;=2026-09-01", DATA_RECEIPTS!A:A, "&lt;2026-10-01")</f>
        <v>2725</v>
      </c>
      <c r="C20" s="195" t="n">
        <f aca="false">SUMIF(DATA_RECEIPTS!$A$6:$A$75,A20,DATA_RECEIPTS!$F$6:$F$75)</f>
        <v>2075</v>
      </c>
      <c r="D20" s="0" t="n">
        <f aca="false">COUNTIF(DATA_RECEIPTS!$A$6:$A$75,A20)</f>
        <v>5</v>
      </c>
    </row>
  </sheetData>
  <mergeCells count="14">
    <mergeCell ref="A1:L1"/>
    <mergeCell ref="A2:L2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9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4" topLeftCell="AA5" activePane="bottomLeft" state="frozen"/>
      <selection pane="topLeft" activeCell="A1" activeCellId="0" sqref="A1"/>
      <selection pane="bottomLeft" activeCell="B7" activeCellId="0" sqref="A1:L7"/>
    </sheetView>
  </sheetViews>
  <sheetFormatPr defaultColWidth="8.73046875" defaultRowHeight="14.25" zeroHeight="false" outlineLevelRow="0" outlineLevelCol="0"/>
  <cols>
    <col collapsed="false" customWidth="true" hidden="false" outlineLevel="0" max="12" min="1" style="0" width="14"/>
  </cols>
  <sheetData>
    <row r="1" customFormat="false" ht="33.75" hidden="false" customHeight="true" outlineLevel="0" collapsed="false">
      <c r="A1" s="1" t="s">
        <v>1852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4.25" hidden="false" customHeight="true" outlineLevel="0" collapsed="false">
      <c r="A2" s="2" t="s">
        <v>1853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4.25" hidden="false" customHeight="true" outlineLevel="0" collapsed="false">
      <c r="A3" s="6" t="str">
        <f aca="false">HYPERLINK("#'HOME'!A1","HOME")</f>
        <v>HOME</v>
      </c>
      <c r="B3" s="6" t="str">
        <f aca="false">HYPERLINK("#'FARMERS'!A1","FARMERS")</f>
        <v>FARMERS</v>
      </c>
      <c r="C3" s="6" t="str">
        <f aca="false">HYPERLINK("#'SUBSCRIPTIONS'!A1","SUBSCRIPTIONS")</f>
        <v>SUBSCRIPTIONS</v>
      </c>
      <c r="D3" s="6" t="str">
        <f aca="false">HYPERLINK("#'PRODUCTION'!A1","PRODUCTION")</f>
        <v>PRODUCTION</v>
      </c>
      <c r="E3" s="6" t="str">
        <f aca="false">HYPERLINK("#'RECOVERY'!A1","RECOVERY")</f>
        <v>RECOVERY</v>
      </c>
      <c r="F3" s="6" t="str">
        <f aca="false">HYPERLINK("#'DELIVERIES'!A1","DELIVERIES")</f>
        <v>DELIVERIES</v>
      </c>
      <c r="G3" s="6" t="str">
        <f aca="false">HYPERLINK("#'FINANCE'!A1","FINANCE")</f>
        <v>FINANCE</v>
      </c>
      <c r="H3" s="6" t="str">
        <f aca="false">HYPERLINK("#'REPORTS'!A1","REPORTS")</f>
        <v>REPORTS</v>
      </c>
    </row>
    <row r="5" customFormat="false" ht="24" hidden="false" customHeight="true" outlineLevel="0" collapsed="false">
      <c r="A5" s="30" t="s">
        <v>1854</v>
      </c>
      <c r="B5" s="30"/>
      <c r="C5" s="30" t="s">
        <v>1855</v>
      </c>
      <c r="D5" s="30"/>
      <c r="E5" s="30" t="s">
        <v>1856</v>
      </c>
      <c r="F5" s="30"/>
      <c r="G5" s="30" t="s">
        <v>1857</v>
      </c>
      <c r="H5" s="30"/>
      <c r="I5" s="30" t="s">
        <v>30</v>
      </c>
      <c r="J5" s="30"/>
      <c r="K5" s="30" t="s">
        <v>1858</v>
      </c>
      <c r="L5" s="30"/>
    </row>
    <row r="6" customFormat="false" ht="31.5" hidden="false" customHeight="true" outlineLevel="0" collapsed="false">
      <c r="A6" s="32" t="n">
        <f aca="false">C14</f>
        <v>4850</v>
      </c>
      <c r="B6" s="32"/>
      <c r="C6" s="32" t="n">
        <f aca="false">SUM(DATA_BANK!$D$6:$D$10)</f>
        <v>13249.88</v>
      </c>
      <c r="D6" s="32"/>
      <c r="E6" s="32" t="n">
        <f aca="false">E15</f>
        <v>4125.12</v>
      </c>
      <c r="F6" s="32"/>
      <c r="G6" s="32" t="n">
        <f aca="false">SUM(DATA_RECEIPTS!$E$6:$E$75)</f>
        <v>17375</v>
      </c>
      <c r="H6" s="32"/>
      <c r="I6" s="32" t="n">
        <f aca="false">SUM(DATA_RECEIPTS!$F$6:$F$75)</f>
        <v>14025</v>
      </c>
      <c r="J6" s="32"/>
      <c r="K6" s="186" t="n">
        <f aca="false">COUNTIF(DATA_BANK!$H$6:$H$10,"RECONCILED")</f>
        <v>5</v>
      </c>
      <c r="L6" s="186"/>
    </row>
    <row r="9" customFormat="false" ht="17.25" hidden="false" customHeight="true" outlineLevel="0" collapsed="false">
      <c r="A9" s="34" t="s">
        <v>1859</v>
      </c>
    </row>
    <row r="10" customFormat="false" ht="14.25" hidden="false" customHeight="true" outlineLevel="0" collapsed="false">
      <c r="A10" s="187" t="s">
        <v>1848</v>
      </c>
      <c r="B10" s="187" t="s">
        <v>1860</v>
      </c>
      <c r="C10" s="187" t="s">
        <v>1861</v>
      </c>
      <c r="D10" s="187" t="s">
        <v>1862</v>
      </c>
      <c r="E10" s="187" t="s">
        <v>1863</v>
      </c>
    </row>
    <row r="11" customFormat="false" ht="14.25" hidden="false" customHeight="true" outlineLevel="0" collapsed="false">
      <c r="A11" s="196" t="s">
        <v>1864</v>
      </c>
      <c r="B11" s="197" t="n">
        <f aca="false">SUMIF(DATA_BANK!$A$6:$A$10,A11,DATA_BANK!$B$6:$B$10)</f>
        <v>0</v>
      </c>
      <c r="C11" s="197" t="n">
        <f aca="false">SUMIF(DATA_BANK!$A$6:$A$10,A11,DATA_BANK!$C$6:$C$10)</f>
        <v>7500</v>
      </c>
      <c r="D11" s="197" t="n">
        <f aca="false">SUMIF(DATA_BANK!$A$6:$A$10,A11,DATA_BANK!$D$6:$D$10)</f>
        <v>7159.5</v>
      </c>
      <c r="E11" s="197" t="n">
        <f aca="false">SUMIF(DATA_BANK!$A$6:$A$10,A11,DATA_BANK!$E$6:$E$10)</f>
        <v>340.5</v>
      </c>
    </row>
    <row r="12" customFormat="false" ht="14.25" hidden="false" customHeight="true" outlineLevel="0" collapsed="false">
      <c r="A12" s="196" t="s">
        <v>1865</v>
      </c>
      <c r="B12" s="197" t="n">
        <f aca="false">SUMIF(DATA_BANK!$A$6:$A$10,A12,DATA_BANK!$B$6:$B$10)</f>
        <v>340.5</v>
      </c>
      <c r="C12" s="197" t="n">
        <f aca="false">SUMIF(DATA_BANK!$A$6:$A$10,A12,DATA_BANK!$C$6:$C$10)</f>
        <v>700</v>
      </c>
      <c r="D12" s="197" t="n">
        <f aca="false">SUMIF(DATA_BANK!$A$6:$A$10,A12,DATA_BANK!$D$6:$D$10)</f>
        <v>1300</v>
      </c>
      <c r="E12" s="197" t="n">
        <f aca="false">SUMIF(DATA_BANK!$A$6:$A$10,A12,DATA_BANK!$E$6:$E$10)</f>
        <v>-259.5</v>
      </c>
    </row>
    <row r="13" customFormat="false" ht="14.25" hidden="false" customHeight="true" outlineLevel="0" collapsed="false">
      <c r="A13" s="196" t="s">
        <v>1866</v>
      </c>
      <c r="B13" s="197" t="n">
        <f aca="false">SUMIF(DATA_BANK!$A$6:$A$10,A13,DATA_BANK!$B$6:$B$10)</f>
        <v>-259.5</v>
      </c>
      <c r="C13" s="197" t="n">
        <f aca="false">SUMIF(DATA_BANK!$A$6:$A$10,A13,DATA_BANK!$C$6:$C$10)</f>
        <v>1600</v>
      </c>
      <c r="D13" s="197" t="n">
        <f aca="false">SUMIF(DATA_BANK!$A$6:$A$10,A13,DATA_BANK!$D$6:$D$10)</f>
        <v>1832.98</v>
      </c>
      <c r="E13" s="197" t="n">
        <f aca="false">SUMIF(DATA_BANK!$A$6:$A$10,A13,DATA_BANK!$E$6:$E$10)</f>
        <v>-492.48</v>
      </c>
    </row>
    <row r="14" customFormat="false" ht="14.25" hidden="false" customHeight="true" outlineLevel="0" collapsed="false">
      <c r="A14" s="196" t="s">
        <v>1867</v>
      </c>
      <c r="B14" s="197" t="n">
        <f aca="false">SUMIF(DATA_BANK!$A$6:$A$10,A14,DATA_BANK!$B$6:$B$10)</f>
        <v>-492.48</v>
      </c>
      <c r="C14" s="197" t="n">
        <f aca="false">SUMIF(DATA_BANK!$A$6:$A$10,A14,DATA_BANK!$C$6:$C$10)</f>
        <v>4850</v>
      </c>
      <c r="D14" s="197" t="n">
        <f aca="false">SUMIF(DATA_BANK!$A$6:$A$10,A14,DATA_BANK!$D$6:$D$10)</f>
        <v>2491.31</v>
      </c>
      <c r="E14" s="197" t="n">
        <f aca="false">SUMIF(DATA_BANK!$A$6:$A$10,A14,DATA_BANK!$E$6:$E$10)</f>
        <v>1866.21</v>
      </c>
    </row>
    <row r="15" customFormat="false" ht="14.25" hidden="false" customHeight="true" outlineLevel="0" collapsed="false">
      <c r="A15" s="193" t="n">
        <v>46266</v>
      </c>
      <c r="B15" s="197" t="n">
        <f aca="false">E14</f>
        <v>1866.21</v>
      </c>
      <c r="C15" s="197" t="n">
        <f aca="false">DATA_BANK!C10</f>
        <v>2725</v>
      </c>
      <c r="D15" s="197" t="n">
        <f aca="false">DATA_BANK!D10</f>
        <v>466.09</v>
      </c>
      <c r="E15" s="197" t="n">
        <f aca="false">B15+C15-D15</f>
        <v>4125.12</v>
      </c>
    </row>
    <row r="16" customFormat="false" ht="14.25" hidden="false" customHeight="true" outlineLevel="0" collapsed="false">
      <c r="A16" s="120"/>
      <c r="B16" s="197"/>
      <c r="C16" s="197"/>
      <c r="D16" s="197"/>
      <c r="E16" s="197"/>
    </row>
    <row r="17" customFormat="false" ht="14.25" hidden="false" customHeight="true" outlineLevel="0" collapsed="false">
      <c r="A17" s="120"/>
      <c r="B17" s="197"/>
      <c r="C17" s="197"/>
      <c r="D17" s="197"/>
      <c r="E17" s="197"/>
    </row>
    <row r="18" customFormat="false" ht="14.25" hidden="false" customHeight="true" outlineLevel="0" collapsed="false">
      <c r="A18" s="120"/>
      <c r="B18" s="197"/>
      <c r="C18" s="197"/>
      <c r="D18" s="197"/>
      <c r="E18" s="197"/>
    </row>
    <row r="19" customFormat="false" ht="14.25" hidden="false" customHeight="true" outlineLevel="0" collapsed="false">
      <c r="A19" s="120"/>
      <c r="B19" s="197"/>
      <c r="C19" s="197"/>
      <c r="D19" s="197"/>
      <c r="E19" s="197"/>
    </row>
    <row r="23" customFormat="false" ht="17.25" hidden="false" customHeight="true" outlineLevel="0" collapsed="false">
      <c r="A23" s="198" t="s">
        <v>1868</v>
      </c>
      <c r="E23" s="34" t="s">
        <v>1869</v>
      </c>
    </row>
    <row r="24" customFormat="false" ht="14.25" hidden="false" customHeight="true" outlineLevel="0" collapsed="false">
      <c r="A24" s="7" t="str">
        <f aca="false">HYPERLINK("#'MONTHLY SALARY'!A1","Monthly Salary")</f>
        <v>Monthly Salary</v>
      </c>
      <c r="B24" s="187" t="s">
        <v>1870</v>
      </c>
      <c r="C24" s="7" t="str">
        <f aca="false">HYPERLINK("#'PROFIT &amp; LOSS'!A1","Profit &amp; Loss")</f>
        <v>Profit &amp; Loss</v>
      </c>
      <c r="E24" s="7" t="str">
        <f aca="false">HYPERLINK("#'BALANCE SHEET'!A1","Balance Sheet")</f>
        <v>Balance Sheet</v>
      </c>
      <c r="F24" s="187" t="s">
        <v>1871</v>
      </c>
    </row>
    <row r="25" customFormat="false" ht="15" hidden="false" customHeight="true" outlineLevel="0" collapsed="false">
      <c r="A25" s="120" t="s">
        <v>1702</v>
      </c>
      <c r="B25" s="188" t="n">
        <f aca="false">SUMIF(DATA_RECEIPTS!$G$6:$G$75,A25,DATA_RECEIPTS!$E$6:$E$75)</f>
        <v>3650</v>
      </c>
      <c r="E25" s="196" t="s">
        <v>1864</v>
      </c>
      <c r="F25" s="197" t="n">
        <f aca="false">SUMIF(DATA_BANK!$A$6:$A$10,E25,DATA_BANK!$D$6:$D$10)</f>
        <v>7159.5</v>
      </c>
    </row>
    <row r="26" customFormat="false" ht="15" hidden="false" customHeight="true" outlineLevel="0" collapsed="false">
      <c r="A26" s="120" t="s">
        <v>1693</v>
      </c>
      <c r="B26" s="188" t="n">
        <f aca="false">SUMIF(DATA_RECEIPTS!$G$6:$G$75,A26,DATA_RECEIPTS!$E$6:$E$75)</f>
        <v>8400</v>
      </c>
      <c r="E26" s="196" t="s">
        <v>1865</v>
      </c>
      <c r="F26" s="197" t="n">
        <f aca="false">SUMIF(DATA_BANK!$A$6:$A$10,E26,DATA_BANK!$D$6:$D$10)</f>
        <v>1300</v>
      </c>
    </row>
    <row r="27" customFormat="false" ht="15" hidden="false" customHeight="true" outlineLevel="0" collapsed="false">
      <c r="E27" s="196" t="s">
        <v>1866</v>
      </c>
      <c r="F27" s="197" t="n">
        <f aca="false">SUMIF(DATA_BANK!$A$6:$A$10,E27,DATA_BANK!$D$6:$D$10)</f>
        <v>1832.98</v>
      </c>
    </row>
    <row r="28" customFormat="false" ht="14.25" hidden="false" customHeight="true" outlineLevel="0" collapsed="false">
      <c r="A28" s="120"/>
      <c r="B28" s="188"/>
      <c r="E28" s="196" t="s">
        <v>1867</v>
      </c>
      <c r="F28" s="197" t="n">
        <f aca="false">SUMIF(DATA_BANK!$A$6:$A$10,E28,DATA_BANK!$D$6:$D$10)</f>
        <v>2491.31</v>
      </c>
    </row>
    <row r="29" customFormat="false" ht="14.25" hidden="false" customHeight="true" outlineLevel="0" collapsed="false">
      <c r="E29" s="193" t="n">
        <v>46266</v>
      </c>
      <c r="F29" s="46" t="n">
        <f aca="false">D15</f>
        <v>466.09</v>
      </c>
    </row>
  </sheetData>
  <sheetProtection sheet="true" objects="true" scenarios="true"/>
  <mergeCells count="14">
    <mergeCell ref="A1:L1"/>
    <mergeCell ref="A2:L2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D5B5"/>
    <pageSetUpPr fitToPage="true"/>
  </sheetPr>
  <dimension ref="A1:N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18" activePane="bottomLeft" state="frozen"/>
      <selection pane="topLeft" activeCell="A1" activeCellId="0" sqref="A1"/>
      <selection pane="bottomLeft" activeCell="B30" activeCellId="1" sqref="A1:L7 B30"/>
    </sheetView>
  </sheetViews>
  <sheetFormatPr defaultColWidth="8.6796875" defaultRowHeight="12.8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8.45"/>
    <col collapsed="false" customWidth="true" hidden="false" outlineLevel="0" max="10" min="10" style="0" width="18"/>
    <col collapsed="false" customWidth="true" hidden="false" outlineLevel="0" max="11" min="11" style="0" width="26"/>
    <col collapsed="false" customWidth="true" hidden="false" outlineLevel="0" max="12" min="12" style="0" width="20"/>
    <col collapsed="false" customWidth="true" hidden="false" outlineLevel="0" max="13" min="13" style="0" width="22"/>
    <col collapsed="false" customWidth="true" hidden="false" outlineLevel="0" max="14" min="14" style="0" width="18"/>
  </cols>
  <sheetData>
    <row r="1" customFormat="false" ht="27.75" hidden="false" customHeight="true" outlineLevel="0" collapsed="false">
      <c r="A1" s="199" t="s">
        <v>1872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200" t="str">
        <f aca="false">HYPERLINK("#'DATA_PIPELINE'!A1","↗ DATA PIPELINE")</f>
        <v>↗ DATA PIPELINE</v>
      </c>
    </row>
    <row r="2" customFormat="false" ht="33.75" hidden="false" customHeight="true" outlineLevel="0" collapsed="false">
      <c r="A2" s="201" t="s">
        <v>1873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</row>
    <row r="3" customFormat="false" ht="13.8" hidden="false" customHeight="false" outlineLevel="0" collapsed="false"/>
    <row r="4" customFormat="false" ht="13.8" hidden="false" customHeight="false" outlineLevel="0" collapsed="false">
      <c r="A4" s="202" t="s">
        <v>1874</v>
      </c>
      <c r="B4" s="202"/>
      <c r="D4" s="202" t="s">
        <v>1875</v>
      </c>
      <c r="E4" s="202"/>
      <c r="G4" s="202" t="s">
        <v>1876</v>
      </c>
      <c r="H4" s="202"/>
      <c r="J4" s="202" t="s">
        <v>5</v>
      </c>
      <c r="K4" s="202"/>
    </row>
    <row r="5" customFormat="false" ht="17.35" hidden="false" customHeight="false" outlineLevel="0" collapsed="false">
      <c r="A5" s="203" t="n">
        <f aca="false">COUNTA(A9:A196)</f>
        <v>20</v>
      </c>
      <c r="B5" s="203"/>
      <c r="D5" s="203" t="n">
        <f aca="false">SUM(B9:B196)</f>
        <v>553</v>
      </c>
      <c r="E5" s="203"/>
      <c r="G5" s="203" t="n">
        <f aca="false">SUM(E9:E196)</f>
        <v>30096</v>
      </c>
      <c r="H5" s="203"/>
      <c r="J5" s="203" t="n">
        <f aca="false">SUM(F9:F196)</f>
        <v>55</v>
      </c>
      <c r="K5" s="203"/>
    </row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37.5" hidden="false" customHeight="true" outlineLevel="0" collapsed="false">
      <c r="A8" s="204" t="s">
        <v>1877</v>
      </c>
      <c r="B8" s="204" t="s">
        <v>1878</v>
      </c>
      <c r="C8" s="204" t="s">
        <v>1879</v>
      </c>
      <c r="D8" s="204" t="s">
        <v>1880</v>
      </c>
      <c r="E8" s="204" t="s">
        <v>1876</v>
      </c>
      <c r="F8" s="204" t="s">
        <v>5</v>
      </c>
      <c r="G8" s="204" t="s">
        <v>1881</v>
      </c>
      <c r="H8" s="204" t="s">
        <v>1882</v>
      </c>
      <c r="I8" s="204" t="s">
        <v>151</v>
      </c>
      <c r="J8" s="204" t="s">
        <v>1883</v>
      </c>
      <c r="K8" s="204" t="s">
        <v>1884</v>
      </c>
      <c r="L8" s="204" t="s">
        <v>1885</v>
      </c>
      <c r="M8" s="204" t="s">
        <v>1886</v>
      </c>
      <c r="N8" s="204" t="s">
        <v>1690</v>
      </c>
    </row>
    <row r="9" customFormat="false" ht="14.25" hidden="false" customHeight="false" outlineLevel="0" collapsed="false">
      <c r="A9" s="108" t="s">
        <v>988</v>
      </c>
      <c r="B9" s="108" t="n">
        <f aca="false">COUNTIF(DATA_PIPELINE!$D$5:$D$603,A9)</f>
        <v>29</v>
      </c>
      <c r="C9" s="205" t="n">
        <f aca="false">SUMIF(DATA_PIPELINE!$D$5:$D$603,A9,DATA_PIPELINE!$M$5:$M$603)</f>
        <v>70</v>
      </c>
      <c r="D9" s="205" t="n">
        <f aca="false">SUMIF(DATA_PIPELINE!$D$5:$D$603,A9,DATA_PIPELINE!$N$5:$N$603)</f>
        <v>610</v>
      </c>
      <c r="E9" s="205" t="n">
        <f aca="false">C9+D9</f>
        <v>680</v>
      </c>
      <c r="F9" s="108" t="n">
        <f aca="false" t="array" ref="F9:F9">SUM(COUNTIFS(DATA_PIPELINE!$D$5:$D$603,A9,DATA_PIPELINE!$Y$5:$Y$603,{"Paid","Partly Paid"}))</f>
        <v>3</v>
      </c>
      <c r="G9" s="108" t="n">
        <f aca="false">B9-F9</f>
        <v>26</v>
      </c>
      <c r="H9" s="206" t="n">
        <f aca="false">IFERROR(F9/B9,0)</f>
        <v>0.103448275862069</v>
      </c>
      <c r="I9" s="108" t="str">
        <f aca="false">IFERROR(_xlfn.single(_xlfn.xlookup(A9, DATA_PIPELINE!$D$5:$D$603, DATA_PIPELINE!$H$5:$H$603, "")), "")</f>
        <v>MASHWEST</v>
      </c>
      <c r="J9" s="108" t="str">
        <f aca="false">IFERROR(_xlfn.single(_xlfn.xlookup(A9, DATA_PIPELINE!$D$5:$D$603, DATA_PIPELINE!$G$5:$G$603, "")), "")</f>
        <v> MAKONDE </v>
      </c>
      <c r="K9" s="108" t="str">
        <f aca="false">'CLUSTER PERFORMANCE'!$A9</f>
        <v>BATSIRAYI MAGAYA</v>
      </c>
      <c r="L9" s="108" t="s">
        <v>1887</v>
      </c>
      <c r="M9" s="207" t="n">
        <f aca="false">SUMIF(DATA_PIPELINE!$D$5:$D$603,A9,DATA_PIPELINE!$V$5:$V$603)</f>
        <v>14500</v>
      </c>
      <c r="N9" s="207" t="n">
        <f aca="false">SUMIF(DATA_PIPELINE!$D$5:$D$603,A9,DATA_PIPELINE!$W$5:$W$603)</f>
        <v>650</v>
      </c>
    </row>
    <row r="10" customFormat="false" ht="14.25" hidden="false" customHeight="false" outlineLevel="0" collapsed="false">
      <c r="A10" s="108" t="s">
        <v>253</v>
      </c>
      <c r="B10" s="108" t="n">
        <f aca="false">COUNTIF(DATA_PIPELINE!$D$5:$D$603,A10)</f>
        <v>15</v>
      </c>
      <c r="C10" s="205" t="n">
        <f aca="false">SUMIF(DATA_PIPELINE!$D$5:$D$603,A10,DATA_PIPELINE!$M$5:$M$603)</f>
        <v>10</v>
      </c>
      <c r="D10" s="205" t="n">
        <f aca="false">SUMIF(DATA_PIPELINE!$D$5:$D$603,A10,DATA_PIPELINE!$N$5:$N$603)</f>
        <v>575</v>
      </c>
      <c r="E10" s="205" t="n">
        <f aca="false">C10+D10</f>
        <v>585</v>
      </c>
      <c r="F10" s="108" t="n">
        <f aca="false" t="array" ref="F10:F10">SUM(COUNTIFS(DATA_PIPELINE!$D$5:$D$603,A10,DATA_PIPELINE!$Y$5:$Y$603,{"Paid","Partly Paid"}))</f>
        <v>1</v>
      </c>
      <c r="G10" s="108" t="n">
        <f aca="false">B10-F10</f>
        <v>14</v>
      </c>
      <c r="H10" s="206" t="n">
        <f aca="false">IFERROR(F10/B10,0)</f>
        <v>0.0666666666666667</v>
      </c>
      <c r="I10" s="108" t="str">
        <f aca="false">IFERROR(_xlfn.single(_xlfn.xlookup(A10, DATA_PIPELINE!$D$5:$D$603, DATA_PIPELINE!$H$5:$H$603, "")), "")</f>
        <v>MASHWEST</v>
      </c>
      <c r="J10" s="108" t="str">
        <f aca="false">IFERROR(_xlfn.single(_xlfn.xlookup(A10, DATA_PIPELINE!$D$5:$D$603, DATA_PIPELINE!$G$5:$G$603, "")), "")</f>
        <v> CHEGUTU </v>
      </c>
      <c r="K10" s="108" t="str">
        <f aca="false">'CLUSTER PERFORMANCE'!$A10</f>
        <v>BETTY ZUNGUNDE</v>
      </c>
      <c r="L10" s="108" t="s">
        <v>1888</v>
      </c>
      <c r="M10" s="207" t="n">
        <f aca="false">SUMIF(DATA_PIPELINE!$D$5:$D$603,A10,DATA_PIPELINE!$V$5:$V$603)</f>
        <v>7500</v>
      </c>
      <c r="N10" s="207" t="n">
        <f aca="false">SUMIF(DATA_PIPELINE!$D$5:$D$603,A10,DATA_PIPELINE!$W$5:$W$603)</f>
        <v>50</v>
      </c>
    </row>
    <row r="11" customFormat="false" ht="14.25" hidden="false" customHeight="false" outlineLevel="0" collapsed="false">
      <c r="A11" s="108" t="s">
        <v>1475</v>
      </c>
      <c r="B11" s="108" t="n">
        <f aca="false">COUNTIF(DATA_PIPELINE!$D$5:$D$603,A11)</f>
        <v>11</v>
      </c>
      <c r="C11" s="205" t="n">
        <f aca="false">SUMIF(DATA_PIPELINE!$D$5:$D$603,A11,DATA_PIPELINE!$M$5:$M$603)</f>
        <v>2605</v>
      </c>
      <c r="D11" s="205" t="n">
        <f aca="false">SUMIF(DATA_PIPELINE!$D$5:$D$603,A11,DATA_PIPELINE!$N$5:$N$603)</f>
        <v>0</v>
      </c>
      <c r="E11" s="205" t="n">
        <f aca="false">C11+D11</f>
        <v>2605</v>
      </c>
      <c r="F11" s="108" t="n">
        <f aca="false" t="array" ref="F11:F11">SUM(COUNTIFS(DATA_PIPELINE!$D$5:$D$603,A11,DATA_PIPELINE!$Y$5:$Y$603,{"Paid","Partly Paid"}))</f>
        <v>0</v>
      </c>
      <c r="G11" s="108" t="n">
        <f aca="false">B11-F11</f>
        <v>11</v>
      </c>
      <c r="H11" s="206" t="n">
        <f aca="false">IFERROR(F11/B11,0)</f>
        <v>0</v>
      </c>
      <c r="I11" s="108" t="str">
        <f aca="false">IFERROR(_xlfn.single(_xlfn.xlookup(A11, DATA_PIPELINE!$D$5:$D$603, DATA_PIPELINE!$H$5:$H$603, "")), "")</f>
        <v>MASHWEST</v>
      </c>
      <c r="J11" s="108" t="str">
        <f aca="false">IFERROR(_xlfn.single(_xlfn.xlookup(A11, DATA_PIPELINE!$D$5:$D$603, DATA_PIPELINE!$G$5:$G$603, "")), "")</f>
        <v>NK</v>
      </c>
      <c r="K11" s="108" t="str">
        <f aca="false">'CLUSTER PERFORMANCE'!$A11</f>
        <v>BLESSING CHIWERA</v>
      </c>
      <c r="L11" s="108" t="s">
        <v>1889</v>
      </c>
      <c r="M11" s="207" t="n">
        <f aca="false">SUMIF(DATA_PIPELINE!$D$5:$D$603,A11,DATA_PIPELINE!$V$5:$V$603)</f>
        <v>6500</v>
      </c>
      <c r="N11" s="207" t="n">
        <f aca="false">SUMIF(DATA_PIPELINE!$D$5:$D$603,A11,DATA_PIPELINE!$W$5:$W$603)</f>
        <v>0</v>
      </c>
    </row>
    <row r="12" customFormat="false" ht="14.25" hidden="false" customHeight="false" outlineLevel="0" collapsed="false">
      <c r="A12" s="108" t="s">
        <v>319</v>
      </c>
      <c r="B12" s="108" t="n">
        <f aca="false">COUNTIF(DATA_PIPELINE!$D$5:$D$603,A12)</f>
        <v>18</v>
      </c>
      <c r="C12" s="205" t="n">
        <f aca="false">SUMIF(DATA_PIPELINE!$D$5:$D$603,A12,DATA_PIPELINE!$M$5:$M$603)</f>
        <v>10</v>
      </c>
      <c r="D12" s="205" t="n">
        <f aca="false">SUMIF(DATA_PIPELINE!$D$5:$D$603,A12,DATA_PIPELINE!$N$5:$N$603)</f>
        <v>1070</v>
      </c>
      <c r="E12" s="205" t="n">
        <f aca="false">C12+D12</f>
        <v>1080</v>
      </c>
      <c r="F12" s="108" t="n">
        <f aca="false" t="array" ref="F12:F12">SUM(COUNTIFS(DATA_PIPELINE!$D$5:$D$603,A12,DATA_PIPELINE!$Y$5:$Y$603,{"Paid","Partly Paid"}))</f>
        <v>0</v>
      </c>
      <c r="G12" s="108" t="n">
        <f aca="false">B12-F12</f>
        <v>18</v>
      </c>
      <c r="H12" s="206" t="n">
        <f aca="false">IFERROR(F12/B12,0)</f>
        <v>0</v>
      </c>
      <c r="I12" s="108" t="str">
        <f aca="false">IFERROR(_xlfn.single(_xlfn.xlookup(A12, DATA_PIPELINE!$D$5:$D$603, DATA_PIPELINE!$H$5:$H$603, "")), "")</f>
        <v>MASHWEST</v>
      </c>
      <c r="J12" s="108" t="str">
        <f aca="false">IFERROR(_xlfn.single(_xlfn.xlookup(A12, DATA_PIPELINE!$D$5:$D$603, DATA_PIPELINE!$G$5:$G$603, "")), "")</f>
        <v> HURUNGWE </v>
      </c>
      <c r="K12" s="108" t="str">
        <f aca="false">'CLUSTER PERFORMANCE'!$A12</f>
        <v>BRIAN CHIDAVAENZI</v>
      </c>
      <c r="L12" s="108" t="s">
        <v>1890</v>
      </c>
      <c r="M12" s="207" t="n">
        <f aca="false">SUMIF(DATA_PIPELINE!$D$5:$D$603,A12,DATA_PIPELINE!$V$5:$V$603)</f>
        <v>10500</v>
      </c>
      <c r="N12" s="207" t="n">
        <f aca="false">SUMIF(DATA_PIPELINE!$D$5:$D$603,A12,DATA_PIPELINE!$W$5:$W$603)</f>
        <v>0</v>
      </c>
    </row>
    <row r="13" customFormat="false" ht="14.25" hidden="false" customHeight="false" outlineLevel="0" collapsed="false">
      <c r="A13" s="108" t="s">
        <v>358</v>
      </c>
      <c r="B13" s="108" t="n">
        <f aca="false">COUNTIF(DATA_PIPELINE!$D$5:$D$603,A13)</f>
        <v>64</v>
      </c>
      <c r="C13" s="205" t="n">
        <f aca="false">SUMIF(DATA_PIPELINE!$D$5:$D$603,A13,DATA_PIPELINE!$M$5:$M$603)</f>
        <v>252</v>
      </c>
      <c r="D13" s="205" t="n">
        <f aca="false">SUMIF(DATA_PIPELINE!$D$5:$D$603,A13,DATA_PIPELINE!$N$5:$N$603)</f>
        <v>2549</v>
      </c>
      <c r="E13" s="205" t="n">
        <f aca="false">C13+D13</f>
        <v>2801</v>
      </c>
      <c r="F13" s="108" t="n">
        <f aca="false" t="array" ref="F13:F13">SUM(COUNTIFS(DATA_PIPELINE!$D$5:$D$603,A13,DATA_PIPELINE!$Y$5:$Y$603,{"Paid","Partly Paid"}))</f>
        <v>8</v>
      </c>
      <c r="G13" s="108" t="n">
        <f aca="false">B13-F13</f>
        <v>56</v>
      </c>
      <c r="H13" s="206" t="n">
        <f aca="false">IFERROR(F13/B13,0)</f>
        <v>0.125</v>
      </c>
      <c r="I13" s="108" t="str">
        <f aca="false">IFERROR(_xlfn.single(_xlfn.xlookup(A13, DATA_PIPELINE!$D$5:$D$603, DATA_PIPELINE!$H$5:$H$603, "")), "")</f>
        <v>MASHWEST</v>
      </c>
      <c r="J13" s="108" t="str">
        <f aca="false">IFERROR(_xlfn.single(_xlfn.xlookup(A13, DATA_PIPELINE!$D$5:$D$603, DATA_PIPELINE!$G$5:$G$603, "")), "")</f>
        <v> HURUNGWE </v>
      </c>
      <c r="K13" s="108" t="str">
        <f aca="false">'CLUSTER PERFORMANCE'!$A13</f>
        <v>COMMENT TONDERAYI MUTARA</v>
      </c>
      <c r="L13" s="108" t="s">
        <v>1891</v>
      </c>
      <c r="M13" s="207" t="n">
        <f aca="false">SUMIF(DATA_PIPELINE!$D$5:$D$603,A13,DATA_PIPELINE!$V$5:$V$603)</f>
        <v>32500</v>
      </c>
      <c r="N13" s="207" t="n">
        <f aca="false">SUMIF(DATA_PIPELINE!$D$5:$D$603,A13,DATA_PIPELINE!$W$5:$W$603)</f>
        <v>2800</v>
      </c>
    </row>
    <row r="14" customFormat="false" ht="14.25" hidden="false" customHeight="false" outlineLevel="0" collapsed="false">
      <c r="A14" s="108" t="s">
        <v>171</v>
      </c>
      <c r="B14" s="108" t="n">
        <f aca="false">COUNTIF(DATA_PIPELINE!$D$5:$D$603,A14)</f>
        <v>35</v>
      </c>
      <c r="C14" s="205" t="n">
        <f aca="false">SUMIF(DATA_PIPELINE!$D$5:$D$603,A14,DATA_PIPELINE!$M$5:$M$603)</f>
        <v>1086</v>
      </c>
      <c r="D14" s="205" t="n">
        <f aca="false">SUMIF(DATA_PIPELINE!$D$5:$D$603,A14,DATA_PIPELINE!$N$5:$N$603)</f>
        <v>1213</v>
      </c>
      <c r="E14" s="205" t="n">
        <f aca="false">C14+D14</f>
        <v>2299</v>
      </c>
      <c r="F14" s="108" t="n">
        <f aca="false" t="array" ref="F14:F14">SUM(COUNTIFS(DATA_PIPELINE!$D$5:$D$603,A14,DATA_PIPELINE!$Y$5:$Y$603,{"Paid","Partly Paid"}))</f>
        <v>1</v>
      </c>
      <c r="G14" s="108" t="n">
        <f aca="false">B14-F14</f>
        <v>34</v>
      </c>
      <c r="H14" s="206" t="n">
        <f aca="false">IFERROR(F14/B14,0)</f>
        <v>0.0285714285714286</v>
      </c>
      <c r="I14" s="108" t="str">
        <f aca="false">IFERROR(_xlfn.single(_xlfn.xlookup(A14, DATA_PIPELINE!$D$5:$D$603, DATA_PIPELINE!$H$5:$H$603, "")), "")</f>
        <v>MASHWEST</v>
      </c>
      <c r="J14" s="108" t="str">
        <f aca="false">IFERROR(_xlfn.single(_xlfn.xlookup(A14, DATA_PIPELINE!$D$5:$D$603, DATA_PIPELINE!$G$5:$G$603, "")), "")</f>
        <v> CHEGUTU </v>
      </c>
      <c r="K14" s="108" t="str">
        <f aca="false">'CLUSTER PERFORMANCE'!$A14</f>
        <v>DANMORE MUDAVANHU</v>
      </c>
      <c r="L14" s="108" t="s">
        <v>1892</v>
      </c>
      <c r="M14" s="207" t="n">
        <f aca="false">SUMIF(DATA_PIPELINE!$D$5:$D$603,A14,DATA_PIPELINE!$V$5:$V$603)</f>
        <v>18000</v>
      </c>
      <c r="N14" s="207" t="n">
        <f aca="false">SUMIF(DATA_PIPELINE!$D$5:$D$603,A14,DATA_PIPELINE!$W$5:$W$603)</f>
        <v>100</v>
      </c>
    </row>
    <row r="15" customFormat="false" ht="14.25" hidden="false" customHeight="false" outlineLevel="0" collapsed="false">
      <c r="A15" s="108" t="s">
        <v>1288</v>
      </c>
      <c r="B15" s="108" t="n">
        <f aca="false">COUNTIF(DATA_PIPELINE!$D$5:$D$603,A15)</f>
        <v>4</v>
      </c>
      <c r="C15" s="205" t="n">
        <f aca="false">SUMIF(DATA_PIPELINE!$D$5:$D$603,A15,DATA_PIPELINE!$M$5:$M$603)</f>
        <v>0</v>
      </c>
      <c r="D15" s="205" t="n">
        <f aca="false">SUMIF(DATA_PIPELINE!$D$5:$D$603,A15,DATA_PIPELINE!$N$5:$N$603)</f>
        <v>95</v>
      </c>
      <c r="E15" s="205" t="n">
        <f aca="false">C15+D15</f>
        <v>95</v>
      </c>
      <c r="F15" s="108" t="n">
        <f aca="false" t="array" ref="F15:F15">SUM(COUNTIFS(DATA_PIPELINE!$D$5:$D$603,A15,DATA_PIPELINE!$Y$5:$Y$603,{"Paid","Partly Paid"}))</f>
        <v>1</v>
      </c>
      <c r="G15" s="108" t="n">
        <f aca="false">B15-F15</f>
        <v>3</v>
      </c>
      <c r="H15" s="206" t="n">
        <f aca="false">IFERROR(F15/B15,0)</f>
        <v>0.25</v>
      </c>
      <c r="I15" s="108" t="str">
        <f aca="false">IFERROR(_xlfn.single(_xlfn.xlookup(A15, DATA_PIPELINE!$D$5:$D$603, DATA_PIPELINE!$H$5:$H$603, "")), "")</f>
        <v>MASHWEST</v>
      </c>
      <c r="J15" s="108" t="str">
        <f aca="false">IFERROR(_xlfn.single(_xlfn.xlookup(A15, DATA_PIPELINE!$D$5:$D$603, DATA_PIPELINE!$G$5:$G$603, "")), "")</f>
        <v> MAKONDE </v>
      </c>
      <c r="K15" s="108" t="str">
        <f aca="false">'CLUSTER PERFORMANCE'!$A15</f>
        <v>JAMES MASANGO</v>
      </c>
      <c r="L15" s="108" t="s">
        <v>1893</v>
      </c>
      <c r="M15" s="207" t="n">
        <f aca="false">SUMIF(DATA_PIPELINE!$D$5:$D$603,A15,DATA_PIPELINE!$V$5:$V$603)</f>
        <v>2000</v>
      </c>
      <c r="N15" s="207" t="n">
        <f aca="false">SUMIF(DATA_PIPELINE!$D$5:$D$603,A15,DATA_PIPELINE!$W$5:$W$603)</f>
        <v>50</v>
      </c>
    </row>
    <row r="16" customFormat="false" ht="14.25" hidden="false" customHeight="false" outlineLevel="0" collapsed="false">
      <c r="A16" s="108" t="s">
        <v>1484</v>
      </c>
      <c r="B16" s="108" t="n">
        <f aca="false">COUNTIF(DATA_PIPELINE!$D$5:$D$603,A16)</f>
        <v>1</v>
      </c>
      <c r="C16" s="205" t="n">
        <f aca="false">SUMIF(DATA_PIPELINE!$D$5:$D$603,A16,DATA_PIPELINE!$M$5:$M$603)</f>
        <v>50</v>
      </c>
      <c r="D16" s="205" t="n">
        <f aca="false">SUMIF(DATA_PIPELINE!$D$5:$D$603,A16,DATA_PIPELINE!$N$5:$N$603)</f>
        <v>0</v>
      </c>
      <c r="E16" s="205" t="n">
        <f aca="false">C16+D16</f>
        <v>50</v>
      </c>
      <c r="F16" s="108" t="n">
        <f aca="false" t="array" ref="F16:F16">SUM(COUNTIFS(DATA_PIPELINE!$D$5:$D$603,A16,DATA_PIPELINE!$Y$5:$Y$603,{"Paid","Partly Paid"}))</f>
        <v>0</v>
      </c>
      <c r="G16" s="108" t="n">
        <f aca="false">B16-F16</f>
        <v>1</v>
      </c>
      <c r="H16" s="206" t="n">
        <f aca="false">IFERROR(F16/B16,0)</f>
        <v>0</v>
      </c>
      <c r="I16" s="108" t="str">
        <f aca="false">IFERROR(_xlfn.single(_xlfn.xlookup(A16, DATA_PIPELINE!$D$5:$D$603, DATA_PIPELINE!$H$5:$H$603, "")), "")</f>
        <v>MIDLADS</v>
      </c>
      <c r="J16" s="108" t="str">
        <f aca="false">IFERROR(_xlfn.single(_xlfn.xlookup(A16, DATA_PIPELINE!$D$5:$D$603, DATA_PIPELINE!$G$5:$G$603, "")), "")</f>
        <v/>
      </c>
      <c r="K16" s="108" t="str">
        <f aca="false">'CLUSTER PERFORMANCE'!$A16</f>
        <v>LIBERTY MASHURA</v>
      </c>
      <c r="L16" s="108" t="s">
        <v>1894</v>
      </c>
      <c r="M16" s="207" t="n">
        <f aca="false">SUMIF(DATA_PIPELINE!$D$5:$D$603,A16,DATA_PIPELINE!$V$5:$V$603)</f>
        <v>500</v>
      </c>
      <c r="N16" s="207" t="n">
        <f aca="false">SUMIF(DATA_PIPELINE!$D$5:$D$603,A16,DATA_PIPELINE!$W$5:$W$603)</f>
        <v>0</v>
      </c>
    </row>
    <row r="17" customFormat="false" ht="14.25" hidden="false" customHeight="false" outlineLevel="0" collapsed="false">
      <c r="A17" s="108" t="s">
        <v>531</v>
      </c>
      <c r="B17" s="108" t="n">
        <f aca="false">COUNTIF(DATA_PIPELINE!$D$5:$D$603,A17)</f>
        <v>23</v>
      </c>
      <c r="C17" s="205" t="n">
        <f aca="false">SUMIF(DATA_PIPELINE!$D$5:$D$603,A17,DATA_PIPELINE!$M$5:$M$603)</f>
        <v>420</v>
      </c>
      <c r="D17" s="205" t="n">
        <f aca="false">SUMIF(DATA_PIPELINE!$D$5:$D$603,A17,DATA_PIPELINE!$N$5:$N$603)</f>
        <v>790</v>
      </c>
      <c r="E17" s="205" t="n">
        <f aca="false">C17+D17</f>
        <v>1210</v>
      </c>
      <c r="F17" s="108" t="n">
        <f aca="false" t="array" ref="F17:F17">SUM(COUNTIFS(DATA_PIPELINE!$D$5:$D$603,A17,DATA_PIPELINE!$Y$5:$Y$603,{"Paid","Partly Paid"}))</f>
        <v>5</v>
      </c>
      <c r="G17" s="108" t="n">
        <f aca="false">B17-F17</f>
        <v>18</v>
      </c>
      <c r="H17" s="206" t="n">
        <f aca="false">IFERROR(F17/B17,0)</f>
        <v>0.217391304347826</v>
      </c>
      <c r="I17" s="108" t="str">
        <f aca="false">IFERROR(_xlfn.single(_xlfn.xlookup(A17, DATA_PIPELINE!$D$5:$D$603, DATA_PIPELINE!$H$5:$H$603, "")), "")</f>
        <v>MASHWEST</v>
      </c>
      <c r="J17" s="108" t="str">
        <f aca="false">IFERROR(_xlfn.single(_xlfn.xlookup(A17, DATA_PIPELINE!$D$5:$D$603, DATA_PIPELINE!$G$5:$G$603, "")), "")</f>
        <v> MAKONDE </v>
      </c>
      <c r="K17" s="108" t="str">
        <f aca="false">'CLUSTER PERFORMANCE'!$A17</f>
        <v>MISHECK PARADZANWA</v>
      </c>
      <c r="L17" s="108" t="s">
        <v>1895</v>
      </c>
      <c r="M17" s="207" t="n">
        <f aca="false">SUMIF(DATA_PIPELINE!$D$5:$D$603,A17,DATA_PIPELINE!$V$5:$V$603)</f>
        <v>12500</v>
      </c>
      <c r="N17" s="207" t="n">
        <f aca="false">SUMIF(DATA_PIPELINE!$D$5:$D$603,A17,DATA_PIPELINE!$W$5:$W$603)</f>
        <v>350</v>
      </c>
    </row>
    <row r="18" customFormat="false" ht="14.25" hidden="false" customHeight="false" outlineLevel="0" collapsed="false">
      <c r="A18" s="108" t="s">
        <v>803</v>
      </c>
      <c r="B18" s="108" t="n">
        <f aca="false">COUNTIF(DATA_PIPELINE!$D$5:$D$603,A18)</f>
        <v>77</v>
      </c>
      <c r="C18" s="205" t="n">
        <f aca="false">SUMIF(DATA_PIPELINE!$D$5:$D$603,A18,DATA_PIPELINE!$M$5:$M$603)</f>
        <v>281</v>
      </c>
      <c r="D18" s="205" t="n">
        <f aca="false">SUMIF(DATA_PIPELINE!$D$5:$D$603,A18,DATA_PIPELINE!$N$5:$N$603)</f>
        <v>1875</v>
      </c>
      <c r="E18" s="205" t="n">
        <f aca="false">C18+D18</f>
        <v>2156</v>
      </c>
      <c r="F18" s="108" t="n">
        <f aca="false" t="array" ref="F18:F18">SUM(COUNTIFS(DATA_PIPELINE!$D$5:$D$603,A18,DATA_PIPELINE!$Y$5:$Y$603,{"Paid","Partly Paid"}))</f>
        <v>14</v>
      </c>
      <c r="G18" s="108" t="n">
        <f aca="false">B18-F18</f>
        <v>63</v>
      </c>
      <c r="H18" s="206" t="n">
        <f aca="false">IFERROR(F18/B18,0)</f>
        <v>0.181818181818182</v>
      </c>
      <c r="I18" s="108" t="str">
        <f aca="false">IFERROR(_xlfn.single(_xlfn.xlookup(A18, DATA_PIPELINE!$D$5:$D$603, DATA_PIPELINE!$H$5:$H$603, "")), "")</f>
        <v>MASHWEST</v>
      </c>
      <c r="J18" s="108" t="str">
        <f aca="false">IFERROR(_xlfn.single(_xlfn.xlookup(A18, DATA_PIPELINE!$D$5:$D$603, DATA_PIPELINE!$G$5:$G$603, "")), "")</f>
        <v> MAKONDE </v>
      </c>
      <c r="K18" s="108" t="str">
        <f aca="false">'CLUSTER PERFORMANCE'!$A18</f>
        <v>MOFFAT SEFU </v>
      </c>
      <c r="L18" s="108" t="s">
        <v>1896</v>
      </c>
      <c r="M18" s="207" t="n">
        <f aca="false">SUMIF(DATA_PIPELINE!$D$5:$D$603,A18,DATA_PIPELINE!$V$5:$V$603)</f>
        <v>39000</v>
      </c>
      <c r="N18" s="207" t="n">
        <f aca="false">SUMIF(DATA_PIPELINE!$D$5:$D$603,A18,DATA_PIPELINE!$W$5:$W$603)</f>
        <v>2175</v>
      </c>
    </row>
    <row r="19" customFormat="false" ht="14.25" hidden="false" customHeight="false" outlineLevel="0" collapsed="false">
      <c r="A19" s="108" t="s">
        <v>1481</v>
      </c>
      <c r="B19" s="108" t="n">
        <f aca="false">COUNTIF(DATA_PIPELINE!$D$5:$D$603,A19)</f>
        <v>2</v>
      </c>
      <c r="C19" s="205" t="n">
        <f aca="false">SUMIF(DATA_PIPELINE!$D$5:$D$603,A19,DATA_PIPELINE!$M$5:$M$603)</f>
        <v>400</v>
      </c>
      <c r="D19" s="205" t="n">
        <f aca="false">SUMIF(DATA_PIPELINE!$D$5:$D$603,A19,DATA_PIPELINE!$N$5:$N$603)</f>
        <v>0</v>
      </c>
      <c r="E19" s="205" t="n">
        <f aca="false">C19+D19</f>
        <v>400</v>
      </c>
      <c r="F19" s="108" t="n">
        <f aca="false" t="array" ref="F19:F19">SUM(COUNTIFS(DATA_PIPELINE!$D$5:$D$603,A19,DATA_PIPELINE!$Y$5:$Y$603,{"Paid","Partly Paid"}))</f>
        <v>0</v>
      </c>
      <c r="G19" s="108" t="n">
        <f aca="false">B19-F19</f>
        <v>2</v>
      </c>
      <c r="H19" s="206" t="n">
        <f aca="false">IFERROR(F19/B19,0)</f>
        <v>0</v>
      </c>
      <c r="I19" s="108" t="str">
        <f aca="false">IFERROR(_xlfn.single(_xlfn.xlookup(A19, DATA_PIPELINE!$D$5:$D$603, DATA_PIPELINE!$H$5:$H$603, "")), "")</f>
        <v>MATABELELAND SOUTH</v>
      </c>
      <c r="J19" s="108" t="str">
        <f aca="false">IFERROR(_xlfn.single(_xlfn.xlookup(A19, DATA_PIPELINE!$D$5:$D$603, DATA_PIPELINE!$G$5:$G$603, "")), "")</f>
        <v/>
      </c>
      <c r="K19" s="108" t="str">
        <f aca="false">'CLUSTER PERFORMANCE'!$A19</f>
        <v>MOHADI</v>
      </c>
      <c r="L19" s="108"/>
      <c r="M19" s="207" t="n">
        <f aca="false">SUMIF(DATA_PIPELINE!$D$5:$D$603,A19,DATA_PIPELINE!$V$5:$V$603)</f>
        <v>2000</v>
      </c>
      <c r="N19" s="207" t="n">
        <f aca="false">SUMIF(DATA_PIPELINE!$D$5:$D$603,A19,DATA_PIPELINE!$W$5:$W$603)</f>
        <v>0</v>
      </c>
    </row>
    <row r="20" customFormat="false" ht="14.25" hidden="false" customHeight="false" outlineLevel="0" collapsed="false">
      <c r="A20" s="108" t="s">
        <v>1137</v>
      </c>
      <c r="B20" s="108" t="n">
        <f aca="false">COUNTIF(DATA_PIPELINE!$D$5:$D$603,A20)</f>
        <v>12</v>
      </c>
      <c r="C20" s="205" t="n">
        <f aca="false">SUMIF(DATA_PIPELINE!$D$5:$D$603,A20,DATA_PIPELINE!$M$5:$M$603)</f>
        <v>100</v>
      </c>
      <c r="D20" s="205" t="n">
        <f aca="false">SUMIF(DATA_PIPELINE!$D$5:$D$603,A20,DATA_PIPELINE!$N$5:$N$603)</f>
        <v>230</v>
      </c>
      <c r="E20" s="205" t="n">
        <f aca="false">C20+D20</f>
        <v>330</v>
      </c>
      <c r="F20" s="108" t="n">
        <f aca="false" t="array" ref="F20:F20">SUM(COUNTIFS(DATA_PIPELINE!$D$5:$D$603,A20,DATA_PIPELINE!$Y$5:$Y$603,{"Paid","Partly Paid"}))</f>
        <v>0</v>
      </c>
      <c r="G20" s="108" t="n">
        <f aca="false">B20-F20</f>
        <v>12</v>
      </c>
      <c r="H20" s="206" t="n">
        <f aca="false">IFERROR(F20/B20,0)</f>
        <v>0</v>
      </c>
      <c r="I20" s="108" t="str">
        <f aca="false">IFERROR(_xlfn.single(_xlfn.xlookup(A20, DATA_PIPELINE!$D$5:$D$603, DATA_PIPELINE!$H$5:$H$603, "")), "")</f>
        <v>MASHWEST</v>
      </c>
      <c r="J20" s="108" t="str">
        <f aca="false">IFERROR(_xlfn.single(_xlfn.xlookup(A20, DATA_PIPELINE!$D$5:$D$603, DATA_PIPELINE!$G$5:$G$603, "")), "")</f>
        <v> MAKONDE </v>
      </c>
      <c r="K20" s="108" t="str">
        <f aca="false">'CLUSTER PERFORMANCE'!$A20</f>
        <v>TAFADZWA MUSIIWA </v>
      </c>
      <c r="L20" s="108" t="s">
        <v>1897</v>
      </c>
      <c r="M20" s="207" t="n">
        <f aca="false">SUMIF(DATA_PIPELINE!$D$5:$D$603,A20,DATA_PIPELINE!$V$5:$V$603)</f>
        <v>6000</v>
      </c>
      <c r="N20" s="207" t="n">
        <f aca="false">SUMIF(DATA_PIPELINE!$D$5:$D$603,A20,DATA_PIPELINE!$W$5:$W$603)</f>
        <v>0</v>
      </c>
    </row>
    <row r="21" customFormat="false" ht="14.25" hidden="false" customHeight="false" outlineLevel="0" collapsed="false">
      <c r="A21" s="108" t="s">
        <v>364</v>
      </c>
      <c r="B21" s="108" t="n">
        <f aca="false">COUNTIF(DATA_PIPELINE!$D$5:$D$603,A21)</f>
        <v>20</v>
      </c>
      <c r="C21" s="205" t="n">
        <f aca="false">SUMIF(DATA_PIPELINE!$D$5:$D$603,A21,DATA_PIPELINE!$M$5:$M$603)</f>
        <v>280</v>
      </c>
      <c r="D21" s="205" t="n">
        <f aca="false">SUMIF(DATA_PIPELINE!$D$5:$D$603,A21,DATA_PIPELINE!$N$5:$N$603)</f>
        <v>1360</v>
      </c>
      <c r="E21" s="205" t="n">
        <f aca="false">C21+D21</f>
        <v>1640</v>
      </c>
      <c r="F21" s="108" t="n">
        <f aca="false" t="array" ref="F21:F21">SUM(COUNTIFS(DATA_PIPELINE!$D$5:$D$603,A21,DATA_PIPELINE!$Y$5:$Y$603,{"Paid","Partly Paid"}))</f>
        <v>2</v>
      </c>
      <c r="G21" s="108" t="n">
        <f aca="false">B21-F21</f>
        <v>18</v>
      </c>
      <c r="H21" s="206" t="n">
        <f aca="false">IFERROR(F21/B21,0)</f>
        <v>0.1</v>
      </c>
      <c r="I21" s="108" t="str">
        <f aca="false">IFERROR(_xlfn.single(_xlfn.xlookup(A21, DATA_PIPELINE!$D$5:$D$603, DATA_PIPELINE!$H$5:$H$603, "")), "")</f>
        <v>MASHCENTRAL</v>
      </c>
      <c r="J21" s="108" t="str">
        <f aca="false">IFERROR(_xlfn.single(_xlfn.xlookup(A21, DATA_PIPELINE!$D$5:$D$603, DATA_PIPELINE!$G$5:$G$603, "")), "")</f>
        <v> GOROMONZI </v>
      </c>
      <c r="K21" s="108" t="str">
        <f aca="false">'CLUSTER PERFORMANCE'!$A21</f>
        <v>PHIBEON MUTIBURA</v>
      </c>
      <c r="L21" s="108" t="s">
        <v>1898</v>
      </c>
      <c r="M21" s="207" t="n">
        <f aca="false">SUMIF(DATA_PIPELINE!$D$5:$D$603,A21,DATA_PIPELINE!$V$5:$V$603)</f>
        <v>10500</v>
      </c>
      <c r="N21" s="207" t="n">
        <f aca="false">SUMIF(DATA_PIPELINE!$D$5:$D$603,A21,DATA_PIPELINE!$W$5:$W$603)</f>
        <v>1500</v>
      </c>
    </row>
    <row r="22" customFormat="false" ht="14.25" hidden="false" customHeight="false" outlineLevel="0" collapsed="false">
      <c r="A22" s="108" t="s">
        <v>918</v>
      </c>
      <c r="B22" s="108" t="n">
        <f aca="false">COUNTIF(DATA_PIPELINE!$D$5:$D$603,A22)</f>
        <v>31</v>
      </c>
      <c r="C22" s="205" t="n">
        <f aca="false">SUMIF(DATA_PIPELINE!$D$5:$D$603,A22,DATA_PIPELINE!$M$5:$M$603)</f>
        <v>2050</v>
      </c>
      <c r="D22" s="205" t="n">
        <f aca="false">SUMIF(DATA_PIPELINE!$D$5:$D$603,A22,DATA_PIPELINE!$N$5:$N$603)</f>
        <v>1325</v>
      </c>
      <c r="E22" s="205" t="n">
        <f aca="false">C22+D22</f>
        <v>3375</v>
      </c>
      <c r="F22" s="108" t="n">
        <f aca="false" t="array" ref="F22:F22">SUM(COUNTIFS(DATA_PIPELINE!$D$5:$D$603,A22,DATA_PIPELINE!$Y$5:$Y$603,{"Paid","Partly Paid"}))</f>
        <v>2</v>
      </c>
      <c r="G22" s="108" t="n">
        <f aca="false">B22-F22</f>
        <v>29</v>
      </c>
      <c r="H22" s="206" t="n">
        <f aca="false">IFERROR(F22/B22,0)</f>
        <v>0.0645161290322581</v>
      </c>
      <c r="I22" s="108" t="str">
        <f aca="false">IFERROR(_xlfn.single(_xlfn.xlookup(A22, DATA_PIPELINE!$D$5:$D$603, DATA_PIPELINE!$H$5:$H$603, "")), "")</f>
        <v>MASHWEST</v>
      </c>
      <c r="J22" s="108" t="str">
        <f aca="false">IFERROR(_xlfn.single(_xlfn.xlookup(A22, DATA_PIPELINE!$D$5:$D$603, DATA_PIPELINE!$G$5:$G$603, "")), "")</f>
        <v> MAKONDE </v>
      </c>
      <c r="K22" s="108" t="str">
        <f aca="false">'CLUSTER PERFORMANCE'!$A22</f>
        <v>RICHARD JENAMI</v>
      </c>
      <c r="L22" s="108" t="s">
        <v>1899</v>
      </c>
      <c r="M22" s="207" t="n">
        <f aca="false">SUMIF(DATA_PIPELINE!$D$5:$D$603,A22,DATA_PIPELINE!$V$5:$V$603)</f>
        <v>16000</v>
      </c>
      <c r="N22" s="207" t="n">
        <f aca="false">SUMIF(DATA_PIPELINE!$D$5:$D$603,A22,DATA_PIPELINE!$W$5:$W$603)</f>
        <v>700</v>
      </c>
    </row>
    <row r="23" customFormat="false" ht="14.25" hidden="false" customHeight="false" outlineLevel="0" collapsed="false">
      <c r="A23" s="108" t="s">
        <v>1489</v>
      </c>
      <c r="B23" s="108" t="n">
        <f aca="false">COUNTIF(DATA_PIPELINE!$D$5:$D$603,A23)</f>
        <v>4</v>
      </c>
      <c r="C23" s="205" t="n">
        <f aca="false">SUMIF(DATA_PIPELINE!$D$5:$D$603,A23,DATA_PIPELINE!$M$5:$M$603)</f>
        <v>130</v>
      </c>
      <c r="D23" s="205" t="n">
        <f aca="false">SUMIF(DATA_PIPELINE!$D$5:$D$603,A23,DATA_PIPELINE!$N$5:$N$603)</f>
        <v>30</v>
      </c>
      <c r="E23" s="205" t="n">
        <f aca="false">C23+D23</f>
        <v>160</v>
      </c>
      <c r="F23" s="108" t="n">
        <f aca="false" t="array" ref="F23:F23">SUM(COUNTIFS(DATA_PIPELINE!$D$5:$D$603,A23,DATA_PIPELINE!$Y$5:$Y$603,{"Paid","Partly Paid"}))</f>
        <v>1</v>
      </c>
      <c r="G23" s="108" t="n">
        <f aca="false">B23-F23</f>
        <v>3</v>
      </c>
      <c r="H23" s="206" t="n">
        <f aca="false">IFERROR(F23/B23,0)</f>
        <v>0.25</v>
      </c>
      <c r="I23" s="108" t="str">
        <f aca="false">IFERROR(_xlfn.single(_xlfn.xlookup(A23, DATA_PIPELINE!$D$5:$D$603, DATA_PIPELINE!$H$5:$H$603, "")), "")</f>
        <v>MASHEAST</v>
      </c>
      <c r="J23" s="108" t="str">
        <f aca="false">IFERROR(_xlfn.single(_xlfn.xlookup(A23, DATA_PIPELINE!$D$5:$D$603, DATA_PIPELINE!$G$5:$G$603, "")), "")</f>
        <v/>
      </c>
      <c r="K23" s="108" t="str">
        <f aca="false">'CLUSTER PERFORMANCE'!$A23</f>
        <v>TAFADZWA NHUNDU</v>
      </c>
      <c r="L23" s="108" t="s">
        <v>1900</v>
      </c>
      <c r="M23" s="207" t="n">
        <f aca="false">SUMIF(DATA_PIPELINE!$D$5:$D$603,A23,DATA_PIPELINE!$V$5:$V$603)</f>
        <v>2000</v>
      </c>
      <c r="N23" s="207" t="n">
        <f aca="false">SUMIF(DATA_PIPELINE!$D$5:$D$603,A23,DATA_PIPELINE!$W$5:$W$603)</f>
        <v>500</v>
      </c>
    </row>
    <row r="24" customFormat="false" ht="14.25" hidden="false" customHeight="false" outlineLevel="0" collapsed="false">
      <c r="A24" s="108" t="s">
        <v>283</v>
      </c>
      <c r="B24" s="108" t="n">
        <f aca="false">COUNTIF(DATA_PIPELINE!$D$5:$D$603,A24)</f>
        <v>15</v>
      </c>
      <c r="C24" s="205" t="n">
        <f aca="false">SUMIF(DATA_PIPELINE!$D$5:$D$603,A24,DATA_PIPELINE!$M$5:$M$603)</f>
        <v>100</v>
      </c>
      <c r="D24" s="205" t="n">
        <f aca="false">SUMIF(DATA_PIPELINE!$D$5:$D$603,A24,DATA_PIPELINE!$N$5:$N$603)</f>
        <v>1895</v>
      </c>
      <c r="E24" s="205" t="n">
        <f aca="false">C24+D24</f>
        <v>1995</v>
      </c>
      <c r="F24" s="108" t="n">
        <f aca="false" t="array" ref="F24:F24">SUM(COUNTIFS(DATA_PIPELINE!$D$5:$D$603,A24,DATA_PIPELINE!$Y$5:$Y$603,{"Paid","Partly Paid"}))</f>
        <v>2</v>
      </c>
      <c r="G24" s="108" t="n">
        <f aca="false">B24-F24</f>
        <v>13</v>
      </c>
      <c r="H24" s="206" t="n">
        <f aca="false">IFERROR(F24/B24,0)</f>
        <v>0.133333333333333</v>
      </c>
      <c r="I24" s="108" t="str">
        <f aca="false">IFERROR(_xlfn.single(_xlfn.xlookup(A24, DATA_PIPELINE!$D$5:$D$603, DATA_PIPELINE!$H$5:$H$603, "")), "")</f>
        <v>MASHWEST</v>
      </c>
      <c r="J24" s="108" t="str">
        <f aca="false">IFERROR(_xlfn.single(_xlfn.xlookup(A24, DATA_PIPELINE!$D$5:$D$603, DATA_PIPELINE!$G$5:$G$603, "")), "")</f>
        <v> HURUNGWE </v>
      </c>
      <c r="K24" s="108" t="str">
        <f aca="false">'CLUSTER PERFORMANCE'!$A24</f>
        <v>TAKUNDA NHEMA</v>
      </c>
      <c r="L24" s="108" t="s">
        <v>1901</v>
      </c>
      <c r="M24" s="207" t="n">
        <f aca="false">SUMIF(DATA_PIPELINE!$D$5:$D$603,A24,DATA_PIPELINE!$V$5:$V$603)</f>
        <v>9000</v>
      </c>
      <c r="N24" s="207" t="n">
        <f aca="false">SUMIF(DATA_PIPELINE!$D$5:$D$603,A24,DATA_PIPELINE!$W$5:$W$603)</f>
        <v>1200</v>
      </c>
    </row>
    <row r="25" customFormat="false" ht="14.25" hidden="false" customHeight="false" outlineLevel="0" collapsed="false">
      <c r="A25" s="108" t="s">
        <v>914</v>
      </c>
      <c r="B25" s="108" t="n">
        <f aca="false">COUNTIF(DATA_PIPELINE!$D$5:$D$603,A25)</f>
        <v>17</v>
      </c>
      <c r="C25" s="205" t="n">
        <f aca="false">SUMIF(DATA_PIPELINE!$D$5:$D$603,A25,DATA_PIPELINE!$M$5:$M$603)</f>
        <v>66</v>
      </c>
      <c r="D25" s="205" t="n">
        <f aca="false">SUMIF(DATA_PIPELINE!$D$5:$D$603,A25,DATA_PIPELINE!$N$5:$N$603)</f>
        <v>380</v>
      </c>
      <c r="E25" s="205" t="n">
        <f aca="false">C25+D25</f>
        <v>446</v>
      </c>
      <c r="F25" s="108" t="n">
        <f aca="false" t="array" ref="F25:F25">SUM(COUNTIFS(DATA_PIPELINE!$D$5:$D$603,A25,DATA_PIPELINE!$Y$5:$Y$603,{"Paid","Partly Paid"}))</f>
        <v>1</v>
      </c>
      <c r="G25" s="108" t="n">
        <f aca="false">B25-F25</f>
        <v>16</v>
      </c>
      <c r="H25" s="206" t="n">
        <f aca="false">IFERROR(F25/B25,0)</f>
        <v>0.0588235294117647</v>
      </c>
      <c r="I25" s="108" t="str">
        <f aca="false">IFERROR(_xlfn.single(_xlfn.xlookup(A25, DATA_PIPELINE!$D$5:$D$603, DATA_PIPELINE!$H$5:$H$603, "")), "")</f>
        <v>MASHWEST</v>
      </c>
      <c r="J25" s="108" t="str">
        <f aca="false">IFERROR(_xlfn.single(_xlfn.xlookup(A25, DATA_PIPELINE!$D$5:$D$603, DATA_PIPELINE!$G$5:$G$603, "")), "")</f>
        <v> MAKONDE </v>
      </c>
      <c r="K25" s="108" t="str">
        <f aca="false">'CLUSTER PERFORMANCE'!$A25</f>
        <v>THEMBEKILE GATA</v>
      </c>
      <c r="L25" s="108" t="s">
        <v>1902</v>
      </c>
      <c r="M25" s="207" t="n">
        <f aca="false">SUMIF(DATA_PIPELINE!$D$5:$D$603,A25,DATA_PIPELINE!$V$5:$V$603)</f>
        <v>8500</v>
      </c>
      <c r="N25" s="207" t="n">
        <f aca="false">SUMIF(DATA_PIPELINE!$D$5:$D$603,A25,DATA_PIPELINE!$W$5:$W$603)</f>
        <v>100</v>
      </c>
    </row>
    <row r="26" customFormat="false" ht="14.25" hidden="false" customHeight="false" outlineLevel="0" collapsed="false">
      <c r="A26" s="108" t="s">
        <v>1209</v>
      </c>
      <c r="B26" s="108" t="n">
        <f aca="false">COUNTIF(DATA_PIPELINE!$D$5:$D$603,A26)</f>
        <v>34</v>
      </c>
      <c r="C26" s="205" t="n">
        <f aca="false">SUMIF(DATA_PIPELINE!$D$5:$D$603,A26,DATA_PIPELINE!$M$5:$M$603)</f>
        <v>0</v>
      </c>
      <c r="D26" s="205" t="n">
        <f aca="false">SUMIF(DATA_PIPELINE!$D$5:$D$603,A26,DATA_PIPELINE!$N$5:$N$603)</f>
        <v>396</v>
      </c>
      <c r="E26" s="205" t="n">
        <f aca="false">C26+D26</f>
        <v>396</v>
      </c>
      <c r="F26" s="108" t="n">
        <f aca="false" t="array" ref="F26:F26">SUM(COUNTIFS(DATA_PIPELINE!$D$5:$D$603,A26,DATA_PIPELINE!$Y$5:$Y$603,{"Paid","Partly Paid"}))</f>
        <v>1</v>
      </c>
      <c r="G26" s="108" t="n">
        <f aca="false">B26-F26</f>
        <v>33</v>
      </c>
      <c r="H26" s="206" t="n">
        <f aca="false">IFERROR(F26/B26,0)</f>
        <v>0.0294117647058824</v>
      </c>
      <c r="I26" s="108" t="str">
        <f aca="false">IFERROR(_xlfn.single(_xlfn.xlookup(A26, DATA_PIPELINE!$D$5:$D$603, DATA_PIPELINE!$H$5:$H$603, "")), "")</f>
        <v>MASHWEST</v>
      </c>
      <c r="J26" s="108" t="str">
        <f aca="false">IFERROR(_xlfn.single(_xlfn.xlookup(A26, DATA_PIPELINE!$D$5:$D$603, DATA_PIPELINE!$G$5:$G$603, "")), "")</f>
        <v> MAKONDE </v>
      </c>
      <c r="K26" s="108" t="str">
        <f aca="false">'CLUSTER PERFORMANCE'!$A26</f>
        <v>TINASHE CHIKONDOWA</v>
      </c>
      <c r="L26" s="108" t="s">
        <v>1903</v>
      </c>
      <c r="M26" s="207" t="n">
        <f aca="false">SUMIF(DATA_PIPELINE!$D$5:$D$603,A26,DATA_PIPELINE!$V$5:$V$603)</f>
        <v>17000</v>
      </c>
      <c r="N26" s="207" t="n">
        <f aca="false">SUMIF(DATA_PIPELINE!$D$5:$D$603,A26,DATA_PIPELINE!$W$5:$W$603)</f>
        <v>500</v>
      </c>
    </row>
    <row r="27" customFormat="false" ht="14.25" hidden="false" customHeight="false" outlineLevel="0" collapsed="false">
      <c r="A27" s="108" t="s">
        <v>420</v>
      </c>
      <c r="B27" s="108" t="n">
        <f aca="false">COUNTIF(DATA_PIPELINE!$D$5:$D$603,A27)</f>
        <v>139</v>
      </c>
      <c r="C27" s="205" t="n">
        <f aca="false">SUMIF(DATA_PIPELINE!$D$5:$D$603,A27,DATA_PIPELINE!$M$5:$M$603)</f>
        <v>2080</v>
      </c>
      <c r="D27" s="205" t="n">
        <f aca="false">SUMIF(DATA_PIPELINE!$D$5:$D$603,A27,DATA_PIPELINE!$N$5:$N$603)</f>
        <v>5613</v>
      </c>
      <c r="E27" s="205" t="n">
        <f aca="false">C27+D27</f>
        <v>7693</v>
      </c>
      <c r="F27" s="108" t="n">
        <f aca="false" t="array" ref="F27:F27">SUM(COUNTIFS(DATA_PIPELINE!$D$5:$D$603,A27,DATA_PIPELINE!$Y$5:$Y$603,{"Paid","Partly Paid"}))</f>
        <v>12</v>
      </c>
      <c r="G27" s="108" t="n">
        <f aca="false">B27-F27</f>
        <v>127</v>
      </c>
      <c r="H27" s="206" t="n">
        <f aca="false">IFERROR(F27/B27,0)</f>
        <v>0.0863309352517986</v>
      </c>
      <c r="I27" s="108" t="str">
        <f aca="false">IFERROR(_xlfn.single(_xlfn.xlookup(A27, DATA_PIPELINE!$D$5:$D$603, DATA_PIPELINE!$H$5:$H$603, "")), "")</f>
        <v>MASHWEST</v>
      </c>
      <c r="J27" s="108" t="str">
        <f aca="false">IFERROR(_xlfn.single(_xlfn.xlookup(A27, DATA_PIPELINE!$D$5:$D$603, DATA_PIPELINE!$G$5:$G$603, "")), "")</f>
        <v> ZVIMBA </v>
      </c>
      <c r="K27" s="108" t="str">
        <f aca="false">'CLUSTER PERFORMANCE'!$A27</f>
        <v>WALTER MASHINGAIDZE</v>
      </c>
      <c r="L27" s="108" t="s">
        <v>1904</v>
      </c>
      <c r="M27" s="207" t="n">
        <f aca="false">SUMIF(DATA_PIPELINE!$D$5:$D$603,A27,DATA_PIPELINE!$V$5:$V$603)</f>
        <v>72000</v>
      </c>
      <c r="N27" s="207" t="n">
        <f aca="false">SUMIF(DATA_PIPELINE!$D$5:$D$603,A27,DATA_PIPELINE!$W$5:$W$603)</f>
        <v>5500</v>
      </c>
    </row>
    <row r="28" customFormat="false" ht="14.25" hidden="false" customHeight="false" outlineLevel="0" collapsed="false">
      <c r="A28" s="108" t="s">
        <v>1487</v>
      </c>
      <c r="B28" s="108" t="n">
        <f aca="false">COUNTIF(DATA_PIPELINE!$D$5:$D$603,A28)</f>
        <v>2</v>
      </c>
      <c r="C28" s="205" t="n">
        <f aca="false">SUMIF(DATA_PIPELINE!$D$5:$D$603,A28,DATA_PIPELINE!$M$5:$M$603)</f>
        <v>100</v>
      </c>
      <c r="D28" s="205" t="n">
        <f aca="false">SUMIF(DATA_PIPELINE!$D$5:$D$603,A28,DATA_PIPELINE!$N$5:$N$603)</f>
        <v>0</v>
      </c>
      <c r="E28" s="205" t="n">
        <f aca="false">C28+D28</f>
        <v>100</v>
      </c>
      <c r="F28" s="108" t="n">
        <f aca="false" t="array" ref="F28:F28">SUM(COUNTIFS(DATA_PIPELINE!$D$5:$D$603,A28,DATA_PIPELINE!$Y$5:$Y$603,{"Paid","Partly Paid"}))</f>
        <v>1</v>
      </c>
      <c r="G28" s="108" t="n">
        <f aca="false">B28-F28</f>
        <v>1</v>
      </c>
      <c r="H28" s="206" t="n">
        <f aca="false">IFERROR(F28/B28,0)</f>
        <v>0.5</v>
      </c>
      <c r="I28" s="108" t="str">
        <f aca="false">IFERROR(_xlfn.single(_xlfn.xlookup(A28, DATA_PIPELINE!$D$5:$D$603, DATA_PIPELINE!$H$5:$H$603, "")), "")</f>
        <v>MANICALAND</v>
      </c>
      <c r="J28" s="108" t="str">
        <f aca="false">IFERROR(_xlfn.single(_xlfn.xlookup(A28, DATA_PIPELINE!$D$5:$D$603, DATA_PIPELINE!$G$5:$G$603, "")), "")</f>
        <v/>
      </c>
      <c r="K28" s="108" t="str">
        <f aca="false">'CLUSTER PERFORMANCE'!$A28</f>
        <v>WILSON MUGANDA</v>
      </c>
      <c r="L28" s="108" t="s">
        <v>1905</v>
      </c>
      <c r="M28" s="207" t="n">
        <f aca="false">SUMIF(DATA_PIPELINE!$D$5:$D$603,A28,DATA_PIPELINE!$V$5:$V$603)</f>
        <v>1500</v>
      </c>
      <c r="N28" s="207" t="n">
        <f aca="false">SUMIF(DATA_PIPELINE!$D$5:$D$603,A28,DATA_PIPELINE!$W$5:$W$603)</f>
        <v>1000</v>
      </c>
    </row>
  </sheetData>
  <mergeCells count="10">
    <mergeCell ref="A1:M1"/>
    <mergeCell ref="A2:N2"/>
    <mergeCell ref="A4:B4"/>
    <mergeCell ref="D4:E4"/>
    <mergeCell ref="G4:H4"/>
    <mergeCell ref="J4:K4"/>
    <mergeCell ref="A5:B5"/>
    <mergeCell ref="D5:E5"/>
    <mergeCell ref="G5:H5"/>
    <mergeCell ref="J5:K5"/>
  </mergeCells>
  <conditionalFormatting sqref="H9:H2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E8" activeCellId="1" sqref="A1:L7 E8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7"/>
    <col collapsed="false" customWidth="true" hidden="false" outlineLevel="0" max="3" min="3" style="0" width="26"/>
    <col collapsed="false" customWidth="true" hidden="false" outlineLevel="0" max="4" min="4" style="0" width="21"/>
    <col collapsed="false" customWidth="true" hidden="false" outlineLevel="0" max="5" min="5" style="0" width="17"/>
    <col collapsed="false" customWidth="true" hidden="false" outlineLevel="0" max="6" min="6" style="0" width="32"/>
    <col collapsed="false" customWidth="true" hidden="false" outlineLevel="0" max="12" min="7" style="0" width="14"/>
  </cols>
  <sheetData>
    <row r="1" customFormat="false" ht="33.75" hidden="false" customHeight="true" outlineLevel="0" collapsed="false">
      <c r="A1" s="1" t="s">
        <v>1906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4.25" hidden="false" customHeight="true" outlineLevel="0" collapsed="false">
      <c r="A2" s="2" t="s">
        <v>143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4.25" hidden="false" customHeight="true" outlineLevel="0" collapsed="false">
      <c r="A3" s="6" t="str">
        <f aca="false">HYPERLINK("#'HOME'!A1","HOME")</f>
        <v>HOME</v>
      </c>
      <c r="B3" s="6" t="str">
        <f aca="false">HYPERLINK("#'FARMERS'!A1","FARMERS")</f>
        <v>FARMERS</v>
      </c>
      <c r="C3" s="6" t="str">
        <f aca="false">HYPERLINK("#'SUBSCRIPTIONS'!A1","SUBSCRIPTIONS")</f>
        <v>SUBSCRIPTIONS</v>
      </c>
      <c r="D3" s="6" t="str">
        <f aca="false">HYPERLINK("#'PRODUCTION'!A1","PRODUCTION")</f>
        <v>PRODUCTION</v>
      </c>
      <c r="E3" s="6" t="str">
        <f aca="false">HYPERLINK("#'RECOVERY'!A1","RECOVERY")</f>
        <v>RECOVERY</v>
      </c>
      <c r="F3" s="6" t="str">
        <f aca="false">HYPERLINK("#'DELIVERIES'!A1","DELIVERIES")</f>
        <v>DELIVERIES</v>
      </c>
      <c r="G3" s="6" t="str">
        <f aca="false">HYPERLINK("#'FINANCE'!A1","FINANCE")</f>
        <v>FINANCE</v>
      </c>
      <c r="H3" s="6" t="str">
        <f aca="false">HYPERLINK("#'REPORTS'!A1","REPORTS")</f>
        <v>REPORTS</v>
      </c>
    </row>
    <row r="5" customFormat="false" ht="28.5" hidden="false" customHeight="true" outlineLevel="0" collapsed="false">
      <c r="A5" s="102" t="s">
        <v>1687</v>
      </c>
      <c r="B5" s="102" t="s">
        <v>1907</v>
      </c>
      <c r="C5" s="102" t="s">
        <v>1908</v>
      </c>
      <c r="D5" s="102" t="s">
        <v>1909</v>
      </c>
      <c r="E5" s="102" t="s">
        <v>1910</v>
      </c>
      <c r="F5" s="102" t="s">
        <v>1911</v>
      </c>
      <c r="G5" s="102" t="s">
        <v>1912</v>
      </c>
      <c r="H5" s="102" t="s">
        <v>153</v>
      </c>
    </row>
    <row r="6" customFormat="false" ht="14.25" hidden="false" customHeight="true" outlineLevel="0" collapsed="false">
      <c r="A6" s="103" t="s">
        <v>1864</v>
      </c>
      <c r="B6" s="208" t="n">
        <v>0</v>
      </c>
      <c r="C6" s="208" t="n">
        <f aca="false">SUMIFS(DATA_RECEIPTS!E:E, DATA_RECEIPTS!A:A, "&gt;=2025-11-01", DATA_RECEIPTS!A:A, "&lt;2025-12-01")</f>
        <v>7500</v>
      </c>
      <c r="D6" s="208" t="n">
        <f aca="false">SUMIFS(DATA_EXPENSES!E:E, DATA_EXPENSES!A:A, "&gt;=2025-11-01", DATA_EXPENSES!A:A, "&lt;2025-12-01")</f>
        <v>7159.5</v>
      </c>
      <c r="E6" s="208" t="n">
        <f aca="false">DATA_BANK!$C6-DATA_BANK!$D6</f>
        <v>340.5</v>
      </c>
      <c r="F6" s="103" t="s">
        <v>1913</v>
      </c>
      <c r="G6" s="103" t="n">
        <v>0</v>
      </c>
      <c r="H6" s="103" t="s">
        <v>1914</v>
      </c>
    </row>
    <row r="7" customFormat="false" ht="14.25" hidden="false" customHeight="true" outlineLevel="0" collapsed="false">
      <c r="A7" s="103" t="s">
        <v>1865</v>
      </c>
      <c r="B7" s="208" t="n">
        <f aca="false">E6</f>
        <v>340.5</v>
      </c>
      <c r="C7" s="208" t="n">
        <f aca="false">SUMIFS(DATA_RECEIPTS!E:E, DATA_RECEIPTS!A:A, "&gt;=2026-06-01", DATA_RECEIPTS!A:A, "&lt;2026-07-01")</f>
        <v>700</v>
      </c>
      <c r="D7" s="208" t="n">
        <f aca="false">SUMIFS(DATA_EXPENSES!E:E, DATA_EXPENSES!A:A, "&gt;=2026-06-01", DATA_EXPENSES!A:A, "&lt;2026-07-01")</f>
        <v>1300</v>
      </c>
      <c r="E7" s="208" t="n">
        <f aca="false">DATA_BANK!$B7+DATA_BANK!$C7-DATA_BANK!$D7</f>
        <v>-259.5</v>
      </c>
      <c r="F7" s="103" t="s">
        <v>1915</v>
      </c>
      <c r="G7" s="103" t="n">
        <v>0</v>
      </c>
      <c r="H7" s="103" t="s">
        <v>1914</v>
      </c>
    </row>
    <row r="8" customFormat="false" ht="14.25" hidden="false" customHeight="true" outlineLevel="0" collapsed="false">
      <c r="A8" s="103" t="s">
        <v>1866</v>
      </c>
      <c r="B8" s="208" t="n">
        <f aca="false">E7</f>
        <v>-259.5</v>
      </c>
      <c r="C8" s="208" t="n">
        <f aca="false">SUMIFS(DATA_RECEIPTS!E:E, DATA_RECEIPTS!A:A, "&gt;=2026-07-01", DATA_RECEIPTS!A:A, "&lt;2026-08-01")</f>
        <v>1600</v>
      </c>
      <c r="D8" s="208" t="n">
        <f aca="false">SUMIFS(DATA_EXPENSES!E:E, DATA_EXPENSES!A:A, "&gt;=2026-07-01", DATA_EXPENSES!A:A, "&lt;2026-08-01")</f>
        <v>1832.98</v>
      </c>
      <c r="E8" s="208" t="n">
        <f aca="false">DATA_BANK!$B8+DATA_BANK!$C8-DATA_BANK!$D8</f>
        <v>-492.48</v>
      </c>
      <c r="F8" s="103" t="s">
        <v>1915</v>
      </c>
      <c r="G8" s="103" t="n">
        <v>0</v>
      </c>
      <c r="H8" s="103" t="s">
        <v>1914</v>
      </c>
    </row>
    <row r="9" customFormat="false" ht="14.25" hidden="false" customHeight="true" outlineLevel="0" collapsed="false">
      <c r="A9" s="103" t="s">
        <v>1867</v>
      </c>
      <c r="B9" s="208" t="n">
        <f aca="false">E8</f>
        <v>-492.48</v>
      </c>
      <c r="C9" s="208" t="n">
        <f aca="false">SUMIFS(DATA_RECEIPTS!E:E, DATA_RECEIPTS!A:A, "&gt;=2026-08-01", DATA_RECEIPTS!A:A, "&lt;2026-09-01")</f>
        <v>4850</v>
      </c>
      <c r="D9" s="208" t="n">
        <f aca="false">SUMIFS(DATA_EXPENSES!E:E, DATA_EXPENSES!A:A, "&gt;=2026-08-01", DATA_EXPENSES!A:A, "&lt;2026-09-01")</f>
        <v>2491.31</v>
      </c>
      <c r="E9" s="208" t="n">
        <f aca="false">DATA_BANK!$B9+DATA_BANK!$C9-DATA_BANK!$D9</f>
        <v>1866.21</v>
      </c>
      <c r="F9" s="103" t="s">
        <v>1915</v>
      </c>
      <c r="G9" s="103" t="n">
        <v>0</v>
      </c>
      <c r="H9" s="103" t="s">
        <v>1914</v>
      </c>
    </row>
    <row r="10" customFormat="false" ht="14.25" hidden="false" customHeight="true" outlineLevel="0" collapsed="false">
      <c r="A10" s="0" t="s">
        <v>1916</v>
      </c>
      <c r="B10" s="208" t="n">
        <f aca="false">E9</f>
        <v>1866.21</v>
      </c>
      <c r="C10" s="208" t="n">
        <f aca="false">SUMIFS(DATA_RECEIPTS!E:E, DATA_RECEIPTS!A:A, "&gt;=2026-09-01", DATA_RECEIPTS!A:A, "&lt;2026-10-01")</f>
        <v>2725</v>
      </c>
      <c r="D10" s="208" t="n">
        <f aca="false">SUMIFS(DATA_EXPENSES!E:E, DATA_EXPENSES!A:A, "&gt;=2026-09-01", DATA_EXPENSES!A:A, "&lt;2026-10-01")</f>
        <v>466.09</v>
      </c>
      <c r="E10" s="208" t="n">
        <f aca="false">DATA_BANK!$B10+DATA_BANK!$C10-DATA_BANK!$D10</f>
        <v>4125.12</v>
      </c>
      <c r="F10" s="103" t="s">
        <v>1915</v>
      </c>
      <c r="G10" s="103" t="n">
        <v>0</v>
      </c>
      <c r="H10" s="103" t="s">
        <v>1914</v>
      </c>
    </row>
    <row r="25" customFormat="false" ht="14.25" hidden="false" customHeight="true" outlineLevel="0" collapsed="false">
      <c r="F25" s="0" t="s">
        <v>1917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D8" activeCellId="1" sqref="A1:L7 D8"/>
    </sheetView>
  </sheetViews>
  <sheetFormatPr defaultColWidth="8.6796875" defaultRowHeight="12.8" zeroHeight="false" outlineLevelRow="0" outlineLevelCol="0"/>
  <cols>
    <col collapsed="false" customWidth="true" hidden="false" outlineLevel="0" max="1" min="1" style="0" width="22.18"/>
    <col collapsed="false" customWidth="true" hidden="false" outlineLevel="0" max="2" min="2" style="0" width="18.54"/>
    <col collapsed="false" customWidth="true" hidden="false" outlineLevel="0" max="3" min="3" style="0" width="26.54"/>
    <col collapsed="false" customWidth="true" hidden="false" outlineLevel="0" max="4" min="4" style="0" width="19.82"/>
    <col collapsed="false" customWidth="true" hidden="false" outlineLevel="0" max="6" min="5" style="0" width="21.27"/>
    <col collapsed="false" customWidth="true" hidden="false" outlineLevel="0" max="7" min="7" style="0" width="22.82"/>
    <col collapsed="false" customWidth="true" hidden="false" outlineLevel="0" max="8" min="8" style="0" width="28.27"/>
    <col collapsed="false" customWidth="true" hidden="false" outlineLevel="0" max="9" min="9" style="0" width="29"/>
    <col collapsed="false" customWidth="true" hidden="false" outlineLevel="0" max="10" min="10" style="0" width="27.45"/>
  </cols>
  <sheetData>
    <row r="1" customFormat="false" ht="21" hidden="false" customHeight="true" outlineLevel="0" collapsed="false">
      <c r="A1" s="136" t="s">
        <v>1918</v>
      </c>
      <c r="B1" s="136"/>
      <c r="C1" s="136"/>
      <c r="D1" s="136"/>
      <c r="E1" s="136"/>
      <c r="F1" s="136"/>
      <c r="G1" s="136"/>
      <c r="H1" s="136"/>
      <c r="I1" s="136"/>
      <c r="J1" s="136"/>
    </row>
    <row r="2" customFormat="false" ht="12.8" hidden="false" customHeight="false" outlineLevel="0" collapsed="false">
      <c r="A2" s="137" t="s">
        <v>1919</v>
      </c>
      <c r="B2" s="137"/>
      <c r="C2" s="137"/>
      <c r="D2" s="137"/>
      <c r="E2" s="137"/>
      <c r="F2" s="137"/>
      <c r="G2" s="137"/>
      <c r="H2" s="137"/>
      <c r="I2" s="137"/>
      <c r="J2" s="137"/>
    </row>
    <row r="3" customFormat="false" ht="13.8" hidden="false" customHeight="false" outlineLevel="0" collapsed="false"/>
    <row r="4" customFormat="false" ht="13.8" hidden="false" customHeight="false" outlineLevel="0" collapsed="false">
      <c r="A4" s="138" t="str">
        <f aca="false">HYPERLINK("#'HOME'!A1","HOME")</f>
        <v>HOME</v>
      </c>
      <c r="B4" s="138" t="str">
        <f aca="false">HYPERLINK("#'FINANCE'!A1","FINANCE")</f>
        <v>FINANCE</v>
      </c>
      <c r="C4" s="138" t="str">
        <f aca="false">HYPERLINK("#'REPORTS'!A1","REPORTS")</f>
        <v>REPORTS</v>
      </c>
      <c r="D4" s="138" t="str">
        <f aca="false">HYPERLINK("#'PRODUCTION'!A1","PRODUCTION")</f>
        <v>PRODUCTION</v>
      </c>
      <c r="E4" s="138" t="str">
        <f aca="false">HYPERLINK("#'SORGHUM BUDGET'!A1","SORGHUM BUDGET")</f>
        <v>SORGHUM BUDGET</v>
      </c>
      <c r="F4" s="138" t="str">
        <f aca="false">HYPERLINK("#'MAIZE BUDGET'!A1","MAIZE BUDGET")</f>
        <v>MAIZE BUDGET</v>
      </c>
    </row>
    <row r="5" customFormat="false" ht="13.8" hidden="false" customHeight="false" outlineLevel="0" collapsed="false"/>
    <row r="6" s="120" customFormat="true" ht="30.75" hidden="false" customHeight="true" outlineLevel="0" collapsed="false">
      <c r="A6" s="183" t="s">
        <v>1920</v>
      </c>
      <c r="B6" s="183" t="s">
        <v>1921</v>
      </c>
      <c r="C6" s="183" t="s">
        <v>1922</v>
      </c>
      <c r="D6" s="183" t="s">
        <v>1923</v>
      </c>
      <c r="E6" s="183" t="s">
        <v>1924</v>
      </c>
      <c r="F6" s="183" t="s">
        <v>1925</v>
      </c>
      <c r="G6" s="183" t="s">
        <v>1926</v>
      </c>
      <c r="H6" s="183" t="s">
        <v>1927</v>
      </c>
      <c r="I6" s="183" t="s">
        <v>1928</v>
      </c>
      <c r="J6" s="183" t="s">
        <v>1929</v>
      </c>
    </row>
    <row r="7" customFormat="false" ht="13.8" hidden="false" customHeight="false" outlineLevel="0" collapsed="false">
      <c r="A7" s="209" t="s">
        <v>1930</v>
      </c>
      <c r="B7" s="142" t="s">
        <v>1931</v>
      </c>
      <c r="C7" s="142" t="s">
        <v>1932</v>
      </c>
      <c r="D7" s="142" t="n">
        <v>850</v>
      </c>
      <c r="E7" s="144"/>
      <c r="F7" s="144"/>
      <c r="G7" s="144" t="n">
        <v>0</v>
      </c>
      <c r="H7" s="144" t="n">
        <f aca="false">IF(D7="","",SUM(D7:G7))</f>
        <v>850</v>
      </c>
      <c r="I7" s="144" t="n">
        <f aca="false">IF(D7="","",D7*12)</f>
        <v>10200</v>
      </c>
      <c r="J7" s="144" t="n">
        <f aca="false">IF(H7="","",H7*12)</f>
        <v>10200</v>
      </c>
    </row>
    <row r="8" customFormat="false" ht="13.8" hidden="false" customHeight="false" outlineLevel="0" collapsed="false">
      <c r="A8" s="210" t="s">
        <v>1933</v>
      </c>
      <c r="B8" s="146" t="s">
        <v>1934</v>
      </c>
      <c r="C8" s="146" t="s">
        <v>1932</v>
      </c>
      <c r="D8" s="146" t="n">
        <v>100</v>
      </c>
      <c r="E8" s="144"/>
      <c r="F8" s="144"/>
      <c r="G8" s="144"/>
      <c r="H8" s="144" t="n">
        <f aca="false">IF(D8="","",SUM(D8:G8))</f>
        <v>100</v>
      </c>
      <c r="I8" s="144" t="n">
        <f aca="false">IF(D8="","",D8*12)</f>
        <v>1200</v>
      </c>
      <c r="J8" s="144" t="n">
        <f aca="false">IF(H8="","",H8*12)</f>
        <v>1200</v>
      </c>
    </row>
    <row r="9" customFormat="false" ht="13.8" hidden="false" customHeight="false" outlineLevel="0" collapsed="false">
      <c r="A9" s="149"/>
      <c r="B9" s="149"/>
      <c r="C9" s="149"/>
      <c r="D9" s="144"/>
      <c r="E9" s="144"/>
      <c r="F9" s="144"/>
      <c r="G9" s="144"/>
      <c r="H9" s="144" t="str">
        <f aca="false">IF(D9="","",SUM(D9:G9))</f>
        <v/>
      </c>
      <c r="I9" s="144" t="str">
        <f aca="false">IF(D9="","",D9*12)</f>
        <v/>
      </c>
      <c r="J9" s="144" t="str">
        <f aca="false">IF(H9="","",H9*12)</f>
        <v/>
      </c>
    </row>
    <row r="10" customFormat="false" ht="13.8" hidden="false" customHeight="false" outlineLevel="0" collapsed="false">
      <c r="A10" s="149"/>
      <c r="B10" s="149"/>
      <c r="C10" s="149"/>
      <c r="D10" s="144"/>
      <c r="E10" s="144"/>
      <c r="F10" s="144"/>
      <c r="G10" s="144"/>
      <c r="H10" s="144" t="str">
        <f aca="false">IF(D10="","",SUM(D10:G10))</f>
        <v/>
      </c>
      <c r="I10" s="144" t="str">
        <f aca="false">IF(D10="","",D10*12)</f>
        <v/>
      </c>
      <c r="J10" s="144" t="str">
        <f aca="false">IF(H10="","",H10*12)</f>
        <v/>
      </c>
    </row>
    <row r="11" customFormat="false" ht="13.8" hidden="false" customHeight="false" outlineLevel="0" collapsed="false">
      <c r="A11" s="149"/>
      <c r="B11" s="149"/>
      <c r="C11" s="149"/>
      <c r="D11" s="144"/>
      <c r="E11" s="144"/>
      <c r="F11" s="144"/>
      <c r="G11" s="144"/>
      <c r="H11" s="144" t="str">
        <f aca="false">IF(D11="","",SUM(D11:G11))</f>
        <v/>
      </c>
      <c r="I11" s="144" t="str">
        <f aca="false">IF(D11="","",D11*12)</f>
        <v/>
      </c>
      <c r="J11" s="144" t="str">
        <f aca="false">IF(H11="","",H11*12)</f>
        <v/>
      </c>
    </row>
    <row r="12" customFormat="false" ht="13.8" hidden="false" customHeight="false" outlineLevel="0" collapsed="false">
      <c r="A12" s="149"/>
      <c r="B12" s="149"/>
      <c r="C12" s="149"/>
      <c r="D12" s="144"/>
      <c r="E12" s="144"/>
      <c r="F12" s="144"/>
      <c r="G12" s="144"/>
      <c r="H12" s="144" t="str">
        <f aca="false">IF(D12="","",SUM(D12:G12))</f>
        <v/>
      </c>
      <c r="I12" s="144" t="str">
        <f aca="false">IF(D12="","",D12*12)</f>
        <v/>
      </c>
      <c r="J12" s="144" t="str">
        <f aca="false">IF(H12="","",H12*12)</f>
        <v/>
      </c>
    </row>
    <row r="13" customFormat="false" ht="13.8" hidden="false" customHeight="false" outlineLevel="0" collapsed="false">
      <c r="A13" s="149"/>
      <c r="B13" s="149"/>
      <c r="C13" s="149"/>
      <c r="D13" s="144"/>
      <c r="E13" s="144"/>
      <c r="F13" s="144"/>
      <c r="G13" s="144"/>
      <c r="H13" s="144" t="str">
        <f aca="false">IF(D13="","",SUM(D13:G13))</f>
        <v/>
      </c>
      <c r="I13" s="144" t="str">
        <f aca="false">IF(D13="","",D13*12)</f>
        <v/>
      </c>
      <c r="J13" s="144" t="str">
        <f aca="false">IF(H13="","",H13*12)</f>
        <v/>
      </c>
    </row>
    <row r="14" customFormat="false" ht="13.8" hidden="false" customHeight="false" outlineLevel="0" collapsed="false">
      <c r="A14" s="149"/>
      <c r="B14" s="149"/>
      <c r="C14" s="149"/>
      <c r="D14" s="144"/>
      <c r="E14" s="144"/>
      <c r="F14" s="144"/>
      <c r="G14" s="144"/>
      <c r="H14" s="144" t="str">
        <f aca="false">IF(D14="","",SUM(D14:G14))</f>
        <v/>
      </c>
      <c r="I14" s="144" t="str">
        <f aca="false">IF(D14="","",D14*12)</f>
        <v/>
      </c>
      <c r="J14" s="144" t="str">
        <f aca="false">IF(H14="","",H14*12)</f>
        <v/>
      </c>
    </row>
    <row r="15" customFormat="false" ht="13.8" hidden="false" customHeight="false" outlineLevel="0" collapsed="false">
      <c r="A15" s="149"/>
      <c r="B15" s="149"/>
      <c r="C15" s="149"/>
      <c r="D15" s="144"/>
      <c r="E15" s="144"/>
      <c r="F15" s="144"/>
      <c r="G15" s="144"/>
      <c r="H15" s="144" t="str">
        <f aca="false">IF(D15="","",SUM(D15:G15))</f>
        <v/>
      </c>
      <c r="I15" s="144" t="str">
        <f aca="false">IF(D15="","",D15*12)</f>
        <v/>
      </c>
      <c r="J15" s="144" t="str">
        <f aca="false">IF(H15="","",H15*12)</f>
        <v/>
      </c>
    </row>
    <row r="16" customFormat="false" ht="13.8" hidden="false" customHeight="false" outlineLevel="0" collapsed="false">
      <c r="A16" s="149"/>
      <c r="B16" s="149"/>
      <c r="C16" s="149"/>
      <c r="D16" s="144"/>
      <c r="E16" s="144"/>
      <c r="F16" s="144"/>
      <c r="G16" s="144"/>
      <c r="H16" s="144" t="str">
        <f aca="false">IF(D16="","",SUM(D16:G16))</f>
        <v/>
      </c>
      <c r="I16" s="144" t="str">
        <f aca="false">IF(D16="","",D16*12)</f>
        <v/>
      </c>
      <c r="J16" s="144" t="str">
        <f aca="false">IF(H16="","",H16*12)</f>
        <v/>
      </c>
    </row>
    <row r="17" customFormat="false" ht="13.8" hidden="false" customHeight="false" outlineLevel="0" collapsed="false">
      <c r="A17" s="149"/>
      <c r="B17" s="149"/>
      <c r="C17" s="149"/>
      <c r="D17" s="144"/>
      <c r="E17" s="144"/>
      <c r="F17" s="144"/>
      <c r="G17" s="144"/>
      <c r="H17" s="144" t="str">
        <f aca="false">IF(D17="","",SUM(D17:G17))</f>
        <v/>
      </c>
      <c r="I17" s="144" t="str">
        <f aca="false">IF(D17="","",D17*12)</f>
        <v/>
      </c>
      <c r="J17" s="144" t="str">
        <f aca="false">IF(H17="","",H17*12)</f>
        <v/>
      </c>
    </row>
    <row r="18" customFormat="false" ht="13.8" hidden="false" customHeight="false" outlineLevel="0" collapsed="false">
      <c r="A18" s="149"/>
      <c r="B18" s="149"/>
      <c r="C18" s="149"/>
      <c r="D18" s="144"/>
      <c r="E18" s="144"/>
      <c r="F18" s="144"/>
      <c r="G18" s="144"/>
      <c r="H18" s="144" t="str">
        <f aca="false">IF(D18="","",SUM(D18:G18))</f>
        <v/>
      </c>
      <c r="I18" s="144" t="str">
        <f aca="false">IF(D18="","",D18*12)</f>
        <v/>
      </c>
      <c r="J18" s="144" t="str">
        <f aca="false">IF(H18="","",H18*12)</f>
        <v/>
      </c>
    </row>
    <row r="19" customFormat="false" ht="13.8" hidden="false" customHeight="false" outlineLevel="0" collapsed="false">
      <c r="A19" s="149"/>
      <c r="B19" s="149"/>
      <c r="C19" s="149"/>
      <c r="D19" s="144"/>
      <c r="E19" s="144"/>
      <c r="F19" s="144"/>
      <c r="G19" s="144"/>
      <c r="H19" s="144" t="str">
        <f aca="false">IF(D19="","",SUM(D19:G19))</f>
        <v/>
      </c>
      <c r="I19" s="144" t="str">
        <f aca="false">IF(D19="","",D19*12)</f>
        <v/>
      </c>
      <c r="J19" s="144" t="str">
        <f aca="false">IF(H19="","",H19*12)</f>
        <v/>
      </c>
    </row>
    <row r="20" customFormat="false" ht="13.8" hidden="false" customHeight="false" outlineLevel="0" collapsed="false">
      <c r="A20" s="149"/>
      <c r="B20" s="149"/>
      <c r="C20" s="149"/>
      <c r="D20" s="144"/>
      <c r="E20" s="144"/>
      <c r="F20" s="144"/>
      <c r="G20" s="144"/>
      <c r="H20" s="144" t="str">
        <f aca="false">IF(D20="","",SUM(D20:G20))</f>
        <v/>
      </c>
      <c r="I20" s="144" t="str">
        <f aca="false">IF(D20="","",D20*12)</f>
        <v/>
      </c>
      <c r="J20" s="144" t="str">
        <f aca="false">IF(H20="","",H20*12)</f>
        <v/>
      </c>
    </row>
    <row r="21" customFormat="false" ht="13.8" hidden="false" customHeight="false" outlineLevel="0" collapsed="false">
      <c r="A21" s="149"/>
      <c r="B21" s="149"/>
      <c r="C21" s="149"/>
      <c r="D21" s="144"/>
      <c r="E21" s="144"/>
      <c r="F21" s="144"/>
      <c r="G21" s="144"/>
      <c r="H21" s="144" t="str">
        <f aca="false">IF(D21="","",SUM(D21:G21))</f>
        <v/>
      </c>
      <c r="I21" s="144" t="str">
        <f aca="false">IF(D21="","",D21*12)</f>
        <v/>
      </c>
      <c r="J21" s="144" t="str">
        <f aca="false">IF(H21="","",H21*12)</f>
        <v/>
      </c>
    </row>
    <row r="22" customFormat="false" ht="13.8" hidden="false" customHeight="false" outlineLevel="0" collapsed="false">
      <c r="A22" s="149"/>
      <c r="B22" s="149"/>
      <c r="C22" s="149"/>
      <c r="D22" s="144"/>
      <c r="E22" s="144"/>
      <c r="F22" s="144"/>
      <c r="G22" s="144"/>
      <c r="H22" s="144" t="str">
        <f aca="false">IF(D22="","",SUM(D22:G22))</f>
        <v/>
      </c>
      <c r="I22" s="144" t="str">
        <f aca="false">IF(D22="","",D22*12)</f>
        <v/>
      </c>
      <c r="J22" s="144" t="str">
        <f aca="false">IF(H22="","",H22*12)</f>
        <v/>
      </c>
    </row>
    <row r="23" customFormat="false" ht="13.8" hidden="false" customHeight="false" outlineLevel="0" collapsed="false">
      <c r="A23" s="149"/>
      <c r="B23" s="149"/>
      <c r="C23" s="149"/>
      <c r="D23" s="144"/>
      <c r="E23" s="144"/>
      <c r="F23" s="144"/>
      <c r="G23" s="144"/>
      <c r="H23" s="144" t="str">
        <f aca="false">IF(D23="","",SUM(D23:G23))</f>
        <v/>
      </c>
      <c r="I23" s="144" t="str">
        <f aca="false">IF(D23="","",D23*12)</f>
        <v/>
      </c>
      <c r="J23" s="144" t="str">
        <f aca="false">IF(H23="","",H23*12)</f>
        <v/>
      </c>
    </row>
    <row r="24" customFormat="false" ht="13.8" hidden="false" customHeight="false" outlineLevel="0" collapsed="false">
      <c r="A24" s="149"/>
      <c r="B24" s="149"/>
      <c r="C24" s="149"/>
      <c r="D24" s="144"/>
      <c r="E24" s="144"/>
      <c r="F24" s="144"/>
      <c r="G24" s="144"/>
      <c r="H24" s="144" t="str">
        <f aca="false">IF(D24="","",SUM(D24:G24))</f>
        <v/>
      </c>
      <c r="I24" s="144" t="str">
        <f aca="false">IF(D24="","",D24*12)</f>
        <v/>
      </c>
      <c r="J24" s="144" t="str">
        <f aca="false">IF(H24="","",H24*12)</f>
        <v/>
      </c>
    </row>
    <row r="25" customFormat="false" ht="13.8" hidden="false" customHeight="false" outlineLevel="0" collapsed="false">
      <c r="A25" s="149"/>
      <c r="B25" s="149"/>
      <c r="C25" s="149"/>
      <c r="D25" s="144"/>
      <c r="E25" s="144"/>
      <c r="F25" s="144"/>
      <c r="G25" s="144"/>
      <c r="H25" s="144" t="str">
        <f aca="false">IF(D25="","",SUM(D25:G25))</f>
        <v/>
      </c>
      <c r="I25" s="144" t="str">
        <f aca="false">IF(D25="","",D25*12)</f>
        <v/>
      </c>
      <c r="J25" s="144" t="str">
        <f aca="false">IF(H25="","",H25*12)</f>
        <v/>
      </c>
    </row>
    <row r="26" customFormat="false" ht="13.8" hidden="false" customHeight="false" outlineLevel="0" collapsed="false">
      <c r="A26" s="149"/>
      <c r="B26" s="149"/>
      <c r="C26" s="149"/>
      <c r="D26" s="144"/>
      <c r="E26" s="144"/>
      <c r="F26" s="144"/>
      <c r="G26" s="144"/>
      <c r="H26" s="144" t="str">
        <f aca="false">IF(D26="","",SUM(D26:G26))</f>
        <v/>
      </c>
      <c r="I26" s="144" t="str">
        <f aca="false">IF(D26="","",D26*12)</f>
        <v/>
      </c>
      <c r="J26" s="144" t="str">
        <f aca="false">IF(H26="","",H26*12)</f>
        <v/>
      </c>
    </row>
    <row r="27" customFormat="false" ht="13.8" hidden="false" customHeight="false" outlineLevel="0" collapsed="false">
      <c r="A27" s="158"/>
      <c r="B27" s="159" t="s">
        <v>1935</v>
      </c>
      <c r="C27" s="158"/>
      <c r="D27" s="160" t="n">
        <f aca="false">SUM(D7:D26)</f>
        <v>950</v>
      </c>
      <c r="E27" s="160" t="n">
        <f aca="false">SUM(E7:E26)</f>
        <v>0</v>
      </c>
      <c r="F27" s="160" t="n">
        <f aca="false">SUM(F7:F26)</f>
        <v>0</v>
      </c>
      <c r="G27" s="160" t="n">
        <f aca="false">SUM(G7:G26)</f>
        <v>0</v>
      </c>
      <c r="H27" s="160" t="n">
        <f aca="false">SUM(H7:H26)</f>
        <v>950</v>
      </c>
      <c r="I27" s="160" t="n">
        <f aca="false">SUM(I7:I26)</f>
        <v>11400</v>
      </c>
      <c r="J27" s="160" t="n">
        <f aca="false">SUM(J7:J26)</f>
        <v>11400</v>
      </c>
    </row>
    <row r="28" customFormat="false" ht="13.8" hidden="false" customHeight="false" outlineLevel="0" collapsed="false"/>
    <row r="29" customFormat="false" ht="15.75" hidden="false" customHeight="true" outlineLevel="0" collapsed="false">
      <c r="A29" s="211" t="s">
        <v>1936</v>
      </c>
      <c r="B29" s="211"/>
      <c r="C29" s="211"/>
      <c r="D29" s="211"/>
    </row>
    <row r="30" customFormat="false" ht="13.8" hidden="false" customHeight="false" outlineLevel="0" collapsed="false">
      <c r="A30" s="212" t="s">
        <v>1937</v>
      </c>
      <c r="B30" s="213" t="n">
        <f aca="false">D27</f>
        <v>950</v>
      </c>
    </row>
    <row r="31" customFormat="false" ht="13.8" hidden="false" customHeight="false" outlineLevel="0" collapsed="false">
      <c r="A31" s="212" t="s">
        <v>1938</v>
      </c>
      <c r="B31" s="213" t="n">
        <f aca="false">SUM(E27:G27)</f>
        <v>0</v>
      </c>
    </row>
    <row r="32" customFormat="false" ht="13.8" hidden="false" customHeight="false" outlineLevel="0" collapsed="false">
      <c r="A32" s="212" t="s">
        <v>1939</v>
      </c>
      <c r="B32" s="213" t="n">
        <f aca="false">H27</f>
        <v>950</v>
      </c>
    </row>
    <row r="33" customFormat="false" ht="13.8" hidden="false" customHeight="false" outlineLevel="0" collapsed="false">
      <c r="A33" s="212" t="s">
        <v>1940</v>
      </c>
      <c r="B33" s="213" t="n">
        <f aca="false">I27</f>
        <v>11400</v>
      </c>
    </row>
    <row r="34" customFormat="false" ht="13.8" hidden="false" customHeight="false" outlineLevel="0" collapsed="false">
      <c r="A34" s="212" t="s">
        <v>1941</v>
      </c>
      <c r="B34" s="213" t="n">
        <f aca="false">J27</f>
        <v>11400</v>
      </c>
    </row>
  </sheetData>
  <mergeCells count="3">
    <mergeCell ref="A1:J1"/>
    <mergeCell ref="A2:J2"/>
    <mergeCell ref="A29:D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I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54" activePane="bottomLeft" state="frozen"/>
      <selection pane="topLeft" activeCell="A1" activeCellId="0" sqref="A1"/>
      <selection pane="bottomLeft" activeCell="C61" activeCellId="1" sqref="A1:L7 C61"/>
    </sheetView>
  </sheetViews>
  <sheetFormatPr defaultColWidth="8.73046875" defaultRowHeight="15" zeroHeight="false" outlineLevelRow="0" outlineLevelCol="0"/>
  <cols>
    <col collapsed="false" customWidth="true" hidden="false" outlineLevel="0" max="2" min="1" style="0" width="32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11" min="5" style="0" width="14"/>
  </cols>
  <sheetData>
    <row r="1" customFormat="false" ht="33.75" hidden="false" customHeight="true" outlineLevel="0" collapsed="false">
      <c r="A1" s="214" t="s">
        <v>1942</v>
      </c>
    </row>
    <row r="2" customFormat="false" ht="14.25" hidden="false" customHeight="true" outlineLevel="0" collapsed="false">
      <c r="A2" s="215" t="s">
        <v>143</v>
      </c>
    </row>
    <row r="3" customFormat="false" ht="14.25" hidden="false" customHeight="true" outlineLevel="0" collapsed="false">
      <c r="A3" s="6" t="str">
        <f aca="false">HYPERLINK("#'HOME'!A1","HOME")</f>
        <v>HOME</v>
      </c>
      <c r="B3" s="6" t="str">
        <f aca="false">HYPERLINK("#'FARMERS'!A1","FARMERS")</f>
        <v>FARMERS</v>
      </c>
      <c r="C3" s="6" t="str">
        <f aca="false">HYPERLINK("#'SUBSCRIPTIONS'!A1","SUBSCRIPTIONS")</f>
        <v>SUBSCRIPTIONS</v>
      </c>
      <c r="D3" s="6" t="str">
        <f aca="false">HYPERLINK("#'PRODUCTION'!A1","PRODUCTION")</f>
        <v>PRODUCTION</v>
      </c>
      <c r="E3" s="6" t="str">
        <f aca="false">HYPERLINK("#'RECOVERY'!A1","RECOVERY")</f>
        <v>RECOVERY</v>
      </c>
      <c r="F3" s="6" t="str">
        <f aca="false">HYPERLINK("#'DELIVERIES'!A1","DELIVERIES")</f>
        <v>DELIVERIES</v>
      </c>
      <c r="G3" s="6" t="str">
        <f aca="false">HYPERLINK("#'FINANCE'!A1","FINANCE")</f>
        <v>FINANCE</v>
      </c>
      <c r="H3" s="6" t="str">
        <f aca="false">HYPERLINK("#'REPORTS'!A1","REPORTS")</f>
        <v>REPORTS</v>
      </c>
    </row>
    <row r="5" customFormat="false" ht="30.75" hidden="false" customHeight="true" outlineLevel="0" collapsed="false">
      <c r="A5" s="102" t="s">
        <v>1688</v>
      </c>
      <c r="B5" s="102" t="s">
        <v>1943</v>
      </c>
      <c r="C5" s="102" t="s">
        <v>1944</v>
      </c>
      <c r="D5" s="102" t="s">
        <v>1945</v>
      </c>
      <c r="E5" s="102" t="s">
        <v>1946</v>
      </c>
    </row>
    <row r="6" customFormat="false" ht="14.25" hidden="false" customHeight="true" outlineLevel="0" collapsed="false">
      <c r="A6" s="116" t="n">
        <v>45962</v>
      </c>
      <c r="B6" s="103" t="s">
        <v>1947</v>
      </c>
      <c r="C6" s="103" t="n">
        <v>4020</v>
      </c>
      <c r="D6" s="103" t="n">
        <v>0</v>
      </c>
      <c r="E6" s="103" t="n">
        <f aca="false">DATA_EXPENSES!$C6 - DATA_EXPENSES!$D6</f>
        <v>4020</v>
      </c>
    </row>
    <row r="7" customFormat="false" ht="14.25" hidden="false" customHeight="true" outlineLevel="0" collapsed="false">
      <c r="A7" s="116" t="n">
        <v>45962</v>
      </c>
      <c r="B7" s="103" t="s">
        <v>1948</v>
      </c>
      <c r="C7" s="103" t="n">
        <v>1642</v>
      </c>
      <c r="D7" s="103" t="n">
        <v>0</v>
      </c>
      <c r="E7" s="103" t="n">
        <f aca="false">DATA_EXPENSES!$C7 - DATA_EXPENSES!$D7</f>
        <v>1642</v>
      </c>
    </row>
    <row r="8" customFormat="false" ht="14.25" hidden="false" customHeight="true" outlineLevel="0" collapsed="false">
      <c r="A8" s="116" t="n">
        <v>45962</v>
      </c>
      <c r="B8" s="103" t="s">
        <v>1949</v>
      </c>
      <c r="C8" s="103" t="n">
        <v>170</v>
      </c>
      <c r="D8" s="103" t="n">
        <v>0</v>
      </c>
      <c r="E8" s="103" t="n">
        <f aca="false">DATA_EXPENSES!$C8 - DATA_EXPENSES!$D8</f>
        <v>170</v>
      </c>
    </row>
    <row r="9" customFormat="false" ht="14.25" hidden="false" customHeight="true" outlineLevel="0" collapsed="false">
      <c r="A9" s="116" t="n">
        <v>45962</v>
      </c>
      <c r="B9" s="103" t="s">
        <v>1950</v>
      </c>
      <c r="C9" s="103" t="n">
        <v>76</v>
      </c>
      <c r="D9" s="103" t="n">
        <v>0</v>
      </c>
      <c r="E9" s="103" t="n">
        <f aca="false">DATA_EXPENSES!$C9 - DATA_EXPENSES!$D9</f>
        <v>76</v>
      </c>
    </row>
    <row r="10" customFormat="false" ht="14.25" hidden="false" customHeight="true" outlineLevel="0" collapsed="false">
      <c r="A10" s="116" t="n">
        <v>45962</v>
      </c>
      <c r="B10" s="103" t="s">
        <v>1951</v>
      </c>
      <c r="C10" s="103" t="n">
        <v>200</v>
      </c>
      <c r="D10" s="103" t="n">
        <v>0</v>
      </c>
      <c r="E10" s="103" t="n">
        <f aca="false">DATA_EXPENSES!$C10 - DATA_EXPENSES!$D10</f>
        <v>200</v>
      </c>
    </row>
    <row r="11" customFormat="false" ht="14.25" hidden="false" customHeight="true" outlineLevel="0" collapsed="false">
      <c r="A11" s="116" t="n">
        <v>45962</v>
      </c>
      <c r="B11" s="103" t="s">
        <v>1952</v>
      </c>
      <c r="C11" s="103" t="n">
        <v>170</v>
      </c>
      <c r="D11" s="103" t="n">
        <v>0</v>
      </c>
      <c r="E11" s="103" t="n">
        <f aca="false">DATA_EXPENSES!$C11 - DATA_EXPENSES!$D11</f>
        <v>170</v>
      </c>
    </row>
    <row r="12" customFormat="false" ht="14.25" hidden="false" customHeight="true" outlineLevel="0" collapsed="false">
      <c r="A12" s="116" t="n">
        <v>45962</v>
      </c>
      <c r="B12" s="103" t="s">
        <v>1953</v>
      </c>
      <c r="C12" s="103" t="n">
        <f aca="false">952.5+9</f>
        <v>961.5</v>
      </c>
      <c r="D12" s="103" t="n">
        <v>0</v>
      </c>
      <c r="E12" s="103" t="n">
        <f aca="false">DATA_EXPENSES!$C12 - DATA_EXPENSES!$D12</f>
        <v>961.5</v>
      </c>
    </row>
    <row r="13" customFormat="false" ht="14.25" hidden="false" customHeight="true" outlineLevel="0" collapsed="false">
      <c r="A13" s="116" t="n">
        <v>45962</v>
      </c>
      <c r="B13" s="103" t="s">
        <v>1954</v>
      </c>
      <c r="C13" s="103" t="n">
        <v>470</v>
      </c>
      <c r="D13" s="103" t="n">
        <v>0</v>
      </c>
      <c r="E13" s="103" t="n">
        <f aca="false">DATA_EXPENSES!$C13 - DATA_EXPENSES!$D13</f>
        <v>470</v>
      </c>
    </row>
    <row r="14" customFormat="false" ht="14.25" hidden="false" customHeight="true" outlineLevel="0" collapsed="false">
      <c r="A14" s="116" t="n">
        <v>45962</v>
      </c>
      <c r="B14" s="103" t="s">
        <v>1955</v>
      </c>
      <c r="C14" s="103" t="n">
        <v>1000</v>
      </c>
      <c r="D14" s="103" t="n">
        <v>0</v>
      </c>
      <c r="E14" s="103" t="n">
        <f aca="false">DATA_EXPENSES!$C14 - DATA_EXPENSES!$D14</f>
        <v>1000</v>
      </c>
    </row>
    <row r="15" customFormat="false" ht="14.25" hidden="false" customHeight="true" outlineLevel="0" collapsed="false">
      <c r="A15" s="116" t="n">
        <v>45962</v>
      </c>
      <c r="B15" s="103" t="s">
        <v>1956</v>
      </c>
      <c r="C15" s="103" t="n">
        <v>0</v>
      </c>
      <c r="D15" s="103" t="n">
        <v>630</v>
      </c>
      <c r="E15" s="103" t="n">
        <f aca="false">DATA_EXPENSES!$C15 - DATA_EXPENSES!$D15</f>
        <v>-630</v>
      </c>
    </row>
    <row r="16" customFormat="false" ht="14.25" hidden="false" customHeight="true" outlineLevel="0" collapsed="false">
      <c r="A16" s="116" t="n">
        <v>45962</v>
      </c>
      <c r="B16" s="103" t="s">
        <v>1957</v>
      </c>
      <c r="C16" s="103" t="n">
        <v>0</v>
      </c>
      <c r="D16" s="103" t="n">
        <v>500</v>
      </c>
      <c r="E16" s="103" t="n">
        <f aca="false">DATA_EXPENSES!$C16 - DATA_EXPENSES!$D16</f>
        <v>-500</v>
      </c>
    </row>
    <row r="17" customFormat="false" ht="14.25" hidden="false" customHeight="true" outlineLevel="0" collapsed="false">
      <c r="A17" s="116" t="n">
        <v>45962</v>
      </c>
      <c r="B17" s="103" t="s">
        <v>1958</v>
      </c>
      <c r="C17" s="103" t="n">
        <v>0</v>
      </c>
      <c r="D17" s="103" t="n">
        <v>500</v>
      </c>
      <c r="E17" s="103" t="n">
        <f aca="false">DATA_EXPENSES!$C17 - DATA_EXPENSES!$D17</f>
        <v>-500</v>
      </c>
    </row>
    <row r="18" customFormat="false" ht="14.25" hidden="false" customHeight="true" outlineLevel="0" collapsed="false">
      <c r="A18" s="116" t="n">
        <v>45962</v>
      </c>
      <c r="B18" s="103" t="s">
        <v>1959</v>
      </c>
      <c r="C18" s="103" t="n">
        <v>80</v>
      </c>
      <c r="D18" s="103" t="n">
        <v>0</v>
      </c>
      <c r="E18" s="103" t="n">
        <f aca="false">DATA_EXPENSES!$C18 - DATA_EXPENSES!$D18</f>
        <v>80</v>
      </c>
    </row>
    <row r="19" customFormat="false" ht="14.25" hidden="false" customHeight="true" outlineLevel="0" collapsed="false">
      <c r="A19" s="117" t="n">
        <v>46178</v>
      </c>
      <c r="B19" s="103" t="s">
        <v>1960</v>
      </c>
      <c r="C19" s="103" t="n">
        <v>500</v>
      </c>
      <c r="D19" s="103" t="n">
        <v>0</v>
      </c>
      <c r="E19" s="103" t="n">
        <f aca="false">DATA_EXPENSES!$C19 - DATA_EXPENSES!$D19</f>
        <v>500</v>
      </c>
    </row>
    <row r="20" customFormat="false" ht="14.25" hidden="false" customHeight="true" outlineLevel="0" collapsed="false">
      <c r="A20" s="117" t="n">
        <v>46179</v>
      </c>
      <c r="B20" s="103" t="s">
        <v>1961</v>
      </c>
      <c r="C20" s="103" t="n">
        <v>800</v>
      </c>
      <c r="D20" s="103" t="n">
        <v>0</v>
      </c>
      <c r="E20" s="103" t="n">
        <f aca="false">DATA_EXPENSES!$C20 - DATA_EXPENSES!$D20</f>
        <v>800</v>
      </c>
    </row>
    <row r="21" customFormat="false" ht="14.25" hidden="false" customHeight="true" outlineLevel="0" collapsed="false">
      <c r="A21" s="117" t="n">
        <v>46205</v>
      </c>
      <c r="B21" s="103" t="s">
        <v>1962</v>
      </c>
      <c r="C21" s="103" t="n">
        <v>10</v>
      </c>
      <c r="D21" s="103" t="n">
        <v>0</v>
      </c>
      <c r="E21" s="103" t="n">
        <f aca="false">DATA_EXPENSES!$C21 - DATA_EXPENSES!$D21</f>
        <v>10</v>
      </c>
    </row>
    <row r="22" customFormat="false" ht="14.25" hidden="false" customHeight="true" outlineLevel="0" collapsed="false">
      <c r="A22" s="117" t="n">
        <v>46207</v>
      </c>
      <c r="B22" s="103" t="s">
        <v>1963</v>
      </c>
      <c r="C22" s="103" t="n">
        <v>10</v>
      </c>
      <c r="D22" s="103" t="n">
        <v>0</v>
      </c>
      <c r="E22" s="103" t="n">
        <f aca="false">DATA_EXPENSES!$C22 - DATA_EXPENSES!$D22</f>
        <v>10</v>
      </c>
    </row>
    <row r="23" customFormat="false" ht="14.25" hidden="false" customHeight="true" outlineLevel="0" collapsed="false">
      <c r="A23" s="117" t="n">
        <v>46207</v>
      </c>
      <c r="B23" s="103" t="s">
        <v>1964</v>
      </c>
      <c r="C23" s="103" t="n">
        <v>136</v>
      </c>
      <c r="D23" s="103" t="n">
        <v>0</v>
      </c>
      <c r="E23" s="103" t="n">
        <f aca="false">DATA_EXPENSES!$C23 - DATA_EXPENSES!$D23</f>
        <v>136</v>
      </c>
    </row>
    <row r="24" customFormat="false" ht="14.25" hidden="false" customHeight="true" outlineLevel="0" collapsed="false">
      <c r="A24" s="117" t="n">
        <v>46207</v>
      </c>
      <c r="B24" s="103" t="s">
        <v>1965</v>
      </c>
      <c r="C24" s="103" t="n">
        <v>500</v>
      </c>
      <c r="D24" s="103" t="n">
        <v>0</v>
      </c>
      <c r="E24" s="103" t="n">
        <f aca="false">DATA_EXPENSES!$C24 - DATA_EXPENSES!$D24</f>
        <v>500</v>
      </c>
    </row>
    <row r="25" customFormat="false" ht="14.25" hidden="false" customHeight="true" outlineLevel="0" collapsed="false">
      <c r="A25" s="117" t="n">
        <v>46207</v>
      </c>
      <c r="B25" s="103" t="s">
        <v>1966</v>
      </c>
      <c r="C25" s="103" t="n">
        <v>50</v>
      </c>
      <c r="D25" s="103" t="n">
        <v>0</v>
      </c>
      <c r="E25" s="103" t="n">
        <f aca="false">DATA_EXPENSES!$C25 - DATA_EXPENSES!$D25</f>
        <v>50</v>
      </c>
    </row>
    <row r="26" customFormat="false" ht="14.25" hidden="false" customHeight="true" outlineLevel="0" collapsed="false">
      <c r="A26" s="117" t="n">
        <v>46207</v>
      </c>
      <c r="B26" s="103" t="s">
        <v>1967</v>
      </c>
      <c r="C26" s="103" t="n">
        <v>0</v>
      </c>
      <c r="D26" s="103" t="n">
        <v>500</v>
      </c>
      <c r="E26" s="103" t="n">
        <f aca="false">DATA_EXPENSES!$C26 - DATA_EXPENSES!$D26</f>
        <v>-500</v>
      </c>
    </row>
    <row r="27" customFormat="false" ht="14.25" hidden="false" customHeight="true" outlineLevel="0" collapsed="false">
      <c r="A27" s="117" t="n">
        <v>46208</v>
      </c>
      <c r="B27" s="103" t="s">
        <v>1968</v>
      </c>
      <c r="C27" s="103" t="n">
        <v>60</v>
      </c>
      <c r="D27" s="103" t="n">
        <v>0</v>
      </c>
      <c r="E27" s="103" t="n">
        <f aca="false">DATA_EXPENSES!$C27 - DATA_EXPENSES!$D27</f>
        <v>60</v>
      </c>
    </row>
    <row r="28" customFormat="false" ht="14.25" hidden="false" customHeight="true" outlineLevel="0" collapsed="false">
      <c r="A28" s="117" t="n">
        <v>46208</v>
      </c>
      <c r="B28" s="103" t="s">
        <v>1969</v>
      </c>
      <c r="C28" s="103" t="n">
        <v>750</v>
      </c>
      <c r="D28" s="103" t="n">
        <v>0</v>
      </c>
      <c r="E28" s="103" t="n">
        <f aca="false">DATA_EXPENSES!$C28 - DATA_EXPENSES!$D28</f>
        <v>750</v>
      </c>
    </row>
    <row r="29" customFormat="false" ht="14.25" hidden="false" customHeight="true" outlineLevel="0" collapsed="false">
      <c r="A29" s="117" t="n">
        <v>46211</v>
      </c>
      <c r="B29" s="103" t="s">
        <v>1970</v>
      </c>
      <c r="C29" s="103" t="n">
        <v>300</v>
      </c>
      <c r="D29" s="103" t="n">
        <v>0</v>
      </c>
      <c r="E29" s="103" t="n">
        <f aca="false">DATA_EXPENSES!$C29 - DATA_EXPENSES!$D29</f>
        <v>300</v>
      </c>
    </row>
    <row r="30" customFormat="false" ht="14.25" hidden="false" customHeight="true" outlineLevel="0" collapsed="false">
      <c r="A30" s="117" t="n">
        <v>46209</v>
      </c>
      <c r="B30" s="103" t="s">
        <v>1971</v>
      </c>
      <c r="C30" s="103" t="n">
        <v>10</v>
      </c>
      <c r="D30" s="103" t="n">
        <v>0</v>
      </c>
      <c r="E30" s="103" t="n">
        <f aca="false">DATA_EXPENSES!$C30 - DATA_EXPENSES!$D30</f>
        <v>10</v>
      </c>
    </row>
    <row r="31" customFormat="false" ht="14.25" hidden="false" customHeight="true" outlineLevel="0" collapsed="false">
      <c r="A31" s="117" t="n">
        <v>46210</v>
      </c>
      <c r="B31" s="103" t="s">
        <v>1972</v>
      </c>
      <c r="C31" s="103" t="n">
        <v>10</v>
      </c>
      <c r="D31" s="103" t="n">
        <v>0</v>
      </c>
      <c r="E31" s="103" t="n">
        <f aca="false">DATA_EXPENSES!$C31 - DATA_EXPENSES!$D31</f>
        <v>10</v>
      </c>
    </row>
    <row r="32" customFormat="false" ht="14.25" hidden="false" customHeight="true" outlineLevel="0" collapsed="false">
      <c r="A32" s="117" t="n">
        <v>46211</v>
      </c>
      <c r="B32" s="103" t="s">
        <v>1973</v>
      </c>
      <c r="C32" s="103" t="n">
        <v>15</v>
      </c>
      <c r="D32" s="103" t="n">
        <v>0</v>
      </c>
      <c r="E32" s="103" t="n">
        <f aca="false">DATA_EXPENSES!$C32 - DATA_EXPENSES!$D32</f>
        <v>15</v>
      </c>
    </row>
    <row r="33" customFormat="false" ht="14.25" hidden="false" customHeight="true" outlineLevel="0" collapsed="false">
      <c r="A33" s="117" t="n">
        <v>46210</v>
      </c>
      <c r="B33" s="103" t="s">
        <v>1974</v>
      </c>
      <c r="C33" s="103" t="n">
        <v>50</v>
      </c>
      <c r="D33" s="103" t="n">
        <v>0</v>
      </c>
      <c r="E33" s="103" t="n">
        <f aca="false">DATA_EXPENSES!$C33 - DATA_EXPENSES!$D33</f>
        <v>50</v>
      </c>
    </row>
    <row r="34" customFormat="false" ht="14.25" hidden="false" customHeight="true" outlineLevel="0" collapsed="false">
      <c r="A34" s="117" t="n">
        <v>46217</v>
      </c>
      <c r="B34" s="103" t="s">
        <v>1975</v>
      </c>
      <c r="C34" s="103" t="n">
        <v>210</v>
      </c>
      <c r="D34" s="103" t="n">
        <v>0</v>
      </c>
      <c r="E34" s="103" t="n">
        <f aca="false">DATA_EXPENSES!$C34 - DATA_EXPENSES!$D34</f>
        <v>210</v>
      </c>
    </row>
    <row r="35" customFormat="false" ht="14.25" hidden="false" customHeight="true" outlineLevel="0" collapsed="false">
      <c r="A35" s="117" t="n">
        <v>46217</v>
      </c>
      <c r="B35" s="103" t="s">
        <v>1973</v>
      </c>
      <c r="C35" s="103" t="n">
        <v>15</v>
      </c>
      <c r="D35" s="103" t="n">
        <v>0</v>
      </c>
      <c r="E35" s="103" t="n">
        <f aca="false">DATA_EXPENSES!$C35 - DATA_EXPENSES!$D35</f>
        <v>15</v>
      </c>
    </row>
    <row r="36" customFormat="false" ht="14.25" hidden="false" customHeight="true" outlineLevel="0" collapsed="false">
      <c r="A36" s="117" t="n">
        <v>46217</v>
      </c>
      <c r="B36" s="103" t="s">
        <v>1976</v>
      </c>
      <c r="C36" s="103" t="n">
        <v>10</v>
      </c>
      <c r="D36" s="103"/>
      <c r="E36" s="103" t="n">
        <f aca="false">DATA_EXPENSES!$C36 - DATA_EXPENSES!$D36</f>
        <v>10</v>
      </c>
    </row>
    <row r="37" customFormat="false" ht="14.25" hidden="false" customHeight="true" outlineLevel="0" collapsed="false">
      <c r="A37" s="117" t="n">
        <v>46217</v>
      </c>
      <c r="B37" s="103" t="s">
        <v>1977</v>
      </c>
      <c r="C37" s="103" t="n">
        <v>10</v>
      </c>
      <c r="D37" s="103" t="n">
        <v>0</v>
      </c>
      <c r="E37" s="103" t="n">
        <f aca="false">DATA_EXPENSES!$C37 - DATA_EXPENSES!$D37</f>
        <v>10</v>
      </c>
    </row>
    <row r="38" customFormat="false" ht="14.25" hidden="false" customHeight="true" outlineLevel="0" collapsed="false">
      <c r="A38" s="117" t="n">
        <v>46227</v>
      </c>
      <c r="B38" s="103" t="s">
        <v>1978</v>
      </c>
      <c r="C38" s="103" t="n">
        <v>10</v>
      </c>
      <c r="D38" s="103" t="n">
        <v>0</v>
      </c>
      <c r="E38" s="103" t="n">
        <f aca="false">DATA_EXPENSES!$C38 - DATA_EXPENSES!$D38</f>
        <v>10</v>
      </c>
    </row>
    <row r="39" customFormat="false" ht="14.25" hidden="false" customHeight="true" outlineLevel="0" collapsed="false">
      <c r="A39" s="117" t="n">
        <v>46234</v>
      </c>
      <c r="B39" s="103" t="s">
        <v>1969</v>
      </c>
      <c r="C39" s="103" t="n">
        <v>100</v>
      </c>
      <c r="D39" s="103" t="n">
        <v>0</v>
      </c>
      <c r="E39" s="103" t="n">
        <f aca="false">DATA_EXPENSES!$C39 - DATA_EXPENSES!$D39</f>
        <v>100</v>
      </c>
    </row>
    <row r="40" customFormat="false" ht="14.25" hidden="false" customHeight="true" outlineLevel="0" collapsed="false">
      <c r="A40" s="117" t="n">
        <v>46220</v>
      </c>
      <c r="B40" s="103" t="s">
        <v>1979</v>
      </c>
      <c r="C40" s="103" t="n">
        <v>4</v>
      </c>
      <c r="D40" s="103" t="n">
        <v>0</v>
      </c>
      <c r="E40" s="103" t="n">
        <f aca="false">DATA_EXPENSES!$C40 - DATA_EXPENSES!$D40</f>
        <v>4</v>
      </c>
    </row>
    <row r="41" customFormat="false" ht="14.25" hidden="false" customHeight="true" outlineLevel="0" collapsed="false">
      <c r="A41" s="117" t="n">
        <v>46234</v>
      </c>
      <c r="B41" s="103" t="s">
        <v>1980</v>
      </c>
      <c r="C41" s="103" t="n">
        <v>36.5</v>
      </c>
      <c r="D41" s="103" t="n">
        <v>0</v>
      </c>
      <c r="E41" s="103" t="n">
        <f aca="false">DATA_EXPENSES!$C41 - DATA_EXPENSES!$D41</f>
        <v>36.5</v>
      </c>
    </row>
    <row r="42" customFormat="false" ht="14.25" hidden="false" customHeight="true" outlineLevel="0" collapsed="false">
      <c r="A42" s="117" t="n">
        <v>46234</v>
      </c>
      <c r="B42" s="103" t="s">
        <v>1981</v>
      </c>
      <c r="C42" s="103" t="n">
        <v>20.75</v>
      </c>
      <c r="D42" s="103" t="n">
        <v>0</v>
      </c>
      <c r="E42" s="103" t="n">
        <f aca="false">DATA_EXPENSES!$C42 - DATA_EXPENSES!$D42</f>
        <v>20.75</v>
      </c>
    </row>
    <row r="43" customFormat="false" ht="14.25" hidden="false" customHeight="true" outlineLevel="0" collapsed="false">
      <c r="A43" s="117" t="n">
        <v>46224</v>
      </c>
      <c r="B43" s="103" t="s">
        <v>1982</v>
      </c>
      <c r="C43" s="103" t="n">
        <v>0.73</v>
      </c>
      <c r="D43" s="103" t="n">
        <v>0</v>
      </c>
      <c r="E43" s="103" t="n">
        <f aca="false">DATA_EXPENSES!$C43 - DATA_EXPENSES!$D43</f>
        <v>0.73</v>
      </c>
    </row>
    <row r="44" customFormat="false" ht="14.25" hidden="false" customHeight="true" outlineLevel="0" collapsed="false">
      <c r="A44" s="117" t="n">
        <v>46234</v>
      </c>
      <c r="B44" s="103" t="s">
        <v>1973</v>
      </c>
      <c r="C44" s="103" t="n">
        <v>15</v>
      </c>
      <c r="D44" s="103" t="n">
        <v>0</v>
      </c>
      <c r="E44" s="103" t="n">
        <f aca="false">DATA_EXPENSES!$C44 - DATA_EXPENSES!$D44</f>
        <v>15</v>
      </c>
    </row>
    <row r="45" customFormat="false" ht="14.25" hidden="false" customHeight="true" outlineLevel="0" collapsed="false">
      <c r="A45" s="117" t="n">
        <v>46237</v>
      </c>
      <c r="B45" s="103" t="s">
        <v>1983</v>
      </c>
      <c r="C45" s="103" t="n">
        <v>0</v>
      </c>
      <c r="D45" s="103" t="n">
        <v>0</v>
      </c>
      <c r="E45" s="103" t="n">
        <f aca="false">DATA_EXPENSES!$C45 - DATA_EXPENSES!$D45</f>
        <v>0</v>
      </c>
    </row>
    <row r="46" customFormat="false" ht="14.25" hidden="false" customHeight="true" outlineLevel="0" collapsed="false">
      <c r="A46" s="117" t="n">
        <v>46238</v>
      </c>
      <c r="B46" s="103" t="s">
        <v>1984</v>
      </c>
      <c r="C46" s="216" t="n">
        <v>33.6</v>
      </c>
      <c r="D46" s="103" t="n">
        <v>0</v>
      </c>
      <c r="E46" s="103" t="n">
        <f aca="false">DATA_EXPENSES!$C46 - DATA_EXPENSES!$D46</f>
        <v>33.6</v>
      </c>
    </row>
    <row r="47" customFormat="false" ht="14.25" hidden="false" customHeight="true" outlineLevel="0" collapsed="false">
      <c r="A47" s="117" t="n">
        <v>46238</v>
      </c>
      <c r="B47" s="103" t="s">
        <v>1985</v>
      </c>
      <c r="C47" s="216" t="n">
        <v>29.5</v>
      </c>
      <c r="D47" s="103" t="n">
        <v>0</v>
      </c>
      <c r="E47" s="103" t="n">
        <f aca="false">DATA_EXPENSES!$C47 - DATA_EXPENSES!$D47</f>
        <v>29.5</v>
      </c>
    </row>
    <row r="48" customFormat="false" ht="14.25" hidden="false" customHeight="true" outlineLevel="0" collapsed="false">
      <c r="A48" s="117" t="n">
        <v>46238</v>
      </c>
      <c r="B48" s="103" t="s">
        <v>1986</v>
      </c>
      <c r="C48" s="216" t="n">
        <v>150</v>
      </c>
      <c r="D48" s="103" t="n">
        <v>0</v>
      </c>
      <c r="E48" s="103" t="n">
        <f aca="false">DATA_EXPENSES!$C48 - DATA_EXPENSES!$D48</f>
        <v>150</v>
      </c>
    </row>
    <row r="49" customFormat="false" ht="14.25" hidden="false" customHeight="true" outlineLevel="0" collapsed="false">
      <c r="A49" s="117" t="n">
        <v>46238</v>
      </c>
      <c r="B49" s="103" t="s">
        <v>1987</v>
      </c>
      <c r="C49" s="216" t="n">
        <v>500</v>
      </c>
      <c r="D49" s="103" t="n">
        <v>500</v>
      </c>
      <c r="E49" s="103" t="n">
        <f aca="false">DATA_EXPENSES!$C49 - DATA_EXPENSES!$D49</f>
        <v>0</v>
      </c>
    </row>
    <row r="50" customFormat="false" ht="14.25" hidden="false" customHeight="true" outlineLevel="0" collapsed="false">
      <c r="A50" s="117" t="n">
        <v>46238</v>
      </c>
      <c r="B50" s="120" t="s">
        <v>1988</v>
      </c>
      <c r="C50" s="217" t="n">
        <v>500</v>
      </c>
      <c r="D50" s="120"/>
      <c r="E50" s="103" t="n">
        <f aca="false">DATA_EXPENSES!$C50 - DATA_EXPENSES!$D50</f>
        <v>500</v>
      </c>
    </row>
    <row r="51" customFormat="false" ht="14.25" hidden="false" customHeight="true" outlineLevel="0" collapsed="false">
      <c r="A51" s="117" t="n">
        <v>46238</v>
      </c>
      <c r="B51" s="120" t="s">
        <v>1989</v>
      </c>
      <c r="C51" s="217" t="n">
        <v>0</v>
      </c>
      <c r="D51" s="120" t="n">
        <v>500</v>
      </c>
      <c r="E51" s="103" t="n">
        <f aca="false">DATA_EXPENSES!$C51 - DATA_EXPENSES!$D51</f>
        <v>-500</v>
      </c>
    </row>
    <row r="52" customFormat="false" ht="14.25" hidden="false" customHeight="true" outlineLevel="0" collapsed="false">
      <c r="A52" s="117" t="n">
        <v>46242</v>
      </c>
      <c r="B52" s="0" t="s">
        <v>1990</v>
      </c>
      <c r="C52" s="218" t="n">
        <v>47.25</v>
      </c>
      <c r="D52" s="0" t="n">
        <v>0</v>
      </c>
      <c r="E52" s="103" t="n">
        <f aca="false">DATA_EXPENSES!$C52 - DATA_EXPENSES!$D52</f>
        <v>47.25</v>
      </c>
    </row>
    <row r="53" customFormat="false" ht="14.25" hidden="false" customHeight="true" outlineLevel="0" collapsed="false">
      <c r="A53" s="117" t="n">
        <v>46249</v>
      </c>
      <c r="B53" s="0" t="s">
        <v>1950</v>
      </c>
      <c r="C53" s="218" t="n">
        <v>50.21</v>
      </c>
      <c r="D53" s="0" t="n">
        <v>0</v>
      </c>
      <c r="E53" s="0" t="n">
        <f aca="false">DATA_EXPENSES!$C53 - DATA_EXPENSES!$D53</f>
        <v>50.21</v>
      </c>
    </row>
    <row r="54" customFormat="false" ht="15" hidden="false" customHeight="true" outlineLevel="0" collapsed="false">
      <c r="A54" s="117" t="n">
        <v>46255</v>
      </c>
      <c r="B54" s="0" t="s">
        <v>1991</v>
      </c>
      <c r="C54" s="0" t="n">
        <v>200</v>
      </c>
      <c r="D54" s="0" t="n">
        <v>0</v>
      </c>
      <c r="E54" s="0" t="n">
        <f aca="false">DATA_EXPENSES!$C54 - DATA_EXPENSES!$D54</f>
        <v>200</v>
      </c>
    </row>
    <row r="55" customFormat="false" ht="15" hidden="false" customHeight="true" outlineLevel="0" collapsed="false">
      <c r="A55" s="126" t="n">
        <v>46255</v>
      </c>
      <c r="B55" s="0" t="s">
        <v>1992</v>
      </c>
      <c r="C55" s="0" t="n">
        <v>80</v>
      </c>
      <c r="D55" s="0" t="n">
        <v>0</v>
      </c>
      <c r="E55" s="0" t="n">
        <f aca="false">DATA_EXPENSES!$C55 - DATA_EXPENSES!$D55</f>
        <v>80</v>
      </c>
    </row>
    <row r="56" customFormat="false" ht="15" hidden="false" customHeight="true" outlineLevel="0" collapsed="false">
      <c r="A56" s="126" t="n">
        <v>46255</v>
      </c>
      <c r="B56" s="0" t="s">
        <v>1993</v>
      </c>
      <c r="C56" s="0" t="n">
        <v>20</v>
      </c>
      <c r="D56" s="0" t="n">
        <v>0</v>
      </c>
      <c r="E56" s="0" t="n">
        <f aca="false">DATA_EXPENSES!$C56 - DATA_EXPENSES!$D56</f>
        <v>20</v>
      </c>
      <c r="I56" s="0" t="n">
        <f aca="false">33.6+29.5</f>
        <v>63.1</v>
      </c>
    </row>
    <row r="57" customFormat="false" ht="15" hidden="false" customHeight="true" outlineLevel="0" collapsed="false">
      <c r="A57" s="126" t="n">
        <v>46265</v>
      </c>
      <c r="B57" s="0" t="s">
        <v>1994</v>
      </c>
      <c r="C57" s="218" t="n">
        <f aca="false">69.1+4.06</f>
        <v>73.16</v>
      </c>
      <c r="E57" s="0" t="n">
        <f aca="false">DATA_EXPENSES!$C57 - DATA_EXPENSES!$D57</f>
        <v>73.16</v>
      </c>
    </row>
    <row r="58" customFormat="false" ht="15" hidden="false" customHeight="true" outlineLevel="0" collapsed="false">
      <c r="A58" s="126" t="n">
        <v>46265</v>
      </c>
      <c r="B58" s="0" t="s">
        <v>1995</v>
      </c>
      <c r="C58" s="218" t="n">
        <v>390</v>
      </c>
      <c r="D58" s="0" t="n">
        <v>0</v>
      </c>
      <c r="E58" s="0" t="n">
        <f aca="false">DATA_EXPENSES!$C58 - DATA_EXPENSES!$D58</f>
        <v>390</v>
      </c>
    </row>
    <row r="59" customFormat="false" ht="15" hidden="false" customHeight="true" outlineLevel="0" collapsed="false">
      <c r="A59" s="126" t="n">
        <v>46265</v>
      </c>
      <c r="B59" s="0" t="s">
        <v>1996</v>
      </c>
      <c r="C59" s="0" t="n">
        <v>380</v>
      </c>
      <c r="E59" s="0" t="n">
        <f aca="false">DATA_EXPENSES!$C59 - DATA_EXPENSES!$D59</f>
        <v>380</v>
      </c>
    </row>
    <row r="60" customFormat="false" ht="15" hidden="false" customHeight="true" outlineLevel="0" collapsed="false">
      <c r="A60" s="126" t="n">
        <v>46265</v>
      </c>
      <c r="B60" s="0" t="s">
        <v>1997</v>
      </c>
      <c r="C60" s="0" t="n">
        <v>850</v>
      </c>
      <c r="E60" s="0" t="n">
        <f aca="false">DATA_EXPENSES!$C60 - DATA_EXPENSES!$D60</f>
        <v>850</v>
      </c>
    </row>
    <row r="61" customFormat="false" ht="15" hidden="false" customHeight="true" outlineLevel="0" collapsed="false">
      <c r="A61" s="126" t="n">
        <v>46265</v>
      </c>
      <c r="B61" s="0" t="s">
        <v>1998</v>
      </c>
      <c r="C61" s="0" t="n">
        <v>17</v>
      </c>
      <c r="E61" s="0" t="n">
        <f aca="false">DATA_EXPENSES!$C61 - DATA_EXPENSES!$D61</f>
        <v>17</v>
      </c>
    </row>
    <row r="62" customFormat="false" ht="15" hidden="false" customHeight="true" outlineLevel="0" collapsed="false">
      <c r="A62" s="126" t="n">
        <v>46265</v>
      </c>
      <c r="B62" s="0" t="s">
        <v>1999</v>
      </c>
      <c r="C62" s="0" t="n">
        <v>100</v>
      </c>
      <c r="E62" s="0" t="n">
        <f aca="false">DATA_EXPENSES!$C62 - DATA_EXPENSES!$D62</f>
        <v>100</v>
      </c>
    </row>
    <row r="63" customFormat="false" ht="15" hidden="false" customHeight="true" outlineLevel="0" collapsed="false">
      <c r="A63" s="126" t="n">
        <v>46265</v>
      </c>
      <c r="B63" s="107" t="s">
        <v>2000</v>
      </c>
      <c r="C63" s="218" t="n">
        <v>70.59</v>
      </c>
      <c r="E63" s="0" t="n">
        <f aca="false">DATA_EXPENSES!$C63 - DATA_EXPENSES!$D63</f>
        <v>70.59</v>
      </c>
    </row>
    <row r="64" customFormat="false" ht="15" hidden="false" customHeight="true" outlineLevel="0" collapsed="false">
      <c r="A64" s="126" t="n">
        <v>46266</v>
      </c>
      <c r="B64" s="107" t="s">
        <v>1988</v>
      </c>
      <c r="C64" s="218" t="n">
        <v>500</v>
      </c>
      <c r="E64" s="0" t="n">
        <f aca="false">DATA_EXPENSES!$C64 - DATA_EXPENSES!$D64</f>
        <v>500</v>
      </c>
    </row>
    <row r="65" customFormat="false" ht="15" hidden="false" customHeight="true" outlineLevel="0" collapsed="false">
      <c r="A65" s="126" t="n">
        <v>46266</v>
      </c>
      <c r="B65" s="107" t="s">
        <v>2001</v>
      </c>
      <c r="C65" s="218" t="n">
        <v>40</v>
      </c>
      <c r="D65" s="0" t="n">
        <v>500</v>
      </c>
      <c r="E65" s="0" t="n">
        <f aca="false">DATA_EXPENSES!$C65 - DATA_EXPENSES!$D65</f>
        <v>-460</v>
      </c>
    </row>
    <row r="66" customFormat="false" ht="15" hidden="false" customHeight="true" outlineLevel="0" collapsed="false">
      <c r="A66" s="126" t="n">
        <v>46267</v>
      </c>
      <c r="B66" s="0" t="s">
        <v>2002</v>
      </c>
      <c r="C66" s="0" t="n">
        <v>142</v>
      </c>
      <c r="E66" s="0" t="n">
        <f aca="false">DATA_EXPENSES!$C66 - DATA_EXPENSES!$D66</f>
        <v>142</v>
      </c>
    </row>
    <row r="67" customFormat="false" ht="15" hidden="false" customHeight="true" outlineLevel="0" collapsed="false">
      <c r="A67" s="126" t="n">
        <v>46269</v>
      </c>
      <c r="B67" s="107" t="s">
        <v>2003</v>
      </c>
      <c r="C67" s="218" t="n">
        <v>45</v>
      </c>
      <c r="E67" s="0" t="n">
        <f aca="false">DATA_EXPENSES!$C67 - DATA_EXPENSES!$D67</f>
        <v>45</v>
      </c>
    </row>
    <row r="68" customFormat="false" ht="15" hidden="false" customHeight="true" outlineLevel="0" collapsed="false">
      <c r="A68" s="126" t="n">
        <v>46269</v>
      </c>
      <c r="B68" s="107" t="s">
        <v>2004</v>
      </c>
      <c r="C68" s="218" t="n">
        <v>2</v>
      </c>
      <c r="E68" s="0" t="n">
        <f aca="false">DATA_EXPENSES!$C68 - DATA_EXPENSES!$D68</f>
        <v>2</v>
      </c>
    </row>
    <row r="69" customFormat="false" ht="15" hidden="false" customHeight="true" outlineLevel="0" collapsed="false">
      <c r="A69" s="219" t="n">
        <v>46270</v>
      </c>
      <c r="B69" s="220" t="s">
        <v>2005</v>
      </c>
      <c r="C69" s="218" t="n">
        <v>40</v>
      </c>
      <c r="E69" s="0" t="n">
        <f aca="false">DATA_EXPENSES!$C69 - DATA_EXPENSES!$D69</f>
        <v>40</v>
      </c>
    </row>
    <row r="70" customFormat="false" ht="15" hidden="false" customHeight="true" outlineLevel="0" collapsed="false">
      <c r="A70" s="219" t="n">
        <v>46270</v>
      </c>
      <c r="B70" s="220" t="s">
        <v>2006</v>
      </c>
      <c r="C70" s="218" t="n">
        <v>10</v>
      </c>
      <c r="E70" s="0" t="n">
        <f aca="false">DATA_EXPENSES!$C70 - DATA_EXPENSES!$D70</f>
        <v>10</v>
      </c>
    </row>
    <row r="71" customFormat="false" ht="15" hidden="false" customHeight="true" outlineLevel="0" collapsed="false">
      <c r="A71" s="219" t="n">
        <v>46270</v>
      </c>
      <c r="B71" s="220" t="s">
        <v>2007</v>
      </c>
      <c r="C71" s="218" t="n">
        <v>20</v>
      </c>
      <c r="E71" s="0" t="n">
        <f aca="false">DATA_EXPENSES!$C71 - DATA_EXPENSES!$D71</f>
        <v>20</v>
      </c>
    </row>
    <row r="72" customFormat="false" ht="15" hidden="false" customHeight="true" outlineLevel="0" collapsed="false">
      <c r="A72" s="219" t="n">
        <v>46270</v>
      </c>
      <c r="B72" s="220" t="s">
        <v>1973</v>
      </c>
      <c r="C72" s="218" t="n">
        <v>20</v>
      </c>
      <c r="E72" s="0" t="n">
        <f aca="false">DATA_EXPENSES!$C72 - DATA_EXPENSES!$D72</f>
        <v>20</v>
      </c>
    </row>
    <row r="73" customFormat="false" ht="15" hidden="false" customHeight="true" outlineLevel="0" collapsed="false">
      <c r="A73" s="219" t="n">
        <v>46275</v>
      </c>
      <c r="B73" s="107" t="s">
        <v>2008</v>
      </c>
      <c r="C73" s="218" t="n">
        <v>98</v>
      </c>
      <c r="E73" s="0" t="n">
        <f aca="false">DATA_EXPENSES!$C73 - DATA_EXPENSES!$D73</f>
        <v>98</v>
      </c>
    </row>
    <row r="74" customFormat="false" ht="15" hidden="false" customHeight="true" outlineLevel="0" collapsed="false">
      <c r="A74" s="126"/>
      <c r="B74" s="107"/>
      <c r="C74" s="218"/>
      <c r="E74" s="0" t="n">
        <f aca="false">DATA_EXPENSES!$C74 - DATA_EXPENSES!$D74</f>
        <v>0</v>
      </c>
    </row>
    <row r="75" customFormat="false" ht="15" hidden="false" customHeight="true" outlineLevel="0" collapsed="false">
      <c r="A75" s="126"/>
      <c r="B75" s="107"/>
      <c r="C75" s="218"/>
      <c r="E75" s="0" t="n">
        <f aca="false">DATA_EXPENSES!$C75 - DATA_EXPENSES!$D75</f>
        <v>0</v>
      </c>
    </row>
    <row r="76" customFormat="false" ht="15" hidden="false" customHeight="true" outlineLevel="0" collapsed="false">
      <c r="A76" s="126"/>
      <c r="B76" s="107"/>
      <c r="C76" s="218"/>
      <c r="E76" s="0" t="n">
        <f aca="false">DATA_EXPENSES!$C76 - DATA_EXPENSES!$D76</f>
        <v>0</v>
      </c>
    </row>
    <row r="77" customFormat="false" ht="15" hidden="false" customHeight="true" outlineLevel="0" collapsed="false">
      <c r="A77" s="126"/>
      <c r="B77" s="107"/>
      <c r="C77" s="218"/>
      <c r="E77" s="0" t="n">
        <f aca="false">DATA_EXPENSES!$C77 - DATA_EXPENSES!$D77</f>
        <v>0</v>
      </c>
    </row>
    <row r="78" customFormat="false" ht="15" hidden="false" customHeight="true" outlineLevel="0" collapsed="false">
      <c r="A78" s="126"/>
      <c r="B78" s="107"/>
      <c r="C78" s="218"/>
      <c r="E78" s="0" t="n">
        <f aca="false">DATA_EXPENSES!$C78 - DATA_EXPENSES!$D78</f>
        <v>0</v>
      </c>
    </row>
    <row r="79" customFormat="false" ht="15" hidden="false" customHeight="true" outlineLevel="0" collapsed="false">
      <c r="A79" s="126"/>
      <c r="B79" s="107"/>
      <c r="E79" s="0" t="n">
        <f aca="false">DATA_EXPENSES!$C79 - DATA_EXPENSES!$D79</f>
        <v>0</v>
      </c>
    </row>
    <row r="80" customFormat="false" ht="15" hidden="false" customHeight="true" outlineLevel="0" collapsed="false">
      <c r="A80" s="126"/>
      <c r="B80" s="107"/>
      <c r="C80" s="218"/>
      <c r="E80" s="0" t="n">
        <f aca="false">DATA_EXPENSES!$C80 - DATA_EXPENSES!$D80</f>
        <v>0</v>
      </c>
    </row>
    <row r="81" customFormat="false" ht="15" hidden="false" customHeight="true" outlineLevel="0" collapsed="false">
      <c r="A81" s="126" t="n">
        <v>46295</v>
      </c>
      <c r="B81" s="107" t="s">
        <v>2000</v>
      </c>
      <c r="C81" s="218" t="n">
        <f aca="false">45.46+3.63</f>
        <v>49.09</v>
      </c>
      <c r="E81" s="0" t="n">
        <f aca="false">DATA_EXPENSES!$C81 - DATA_EXPENSES!$D81</f>
        <v>49.09</v>
      </c>
    </row>
    <row r="82" customFormat="false" ht="15" hidden="false" customHeight="true" outlineLevel="0" collapsed="false">
      <c r="A82" s="126"/>
      <c r="B82" s="107"/>
      <c r="C82" s="218"/>
      <c r="E82" s="0" t="n">
        <f aca="false">DATA_EXPENSES!$C82 - DATA_EXPENSES!$D82</f>
        <v>0</v>
      </c>
    </row>
    <row r="83" customFormat="false" ht="15" hidden="false" customHeight="true" outlineLevel="0" collapsed="false">
      <c r="A83" s="126"/>
      <c r="B83" s="107"/>
      <c r="C83" s="218"/>
      <c r="E83" s="0" t="n">
        <f aca="false">DATA_EXPENSES!$C83 - DATA_EXPENSES!$D83</f>
        <v>0</v>
      </c>
    </row>
    <row r="84" customFormat="false" ht="15" hidden="false" customHeight="true" outlineLevel="0" collapsed="false">
      <c r="A84" s="126"/>
      <c r="B84" s="107"/>
      <c r="C84" s="218"/>
      <c r="E84" s="0" t="n">
        <f aca="false">DATA_EXPENSES!$C84 - DATA_EXPENSES!$D84</f>
        <v>0</v>
      </c>
    </row>
    <row r="85" customFormat="false" ht="15" hidden="false" customHeight="true" outlineLevel="0" collapsed="false">
      <c r="A85" s="126"/>
      <c r="B85" s="107"/>
      <c r="C85" s="218"/>
      <c r="E85" s="0" t="n">
        <f aca="false">DATA_EXPENSES!$C85 - DATA_EXPENSES!$D85</f>
        <v>0</v>
      </c>
    </row>
    <row r="86" customFormat="false" ht="15" hidden="false" customHeight="true" outlineLevel="0" collapsed="false">
      <c r="A86" s="126"/>
      <c r="B86" s="107"/>
      <c r="C86" s="218"/>
      <c r="E86" s="0" t="n">
        <f aca="false">DATA_EXPENSES!$C86 - DATA_EXPENSES!$D86</f>
        <v>0</v>
      </c>
    </row>
    <row r="87" customFormat="false" ht="15" hidden="false" customHeight="true" outlineLevel="0" collapsed="false">
      <c r="A87" s="126"/>
      <c r="B87" s="107"/>
      <c r="C87" s="218"/>
      <c r="E87" s="0" t="n">
        <f aca="false">DATA_EXPENSES!$C87 - DATA_EXPENSES!$D87</f>
        <v>0</v>
      </c>
    </row>
    <row r="88" customFormat="false" ht="15" hidden="false" customHeight="true" outlineLevel="0" collapsed="false">
      <c r="A88" s="126"/>
      <c r="B88" s="107"/>
      <c r="C88" s="218"/>
      <c r="E88" s="0" t="n">
        <f aca="false">DATA_EXPENSES!$C88 - DATA_EXPENSES!$D88</f>
        <v>0</v>
      </c>
    </row>
    <row r="89" customFormat="false" ht="15" hidden="false" customHeight="true" outlineLevel="0" collapsed="false">
      <c r="A89" s="126"/>
      <c r="B89" s="107"/>
      <c r="C89" s="218"/>
      <c r="E89" s="0" t="n">
        <f aca="false">DATA_EXPENSES!$C89 - DATA_EXPENSES!$D89</f>
        <v>0</v>
      </c>
    </row>
    <row r="90" customFormat="false" ht="15" hidden="false" customHeight="true" outlineLevel="0" collapsed="false">
      <c r="A90" s="2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B31" activeCellId="1" sqref="A1:L7 B31"/>
    </sheetView>
  </sheetViews>
  <sheetFormatPr defaultColWidth="8.6796875" defaultRowHeight="12.8" zeroHeight="false" outlineLevelRow="0" outlineLevelCol="0"/>
  <cols>
    <col collapsed="false" customWidth="true" hidden="false" outlineLevel="0" max="1" min="1" style="0" width="32"/>
    <col collapsed="false" customWidth="true" hidden="false" outlineLevel="0" max="8" min="2" style="0" width="18"/>
    <col collapsed="false" customWidth="true" hidden="false" outlineLevel="0" max="9" min="9" style="0" width="20"/>
    <col collapsed="false" customWidth="true" hidden="false" outlineLevel="0" max="10" min="10" style="0" width="14.18"/>
  </cols>
  <sheetData>
    <row r="1" customFormat="false" ht="21" hidden="false" customHeight="true" outlineLevel="0" collapsed="false">
      <c r="A1" s="222" t="s">
        <v>2009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</row>
    <row r="2" customFormat="false" ht="14.25" hidden="false" customHeight="false" outlineLevel="0" collapsed="false">
      <c r="A2" s="223" t="s">
        <v>2010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</row>
    <row r="3" customFormat="false" ht="13.8" hidden="false" customHeight="false" outlineLevel="0" collapsed="false"/>
    <row r="4" customFormat="false" ht="21.75" hidden="false" customHeight="true" outlineLevel="0" collapsed="false">
      <c r="A4" s="7" t="str">
        <f aca="false">HYPERLINK("#'HOME'!A1","HOME")</f>
        <v>HOME</v>
      </c>
      <c r="B4" s="7" t="str">
        <f aca="false">HYPERLINK("#'FINANCE'!A1","FINANCE")</f>
        <v>FINANCE</v>
      </c>
      <c r="C4" s="7" t="str">
        <f aca="false">HYPERLINK("#'REPORTS'!A1","REPORTS")</f>
        <v>REPORTS</v>
      </c>
      <c r="D4" s="7" t="str">
        <f aca="false">HYPERLINK("#'MONTHLY SALARY'!A1","MONTHLY SALARY")</f>
        <v>MONTHLY SALARY</v>
      </c>
      <c r="E4" s="7"/>
      <c r="F4" s="7"/>
      <c r="G4" s="7"/>
      <c r="H4" s="7"/>
      <c r="I4" s="7" t="str">
        <f aca="false">HYPERLINK("#'PROFIT &amp; LOSS'!A1","PROFIT &amp; LOSS")</f>
        <v>PROFIT &amp; LOSS</v>
      </c>
      <c r="J4" s="7" t="str">
        <f aca="false">HYPERLINK("#'BALANCE SHEET'!A1","BALANCE SHEET")</f>
        <v>BALANCE SHEET</v>
      </c>
    </row>
    <row r="5" customFormat="false" ht="13.8" hidden="false" customHeight="false" outlineLevel="0" collapsed="false"/>
    <row r="6" customFormat="false" ht="13.8" hidden="false" customHeight="false" outlineLevel="0" collapsed="false">
      <c r="A6" s="224" t="s">
        <v>2011</v>
      </c>
      <c r="B6" s="224" t="s">
        <v>1865</v>
      </c>
      <c r="C6" s="224" t="s">
        <v>1866</v>
      </c>
      <c r="D6" s="225" t="n">
        <v>46235</v>
      </c>
      <c r="E6" s="225" t="n">
        <v>46266</v>
      </c>
      <c r="F6" s="225" t="n">
        <v>46296</v>
      </c>
      <c r="G6" s="225" t="n">
        <v>46327</v>
      </c>
      <c r="H6" s="225" t="n">
        <v>46357</v>
      </c>
      <c r="I6" s="224" t="s">
        <v>2012</v>
      </c>
    </row>
    <row r="7" customFormat="false" ht="13.8" hidden="false" customHeight="false" outlineLevel="0" collapsed="false">
      <c r="A7" s="226" t="s">
        <v>2013</v>
      </c>
      <c r="B7" s="227"/>
      <c r="C7" s="227"/>
      <c r="D7" s="227"/>
      <c r="E7" s="227"/>
      <c r="F7" s="227"/>
      <c r="G7" s="227"/>
      <c r="H7" s="227"/>
      <c r="I7" s="227"/>
    </row>
    <row r="8" customFormat="false" ht="13.8" hidden="false" customHeight="false" outlineLevel="0" collapsed="false">
      <c r="A8" s="0" t="s">
        <v>2014</v>
      </c>
      <c r="B8" s="228" t="n">
        <f aca="false">SUMIFS(DATA_RECEIPTS!$E:$E,DATA_RECEIPTS!$B:$B,"&gt;="&amp;DATE(2026,6,1),DATA_RECEIPTS!$B:$B,"&lt;"&amp;DATE(2026,7,1))</f>
        <v>700</v>
      </c>
      <c r="C8" s="228" t="n">
        <f aca="false">SUMIFS(DATA_RECEIPTS!$E:$E,DATA_RECEIPTS!$B:$B,"&gt;="&amp;DATE(2026,7,1),DATA_RECEIPTS!$B:$B,"&lt;"&amp;DATE(2026,8,1))</f>
        <v>1600</v>
      </c>
      <c r="D8" s="228" t="n">
        <f aca="false">SUMIFS(DATA_RECEIPTS!$E:$E,DATA_RECEIPTS!$B:$B,"&gt;="&amp;DATE(2026,8,1),DATA_RECEIPTS!$B:$B,"&lt;"&amp;DATE(2026,9,1))</f>
        <v>4850</v>
      </c>
      <c r="E8" s="228" t="n">
        <f aca="false">SUMIFS(DATA_RECEIPTS!$E:$E,DATA_RECEIPTS!$B:$B,"&gt;="&amp;DATE(2026,9,1),DATA_RECEIPTS!$B:$B,"&lt;"&amp;DATE(2026,10,1))</f>
        <v>2725</v>
      </c>
      <c r="F8" s="228"/>
      <c r="G8" s="228"/>
      <c r="H8" s="228"/>
      <c r="I8" s="228" t="n">
        <f aca="false">SUM(B8:D8)</f>
        <v>7150</v>
      </c>
    </row>
    <row r="9" customFormat="false" ht="13.8" hidden="false" customHeight="false" outlineLevel="0" collapsed="false">
      <c r="A9" s="229" t="s">
        <v>2015</v>
      </c>
      <c r="B9" s="230" t="n">
        <f aca="false">B8</f>
        <v>700</v>
      </c>
      <c r="C9" s="230" t="n">
        <f aca="false">C8</f>
        <v>1600</v>
      </c>
      <c r="D9" s="230" t="n">
        <f aca="false">D8</f>
        <v>4850</v>
      </c>
      <c r="E9" s="230" t="n">
        <f aca="false">E8</f>
        <v>2725</v>
      </c>
      <c r="F9" s="230"/>
      <c r="G9" s="230"/>
      <c r="H9" s="230"/>
      <c r="I9" s="230" t="n">
        <f aca="false">SUM(B9:D9)</f>
        <v>7150</v>
      </c>
    </row>
    <row r="10" customFormat="false" ht="13.8" hidden="false" customHeight="false" outlineLevel="0" collapsed="false"/>
    <row r="11" customFormat="false" ht="13.8" hidden="false" customHeight="false" outlineLevel="0" collapsed="false">
      <c r="A11" s="226" t="s">
        <v>2016</v>
      </c>
      <c r="B11" s="227"/>
      <c r="C11" s="227"/>
      <c r="D11" s="227"/>
      <c r="E11" s="227"/>
      <c r="F11" s="227"/>
      <c r="G11" s="227"/>
      <c r="H11" s="227"/>
      <c r="I11" s="227"/>
    </row>
    <row r="12" customFormat="false" ht="13.8" hidden="false" customHeight="false" outlineLevel="0" collapsed="false">
      <c r="A12" s="0" t="s">
        <v>2017</v>
      </c>
      <c r="B12" s="228" t="n">
        <f aca="false">SUMIFS(DATA_EXPENSES!$E:$E,DATA_EXPENSES!$A:$A,"&gt;="&amp;DATE(2026,6,1),DATA_EXPENSES!$A:$A,"&lt;"&amp;DATE(2026,7,1),DATA_EXPENSES!$B:$B,"*salary*")</f>
        <v>800</v>
      </c>
      <c r="C12" s="228" t="n">
        <f aca="false">SUMIFS(DATA_EXPENSES!$E:$E,DATA_EXPENSES!$A:$A,"&gt;="&amp;DATE(2026,7,1),DATA_EXPENSES!$A:$A,"&lt;"&amp;DATE(2026,8,1),DATA_EXPENSES!$B:$B,"*salary*")</f>
        <v>850</v>
      </c>
      <c r="D12" s="228" t="n">
        <f aca="false">SUMIFS(DATA_EXPENSES!$E:$E,DATA_EXPENSES!$A:$A,"&gt;="&amp;DATE(2026,8,1),DATA_EXPENSES!$A:$A,"&lt;"&amp;DATE(2026,9,1),DATA_EXPENSES!$B:$B,"*salary*")</f>
        <v>950</v>
      </c>
      <c r="E12" s="228" t="n">
        <f aca="false">SUMIFS(DATA_EXPENSES!$E:$E,DATA_EXPENSES!$A:$A,"&gt;="&amp;DATE(2026,9,1),DATA_EXPENSES!$A:$A,"&lt;"&amp;DATE(2026,10,1),DATA_EXPENSES!$B:$B,"*salary*")</f>
        <v>0</v>
      </c>
      <c r="F12" s="228"/>
      <c r="G12" s="228"/>
      <c r="H12" s="228"/>
      <c r="I12" s="228" t="n">
        <f aca="false">SUM(B12:D12)</f>
        <v>2600</v>
      </c>
    </row>
    <row r="13" customFormat="false" ht="13.8" hidden="false" customHeight="false" outlineLevel="0" collapsed="false">
      <c r="A13" s="0" t="s">
        <v>2018</v>
      </c>
      <c r="B13" s="228" t="n">
        <f aca="false">SUMIFS(DATA_EXPENSES!$E:$E,DATA_EXPENSES!$A:$A,"&gt;="&amp;DATE(2026,6,1),DATA_EXPENSES!$A:$A,"&lt;"&amp;DATE(2026,7,1),DATA_EXPENSES!$B:$B,"*rent*")</f>
        <v>500</v>
      </c>
      <c r="C13" s="228" t="n">
        <f aca="false">SUMIFS(DATA_EXPENSES!$E:$E,DATA_EXPENSES!$A:$A,"&gt;="&amp;DATE(2026,7,1),DATA_EXPENSES!$A:$A,"&lt;"&amp;DATE(2026,8,1),DATA_EXPENSES!$B:$B,"*rent*")</f>
        <v>500</v>
      </c>
      <c r="D13" s="228" t="n">
        <f aca="false">SUMIFS(DATA_EXPENSES!$E:$E,DATA_EXPENSES!$A:$A,"&gt;="&amp;DATE(2026,8,1),DATA_EXPENSES!$A:$A,"&lt;"&amp;DATE(2026,9,1),DATA_EXPENSES!$B:$B,"*rent*")</f>
        <v>500</v>
      </c>
      <c r="E13" s="228" t="n">
        <f aca="false">SUMIFS(DATA_EXPENSES!$E:$E,DATA_EXPENSES!$A:$A,"&gt;="&amp;DATE(2026,9,1),DATA_EXPENSES!$A:$A,"&lt;"&amp;DATE(2026,10,1),DATA_EXPENSES!$B:$B,"*rent*")</f>
        <v>500</v>
      </c>
      <c r="F13" s="228"/>
      <c r="G13" s="228"/>
      <c r="H13" s="228"/>
      <c r="I13" s="228" t="n">
        <f aca="false">SUM(B13:D13)</f>
        <v>1500</v>
      </c>
    </row>
    <row r="14" customFormat="false" ht="13.8" hidden="false" customHeight="false" outlineLevel="0" collapsed="false">
      <c r="A14" s="0" t="s">
        <v>69</v>
      </c>
      <c r="B14" s="228" t="n">
        <f aca="false">SUMIFS(DATA_EXPENSES!$E:$E,DATA_EXPENSES!$A:$A,"&gt;="&amp;DATE(2026,6,1),DATA_EXPENSES!$A:$A,"&lt;"&amp;DATE(2026,7,1),DATA_EXPENSES!$B:$B,"*transport*")</f>
        <v>0</v>
      </c>
      <c r="C14" s="228" t="n">
        <f aca="false">SUMIFS(DATA_EXPENSES!$E:$E,DATA_EXPENSES!$A:$A,"&gt;="&amp;DATE(2026,7,1),DATA_EXPENSES!$A:$A,"&lt;"&amp;DATE(2026,8,1),DATA_EXPENSES!$B:$B,"*transport*")</f>
        <v>60</v>
      </c>
      <c r="D14" s="228" t="n">
        <f aca="false">SUMIFS(DATA_EXPENSES!$E:$E,DATA_EXPENSES!$A:$A,"&gt;="&amp;DATE(2026,8,1),DATA_EXPENSES!$A:$A,"&lt;"&amp;DATE(2026,9,1),DATA_EXPENSES!$B:$B,"*transport*")</f>
        <v>17</v>
      </c>
      <c r="E14" s="228" t="n">
        <f aca="false">SUMIFS(DATA_EXPENSES!$E:$E,DATA_EXPENSES!$A:$A,"&gt;="&amp;DATE(2026,9,1),DATA_EXPENSES!$A:$A,"&lt;"&amp;DATE(2026,10,1),DATA_EXPENSES!$B:$B,"*transport*")</f>
        <v>20</v>
      </c>
      <c r="F14" s="228"/>
      <c r="G14" s="228"/>
      <c r="H14" s="228"/>
      <c r="I14" s="228" t="n">
        <f aca="false">SUM(B14:D14)</f>
        <v>77</v>
      </c>
    </row>
    <row r="15" customFormat="false" ht="13.8" hidden="false" customHeight="false" outlineLevel="0" collapsed="false">
      <c r="A15" s="0" t="s">
        <v>2019</v>
      </c>
      <c r="B15" s="228" t="n">
        <f aca="false">SUMIFS(DATA_EXPENSES!$E:$E,DATA_EXPENSES!$A:$A,"&gt;="&amp;DATE(2026,6,1),DATA_EXPENSES!$A:$A,"&lt;"&amp;DATE(2026,7,1),DATA_EXPENSES!$B:$B,"*lunch*")+SUMIFS(DATA_EXPENSES!$E:$E,DATA_EXPENSES!$A:$A,"&gt;="&amp;DATE(2026,6,1),DATA_EXPENSES!$A:$A,"&lt;"&amp;DATE(2026,7,1),DATA_EXPENSES!$B:$B,"*food*")+SUMIFS(DATA_EXPENSES!$E:$E,DATA_EXPENSES!$A:$A,"&gt;="&amp;DATE(2026,6,1),DATA_EXPENSES!$A:$A,"&lt;"&amp;DATE(2026,7,1),DATA_EXPENSES!$B:$B,"*diner*")+SUMIFS(DATA_EXPENSES!$E:$E,DATA_EXPENSES!$A:$A,"&gt;="&amp;DATE(2026,6,1),DATA_EXPENSES!$A:$A,"&lt;"&amp;DATE(2026,7,1),DATA_EXPENSES!$B:$B,"*meeting*")</f>
        <v>0</v>
      </c>
      <c r="C15" s="228" t="n">
        <f aca="false">SUMIFS(DATA_EXPENSES!$E:$E,DATA_EXPENSES!$A:$A,"&gt;="&amp;DATE(2026,7,1),DATA_EXPENSES!$A:$A,"&lt;"&amp;DATE(2026,8,1),DATA_EXPENSES!$B:$B,"*lunch*")+SUMIFS(DATA_EXPENSES!$E:$E,DATA_EXPENSES!$A:$A,"&gt;="&amp;DATE(2026,7,1),DATA_EXPENSES!$A:$A,"&lt;"&amp;DATE(2026,8,1),DATA_EXPENSES!$B:$B,"*food*")+SUMIFS(DATA_EXPENSES!$E:$E,DATA_EXPENSES!$A:$A,"&gt;="&amp;DATE(2026,7,1),DATA_EXPENSES!$A:$A,"&lt;"&amp;DATE(2026,8,1),DATA_EXPENSES!$B:$B,"*diner*")+SUMIFS(DATA_EXPENSES!$E:$E,DATA_EXPENSES!$A:$A,"&gt;="&amp;DATE(2026,7,1),DATA_EXPENSES!$A:$A,"&lt;"&amp;DATE(2026,8,1),DATA_EXPENSES!$B:$B,"*meeting*")</f>
        <v>136</v>
      </c>
      <c r="D15" s="228" t="n">
        <f aca="false">SUMIFS(DATA_EXPENSES!$E:$E,DATA_EXPENSES!$A:$A,"&gt;="&amp;DATE(2026,8,1),DATA_EXPENSES!$A:$A,"&lt;"&amp;DATE(2026,9,1),DATA_EXPENSES!$B:$B,"*lunch*")+SUMIFS(DATA_EXPENSES!$E:$E,DATA_EXPENSES!$A:$A,"&gt;="&amp;DATE(2026,8,1),DATA_EXPENSES!$A:$A,"&lt;"&amp;DATE(2026,9,1),DATA_EXPENSES!$B:$B,"*food*")+SUMIFS(DATA_EXPENSES!$E:$E,DATA_EXPENSES!$A:$A,"&gt;="&amp;DATE(2026,8,1),DATA_EXPENSES!$A:$A,"&lt;"&amp;DATE(2026,9,1),DATA_EXPENSES!$B:$B,"*diner*")+SUMIFS(DATA_EXPENSES!$E:$E,DATA_EXPENSES!$A:$A,"&gt;="&amp;DATE(2026,8,1),DATA_EXPENSES!$A:$A,"&lt;"&amp;DATE(2026,9,1),DATA_EXPENSES!$B:$B,"*meeting*")</f>
        <v>147.67</v>
      </c>
      <c r="E15" s="228" t="n">
        <f aca="false">SUMIFS(DATA_EXPENSES!$E:$E,DATA_EXPENSES!$A:$A,"&gt;="&amp;DATE(2026,9,1),DATA_EXPENSES!$A:$A,"&lt;"&amp;DATE(2026,10,1),DATA_EXPENSES!$B:$B,"*lunch*")+SUMIFS(DATA_EXPENSES!$E:$E,DATA_EXPENSES!$A:$A,"&gt;="&amp;DATE(2026,9,1),DATA_EXPENSES!$A:$A,"&lt;"&amp;DATE(2026,10,1),DATA_EXPENSES!$B:$B,"*food*")+SUMIFS(DATA_EXPENSES!$E:$E,DATA_EXPENSES!$A:$A,"&gt;="&amp;DATE(2026,9,1),DATA_EXPENSES!$A:$A,"&lt;"&amp;DATE(2026,10,1),DATA_EXPENSES!$B:$B,"*diner*")+SUMIFS(DATA_EXPENSES!$E:$E,DATA_EXPENSES!$A:$A,"&gt;="&amp;DATE(2026,9,1),DATA_EXPENSES!$A:$A,"&lt;"&amp;DATE(2026,10,1),DATA_EXPENSES!$B:$B,"*meeting*")</f>
        <v>142</v>
      </c>
      <c r="F15" s="228"/>
      <c r="G15" s="228"/>
      <c r="H15" s="228"/>
      <c r="I15" s="228" t="n">
        <f aca="false">SUM(B15:D15)</f>
        <v>283.67</v>
      </c>
    </row>
    <row r="16" customFormat="false" ht="13.8" hidden="false" customHeight="false" outlineLevel="0" collapsed="false">
      <c r="A16" s="0" t="s">
        <v>2020</v>
      </c>
      <c r="B16" s="228" t="n">
        <f aca="false">SUMIFS(DATA_EXPENSES!$E:$E,DATA_EXPENSES!$A:$A,"&gt;="&amp;DATE(2026,6,1),DATA_EXPENSES!$A:$A,"&lt;"&amp;DATE(2026,7,1),DATA_EXPENSES!$B:$B,"*bank charge*")+SUMIFS(DATA_EXPENSES!$E:$E,DATA_EXPENSES!$A:$A,"&gt;="&amp;DATE(2026,6,1),DATA_EXPENSES!$A:$A,"&lt;"&amp;DATE(2026,7,1),DATA_EXPENSES!$B:$B,"*IMT charge*")</f>
        <v>0</v>
      </c>
      <c r="C16" s="228" t="n">
        <f aca="false">SUMIFS(DATA_EXPENSES!$E:$E,DATA_EXPENSES!$A:$A,"&gt;="&amp;DATE(2026,7,1),DATA_EXPENSES!$A:$A,"&lt;"&amp;DATE(2026,8,1),DATA_EXPENSES!$B:$B,"*bank charge*")+SUMIFS(DATA_EXPENSES!$E:$E,DATA_EXPENSES!$A:$A,"&gt;="&amp;DATE(2026,7,1),DATA_EXPENSES!$A:$A,"&lt;"&amp;DATE(2026,8,1),DATA_EXPENSES!$B:$B,"*IMT charge*")</f>
        <v>21.48</v>
      </c>
      <c r="D16" s="228" t="n">
        <f aca="false">SUMIFS(DATA_EXPENSES!$E:$E,DATA_EXPENSES!$A:$A,"&gt;="&amp;DATE(2026,8,1),DATA_EXPENSES!$A:$A,"&lt;"&amp;DATE(2026,9,1),DATA_EXPENSES!$B:$B,"*bank charge*")+SUMIFS(DATA_EXPENSES!$E:$E,DATA_EXPENSES!$A:$A,"&gt;="&amp;DATE(2026,8,1),DATA_EXPENSES!$A:$A,"&lt;"&amp;DATE(2026,9,1),DATA_EXPENSES!$B:$B,"*IMT charge*")</f>
        <v>70.59</v>
      </c>
      <c r="E16" s="228" t="n">
        <f aca="false">SUMIFS(DATA_EXPENSES!$E:$E,DATA_EXPENSES!$A:$A,"&gt;="&amp;DATE(2026,9,1),DATA_EXPENSES!$A:$A,"&lt;"&amp;DATE(2026,10,1),DATA_EXPENSES!$B:$B,"*bank charge*")+SUMIFS(DATA_EXPENSES!$E:$E,DATA_EXPENSES!$A:$A,"&gt;="&amp;DATE(2026,9,1),DATA_EXPENSES!$A:$A,"&lt;"&amp;DATE(2026,10,1),DATA_EXPENSES!$B:$B,"*IMT charge*")</f>
        <v>49.09</v>
      </c>
      <c r="F16" s="228"/>
      <c r="G16" s="228"/>
      <c r="H16" s="228"/>
      <c r="I16" s="228" t="n">
        <f aca="false">SUM(B16:D16)</f>
        <v>92.07</v>
      </c>
    </row>
    <row r="17" customFormat="false" ht="13.8" hidden="false" customHeight="false" outlineLevel="0" collapsed="false">
      <c r="A17" s="0" t="s">
        <v>2021</v>
      </c>
      <c r="B17" s="228" t="n">
        <f aca="false">SUMIFS(DATA_EXPENSES!$E:$E,DATA_EXPENSES!$A:$A,"&gt;="&amp;DATE(2026,6,1),DATA_EXPENSES!$A:$A,"&lt;"&amp;DATE(2026,7,1),DATA_EXPENSES!$B:$B,"*laptop*")+SUMIFS(DATA_EXPENSES!$E:$E,DATA_EXPENSES!$A:$A,"&gt;="&amp;DATE(2026,6,1),DATA_EXPENSES!$A:$A,"&lt;"&amp;DATE(2026,7,1),DATA_EXPENSES!$B:$B,"*chair*")+SUMIFS(DATA_EXPENSES!$E:$E,DATA_EXPENSES!$A:$A,"&gt;="&amp;DATE(2026,6,1),DATA_EXPENSES!$A:$A,"&lt;"&amp;DATE(2026,7,1),DATA_EXPENSES!$B:$B,"*phone*")</f>
        <v>0</v>
      </c>
      <c r="C17" s="228" t="n">
        <f aca="false">SUMIFS(DATA_EXPENSES!$E:$E,DATA_EXPENSES!$A:$A,"&gt;="&amp;DATE(2026,7,1),DATA_EXPENSES!$A:$A,"&lt;"&amp;DATE(2026,8,1),DATA_EXPENSES!$B:$B,"*laptop*")+SUMIFS(DATA_EXPENSES!$E:$E,DATA_EXPENSES!$A:$A,"&gt;="&amp;DATE(2026,7,1),DATA_EXPENSES!$A:$A,"&lt;"&amp;DATE(2026,8,1),DATA_EXPENSES!$B:$B,"*chair*")+SUMIFS(DATA_EXPENSES!$E:$E,DATA_EXPENSES!$A:$A,"&gt;="&amp;DATE(2026,7,1),DATA_EXPENSES!$A:$A,"&lt;"&amp;DATE(2026,8,1),DATA_EXPENSES!$B:$B,"*phone*")</f>
        <v>0</v>
      </c>
      <c r="D17" s="228" t="n">
        <f aca="false">SUMIFS(DATA_EXPENSES!$E:$E,DATA_EXPENSES!$A:$A,"&gt;="&amp;DATE(2026,8,1),DATA_EXPENSES!$A:$A,"&lt;"&amp;DATE(2026,9,1),DATA_EXPENSES!$B:$B,"*laptop*")+SUMIFS(DATA_EXPENSES!$E:$E,DATA_EXPENSES!$A:$A,"&gt;="&amp;DATE(2026,8,1),DATA_EXPENSES!$A:$A,"&lt;"&amp;DATE(2026,9,1),DATA_EXPENSES!$B:$B,"*chair*")+SUMIFS(DATA_EXPENSES!$E:$E,DATA_EXPENSES!$A:$A,"&gt;="&amp;DATE(2026,8,1),DATA_EXPENSES!$A:$A,"&lt;"&amp;DATE(2026,9,1),DATA_EXPENSES!$B:$B,"*phone*")</f>
        <v>970</v>
      </c>
      <c r="E17" s="228" t="n">
        <f aca="false">SUMIFS(DATA_EXPENSES!$E:$E,DATA_EXPENSES!$A:$A,"&gt;="&amp;DATE(2026,9,1),DATA_EXPENSES!$A:$A,"&lt;"&amp;DATE(2026,10,1),DATA_EXPENSES!$B:$B,"*laptop*")+SUMIFS(DATA_EXPENSES!$E:$E,DATA_EXPENSES!$A:$A,"&gt;="&amp;DATE(2026,9,1),DATA_EXPENSES!$A:$A,"&lt;"&amp;DATE(2026,10,1),DATA_EXPENSES!$B:$B,"*chair*")+SUMIFS(DATA_EXPENSES!$E:$E,DATA_EXPENSES!$A:$A,"&gt;="&amp;DATE(2026,9,1),DATA_EXPENSES!$A:$A,"&lt;"&amp;DATE(2026,10,1),DATA_EXPENSES!$B:$B,"*phone*")</f>
        <v>2</v>
      </c>
      <c r="F17" s="228"/>
      <c r="G17" s="228"/>
      <c r="H17" s="228"/>
      <c r="I17" s="228" t="n">
        <f aca="false">SUM(B17:D17)</f>
        <v>970</v>
      </c>
    </row>
    <row r="18" customFormat="false" ht="13.8" hidden="false" customHeight="false" outlineLevel="0" collapsed="false">
      <c r="A18" s="0" t="s">
        <v>2022</v>
      </c>
      <c r="B18" s="228" t="n">
        <f aca="false">SUMIFS(DATA_EXPENSES!$E:$E,DATA_EXPENSES!$A:$A,"&gt;="&amp;DATE(2026,6,1),DATA_EXPENSES!$A:$A,"&lt;"&amp;DATE(2026,7,1))-SUM(B12:B17)</f>
        <v>0</v>
      </c>
      <c r="C18" s="228" t="n">
        <f aca="false">SUMIFS(DATA_EXPENSES!$E:$E,DATA_EXPENSES!$A:$A,"&gt;="&amp;DATE(2026,7,1),DATA_EXPENSES!$A:$A,"&lt;"&amp;DATE(2026,8,1))-SUM(C12:C17)</f>
        <v>265.5</v>
      </c>
      <c r="D18" s="228" t="n">
        <f aca="false">SUMIFS(DATA_EXPENSES!$E:$E,DATA_EXPENSES!$A:$A,"&gt;="&amp;DATE(2026,8,1),DATA_EXPENSES!$A:$A,"&lt;"&amp;DATE(2026,9,1))-SUM(D12:D17)</f>
        <v>-163.95</v>
      </c>
      <c r="E18" s="228" t="n">
        <f aca="false">SUMIFS(DATA_EXPENSES!$E:$E,DATA_EXPENSES!$A:$A,"&gt;="&amp;DATE(2026,9,1),DATA_EXPENSES!$A:$A,"&lt;"&amp;DATE(2026,10,1))-SUM(E12:E17)</f>
        <v>-247</v>
      </c>
      <c r="F18" s="228"/>
      <c r="G18" s="228"/>
      <c r="H18" s="228"/>
      <c r="I18" s="228" t="n">
        <f aca="false">SUM(B18:D18)</f>
        <v>101.55</v>
      </c>
    </row>
    <row r="19" customFormat="false" ht="13.8" hidden="false" customHeight="false" outlineLevel="0" collapsed="false">
      <c r="A19" s="229" t="s">
        <v>2023</v>
      </c>
      <c r="B19" s="230" t="n">
        <f aca="false">SUM(B12:B18)</f>
        <v>1300</v>
      </c>
      <c r="C19" s="230" t="n">
        <f aca="false">SUM(C12:C18)</f>
        <v>1832.98</v>
      </c>
      <c r="D19" s="230" t="n">
        <f aca="false">SUM(D12:D18)</f>
        <v>2491.31</v>
      </c>
      <c r="E19" s="230" t="n">
        <f aca="false">SUM(E12:E18)</f>
        <v>466.09</v>
      </c>
      <c r="F19" s="230"/>
      <c r="G19" s="230"/>
      <c r="H19" s="230"/>
      <c r="I19" s="230" t="n">
        <f aca="false">SUM(B19:D19)</f>
        <v>5624.29</v>
      </c>
    </row>
    <row r="20" customFormat="false" ht="13.8" hidden="false" customHeight="false" outlineLevel="0" collapsed="false"/>
    <row r="21" customFormat="false" ht="13.8" hidden="false" customHeight="false" outlineLevel="0" collapsed="false">
      <c r="A21" s="229" t="s">
        <v>2024</v>
      </c>
      <c r="B21" s="230" t="n">
        <f aca="false">B9-B19</f>
        <v>-600</v>
      </c>
      <c r="C21" s="230" t="n">
        <f aca="false">C9-C19</f>
        <v>-232.98</v>
      </c>
      <c r="D21" s="230" t="n">
        <f aca="false">D9-D19</f>
        <v>2358.69</v>
      </c>
      <c r="E21" s="230" t="n">
        <f aca="false">E9-E19</f>
        <v>2258.91</v>
      </c>
      <c r="F21" s="230"/>
      <c r="G21" s="230"/>
      <c r="H21" s="230"/>
      <c r="I21" s="230" t="n">
        <f aca="false">SUM(B21:D21)</f>
        <v>1525.71</v>
      </c>
    </row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>
      <c r="A24" s="161" t="s">
        <v>2025</v>
      </c>
    </row>
    <row r="25" customFormat="false" ht="28.35" hidden="false" customHeight="true" outlineLevel="0" collapsed="false">
      <c r="A25" s="231" t="s">
        <v>2026</v>
      </c>
      <c r="B25" s="231"/>
      <c r="C25" s="231"/>
      <c r="D25" s="231"/>
      <c r="E25" s="231"/>
      <c r="F25" s="231"/>
      <c r="G25" s="231"/>
      <c r="H25" s="231"/>
      <c r="I25" s="231"/>
    </row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>
      <c r="A28" s="0" t="s">
        <v>2027</v>
      </c>
    </row>
    <row r="29" customFormat="false" ht="13.8" hidden="false" customHeight="false" outlineLevel="0" collapsed="false">
      <c r="A29" s="0" t="s">
        <v>2028</v>
      </c>
      <c r="B29" s="0" t="s">
        <v>2029</v>
      </c>
      <c r="C29" s="0" t="s">
        <v>2030</v>
      </c>
      <c r="D29" s="0" t="s">
        <v>2031</v>
      </c>
      <c r="I29" s="0" t="s">
        <v>2032</v>
      </c>
      <c r="J29" s="0" t="s">
        <v>2033</v>
      </c>
      <c r="K29" s="0" t="s">
        <v>2034</v>
      </c>
      <c r="L29" s="0" t="s">
        <v>2035</v>
      </c>
    </row>
    <row r="30" customFormat="false" ht="13.8" hidden="false" customHeight="false" outlineLevel="0" collapsed="false">
      <c r="A30" s="0" t="s">
        <v>2036</v>
      </c>
      <c r="B30" s="58" t="str">
        <f aca="false">'MONTHLY SALARY'!B5</f>
        <v/>
      </c>
      <c r="C30" s="58" t="str">
        <f aca="false">'MONTHLY SALARY'!B6</f>
        <v/>
      </c>
      <c r="D30" s="58" t="str">
        <f aca="false">'MONTHLY SALARY'!B7</f>
        <v/>
      </c>
      <c r="E30" s="58"/>
      <c r="F30" s="58"/>
      <c r="G30" s="58"/>
      <c r="H30" s="58"/>
      <c r="I30" s="58" t="n">
        <f aca="false">'MONTHLY SALARY'!B8</f>
        <v>0</v>
      </c>
      <c r="J30" s="58" t="n">
        <f aca="false">'MONTHLY SALARY'!B9</f>
        <v>0</v>
      </c>
      <c r="K30" s="58" t="n">
        <f aca="false">'MONTHLY SALARY'!B10</f>
        <v>0</v>
      </c>
      <c r="L30" s="58" t="n">
        <f aca="false">'MONTHLY SALARY'!B11</f>
        <v>0</v>
      </c>
    </row>
    <row r="31" customFormat="false" ht="13.8" hidden="false" customHeight="false" outlineLevel="0" collapsed="false">
      <c r="A31" s="0" t="s">
        <v>2037</v>
      </c>
      <c r="B31" s="0" t="s">
        <v>2038</v>
      </c>
    </row>
  </sheetData>
  <mergeCells count="3">
    <mergeCell ref="A1:L1"/>
    <mergeCell ref="A2:L2"/>
    <mergeCell ref="A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13" activePane="bottomLeft" state="frozen"/>
      <selection pane="topLeft" activeCell="A1" activeCellId="0" sqref="A1"/>
      <selection pane="bottomLeft" activeCell="G23" activeCellId="1" sqref="A1:L7 G23"/>
    </sheetView>
  </sheetViews>
  <sheetFormatPr defaultColWidth="8.6796875" defaultRowHeight="12.8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5.82"/>
  </cols>
  <sheetData>
    <row r="1" customFormat="false" ht="21" hidden="false" customHeight="true" outlineLevel="0" collapsed="false">
      <c r="A1" s="222" t="s">
        <v>2039</v>
      </c>
      <c r="B1" s="222"/>
    </row>
    <row r="2" customFormat="false" ht="13.8" hidden="false" customHeight="false" outlineLevel="0" collapsed="false"/>
    <row r="3" customFormat="false" ht="21.75" hidden="false" customHeight="true" outlineLevel="0" collapsed="false">
      <c r="A3" s="7" t="str">
        <f aca="false">HYPERLINK("#'HOME'!A1","HOME")</f>
        <v>HOME</v>
      </c>
      <c r="B3" s="7" t="str">
        <f aca="false">HYPERLINK("#'FINANCE'!A1","FINANCE")</f>
        <v>FINANCE</v>
      </c>
    </row>
    <row r="4" customFormat="false" ht="13.8" hidden="false" customHeight="false" outlineLevel="0" collapsed="false"/>
    <row r="5" customFormat="false" ht="13.8" hidden="false" customHeight="false" outlineLevel="0" collapsed="false">
      <c r="A5" s="232" t="s">
        <v>2011</v>
      </c>
      <c r="B5" s="232" t="s">
        <v>2040</v>
      </c>
    </row>
    <row r="6" customFormat="false" ht="13.8" hidden="false" customHeight="false" outlineLevel="0" collapsed="false">
      <c r="A6" s="233" t="s">
        <v>2041</v>
      </c>
      <c r="B6" s="234"/>
    </row>
    <row r="7" customFormat="false" ht="13.8" hidden="false" customHeight="false" outlineLevel="0" collapsed="false">
      <c r="A7" s="209" t="s">
        <v>2042</v>
      </c>
      <c r="B7" s="228" t="n">
        <f aca="false">DATA_BANK!E10</f>
        <v>4125.12</v>
      </c>
    </row>
    <row r="8" customFormat="false" ht="13.8" hidden="false" customHeight="false" outlineLevel="0" collapsed="false">
      <c r="A8" s="209" t="s">
        <v>2043</v>
      </c>
      <c r="B8" s="228" t="n">
        <f aca="false">SUMIFS(DATA_RECEIPTS!$D:$D,DATA_RECEIPTS!$B:$B,"&lt;"&amp;DATE(2026,10,1))-SUMIFS(DATA_RECEIPTS!$E:$E,DATA_RECEIPTS!$B:$B,"&lt;"&amp;DATE(2026,10,1))</f>
        <v>14125</v>
      </c>
    </row>
    <row r="9" customFormat="false" ht="13.8" hidden="false" customHeight="false" outlineLevel="0" collapsed="false">
      <c r="A9" s="209" t="s">
        <v>2044</v>
      </c>
      <c r="B9" s="228" t="n">
        <f aca="false">SUMIFS(DATA_EXPENSES!$E:$E,DATA_EXPENSES!$A:$A,"&lt;"&amp;DATE(2026,10,1),DATA_EXPENSES!$B:$B,"*laptop*")+SUMIFS(DATA_EXPENSES!$E:$E,DATA_EXPENSES!$A:$A,"&lt;"&amp;DATE(2026,10,1),DATA_EXPENSES!$B:$B,"*chair*")+SUMIFS(DATA_EXPENSES!$E:$E,DATA_EXPENSES!$A:$A,"&lt;"&amp;DATE(2026,10,1),DATA_EXPENSES!$B:$B,"*phone*")</f>
        <v>472</v>
      </c>
    </row>
    <row r="10" customFormat="false" ht="13.8" hidden="false" customHeight="false" outlineLevel="0" collapsed="false">
      <c r="A10" s="229" t="s">
        <v>2045</v>
      </c>
      <c r="B10" s="230" t="n">
        <f aca="false">SUM(B7:B9)</f>
        <v>18722.12</v>
      </c>
    </row>
    <row r="11" customFormat="false" ht="13.8" hidden="false" customHeight="false" outlineLevel="0" collapsed="false">
      <c r="A11" s="209"/>
      <c r="B11" s="228"/>
    </row>
    <row r="12" customFormat="false" ht="13.8" hidden="false" customHeight="false" outlineLevel="0" collapsed="false">
      <c r="A12" s="226" t="s">
        <v>2046</v>
      </c>
      <c r="B12" s="235"/>
    </row>
    <row r="13" customFormat="false" ht="13.8" hidden="false" customHeight="false" outlineLevel="0" collapsed="false">
      <c r="A13" s="209" t="s">
        <v>2047</v>
      </c>
      <c r="B13" s="228" t="n">
        <v>0</v>
      </c>
    </row>
    <row r="14" customFormat="false" ht="13.8" hidden="false" customHeight="false" outlineLevel="0" collapsed="false">
      <c r="A14" s="229" t="s">
        <v>2048</v>
      </c>
      <c r="B14" s="230" t="n">
        <f aca="false">B13</f>
        <v>0</v>
      </c>
    </row>
    <row r="15" customFormat="false" ht="13.8" hidden="false" customHeight="false" outlineLevel="0" collapsed="false">
      <c r="A15" s="209"/>
      <c r="B15" s="228"/>
    </row>
    <row r="16" customFormat="false" ht="13.8" hidden="false" customHeight="false" outlineLevel="0" collapsed="false">
      <c r="A16" s="226" t="s">
        <v>2049</v>
      </c>
      <c r="B16" s="235"/>
    </row>
    <row r="17" customFormat="false" ht="13.8" hidden="false" customHeight="false" outlineLevel="0" collapsed="false">
      <c r="A17" s="209" t="s">
        <v>2050</v>
      </c>
      <c r="B17" s="228" t="n">
        <f aca="false">'PROFIT &amp; LOSS'!I21</f>
        <v>1525.71</v>
      </c>
    </row>
    <row r="18" customFormat="false" ht="13.8" hidden="false" customHeight="false" outlineLevel="0" collapsed="false">
      <c r="A18" s="209" t="s">
        <v>2051</v>
      </c>
      <c r="B18" s="228" t="n">
        <f aca="false">B10-B14-B17</f>
        <v>17196.41</v>
      </c>
    </row>
    <row r="19" customFormat="false" ht="13.8" hidden="false" customHeight="false" outlineLevel="0" collapsed="false">
      <c r="A19" s="229" t="s">
        <v>2052</v>
      </c>
      <c r="B19" s="230" t="n">
        <f aca="false">SUM(B17:B18)</f>
        <v>18722.12</v>
      </c>
    </row>
    <row r="20" customFormat="false" ht="13.8" hidden="false" customHeight="false" outlineLevel="0" collapsed="false">
      <c r="A20" s="209"/>
      <c r="B20" s="228"/>
    </row>
    <row r="21" customFormat="false" ht="13.8" hidden="false" customHeight="false" outlineLevel="0" collapsed="false">
      <c r="A21" s="229" t="s">
        <v>2053</v>
      </c>
      <c r="B21" s="230" t="n">
        <f aca="false">B14+B19</f>
        <v>18722.12</v>
      </c>
    </row>
    <row r="22" customFormat="false" ht="13.8" hidden="false" customHeight="false" outlineLevel="0" collapsed="false">
      <c r="A22" s="229" t="s">
        <v>2054</v>
      </c>
      <c r="B22" s="230" t="n">
        <f aca="false">B10-B21</f>
        <v>0</v>
      </c>
    </row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>
      <c r="A25" s="161" t="s">
        <v>2055</v>
      </c>
    </row>
    <row r="26" customFormat="false" ht="55.2" hidden="false" customHeight="true" outlineLevel="0" collapsed="false">
      <c r="A26" s="231" t="s">
        <v>2056</v>
      </c>
      <c r="B26" s="231"/>
    </row>
  </sheetData>
  <mergeCells count="2">
    <mergeCell ref="A1:B1"/>
    <mergeCell ref="A26:B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82" activePane="bottomLeft" state="frozen"/>
      <selection pane="topLeft" activeCell="A1" activeCellId="0" sqref="A1"/>
      <selection pane="bottomLeft" activeCell="X82" activeCellId="1" sqref="A1:L7 X82"/>
    </sheetView>
  </sheetViews>
  <sheetFormatPr defaultColWidth="8.73046875" defaultRowHeight="15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0" width="3.45"/>
    <col collapsed="false" customWidth="true" hidden="true" outlineLevel="0" max="3" min="3" style="0" width="7.45"/>
    <col collapsed="false" customWidth="true" hidden="false" outlineLevel="0" max="4" min="4" style="0" width="26"/>
    <col collapsed="false" customWidth="true" hidden="false" outlineLevel="0" max="5" min="5" style="0" width="17.82"/>
    <col collapsed="false" customWidth="true" hidden="false" outlineLevel="0" max="6" min="6" style="0" width="19"/>
    <col collapsed="false" customWidth="true" hidden="false" outlineLevel="0" max="7" min="7" style="0" width="1.73"/>
    <col collapsed="false" customWidth="true" hidden="false" outlineLevel="0" max="8" min="8" style="0" width="10.54"/>
    <col collapsed="false" customWidth="true" hidden="false" outlineLevel="0" max="9" min="9" style="0" width="16"/>
    <col collapsed="false" customWidth="true" hidden="false" outlineLevel="0" max="10" min="10" style="0" width="13.54"/>
    <col collapsed="false" customWidth="true" hidden="false" outlineLevel="0" max="11" min="11" style="0" width="14"/>
    <col collapsed="false" customWidth="true" hidden="false" outlineLevel="0" max="12" min="12" style="0" width="14.54"/>
    <col collapsed="false" customWidth="true" hidden="false" outlineLevel="0" max="13" min="13" style="0" width="18.73"/>
    <col collapsed="false" customWidth="true" hidden="false" outlineLevel="0" max="14" min="14" style="0" width="19.18"/>
    <col collapsed="false" customWidth="true" hidden="false" outlineLevel="0" max="15" min="15" style="0" width="20"/>
    <col collapsed="false" customWidth="true" hidden="false" outlineLevel="0" max="16" min="16" style="0" width="27.73"/>
  </cols>
  <sheetData>
    <row r="1" customFormat="false" ht="33.75" hidden="false" customHeight="true" outlineLevel="0" collapsed="false">
      <c r="A1" s="1" t="s">
        <v>2057</v>
      </c>
      <c r="B1" s="1"/>
      <c r="C1" s="1"/>
      <c r="D1" s="1"/>
      <c r="E1" s="1"/>
      <c r="F1" s="1"/>
      <c r="G1" s="1"/>
    </row>
    <row r="2" customFormat="false" ht="14.25" hidden="false" customHeight="true" outlineLevel="0" collapsed="false">
      <c r="A2" s="2" t="s">
        <v>143</v>
      </c>
      <c r="B2" s="2"/>
      <c r="C2" s="2"/>
      <c r="D2" s="2"/>
      <c r="E2" s="2"/>
      <c r="F2" s="2"/>
      <c r="G2" s="2"/>
    </row>
    <row r="3" customFormat="false" ht="14.25" hidden="false" customHeight="true" outlineLevel="0" collapsed="false">
      <c r="A3" s="6" t="str">
        <f aca="false">HYPERLINK("#'HOME'!A1","HOME")</f>
        <v>HOME</v>
      </c>
      <c r="B3" s="6" t="str">
        <f aca="false">HYPERLINK("#'FARMERS'!A1","FARMERS")</f>
        <v>FARMERS</v>
      </c>
      <c r="C3" s="6" t="str">
        <f aca="false">HYPERLINK("#'SUBSCRIPTIONS'!A1","SUBSCRIPTIONS")</f>
        <v>SUBSCRIPTIONS</v>
      </c>
      <c r="D3" s="6" t="str">
        <f aca="false">HYPERLINK("#'PRODUCTION'!A1","PRODUCTION")</f>
        <v>PRODUCTION</v>
      </c>
      <c r="E3" s="6" t="str">
        <f aca="false">HYPERLINK("#'DELIVERIES'!A1","DELIVERIES")</f>
        <v>DELIVERIES</v>
      </c>
      <c r="F3" s="6" t="str">
        <f aca="false">HYPERLINK("#'REPORTS'!A1","REPORTS")</f>
        <v>REPORTS</v>
      </c>
    </row>
    <row r="5" customFormat="false" ht="30.75" hidden="false" customHeight="true" outlineLevel="0" collapsed="false">
      <c r="A5" s="236" t="s">
        <v>144</v>
      </c>
      <c r="B5" s="236" t="s">
        <v>151</v>
      </c>
      <c r="C5" s="236" t="s">
        <v>146</v>
      </c>
      <c r="D5" s="236" t="s">
        <v>145</v>
      </c>
      <c r="E5" s="236" t="s">
        <v>2058</v>
      </c>
      <c r="F5" s="236" t="s">
        <v>1801</v>
      </c>
      <c r="G5" s="236" t="s">
        <v>2059</v>
      </c>
      <c r="H5" s="236" t="s">
        <v>2060</v>
      </c>
      <c r="I5" s="236" t="s">
        <v>2061</v>
      </c>
      <c r="J5" s="236" t="s">
        <v>2062</v>
      </c>
      <c r="K5" s="236" t="s">
        <v>2063</v>
      </c>
      <c r="L5" s="236" t="s">
        <v>2064</v>
      </c>
      <c r="M5" s="236" t="s">
        <v>2065</v>
      </c>
      <c r="N5" s="236" t="s">
        <v>2066</v>
      </c>
      <c r="O5" s="236" t="s">
        <v>2067</v>
      </c>
      <c r="P5" s="102" t="s">
        <v>153</v>
      </c>
    </row>
    <row r="6" customFormat="false" ht="14.25" hidden="false" customHeight="true" outlineLevel="0" collapsed="false">
      <c r="A6" s="237" t="n">
        <v>1</v>
      </c>
      <c r="B6" s="238" t="s">
        <v>174</v>
      </c>
      <c r="C6" s="239" t="s">
        <v>170</v>
      </c>
      <c r="D6" s="238" t="s">
        <v>2068</v>
      </c>
      <c r="E6" s="238" t="s">
        <v>2069</v>
      </c>
      <c r="F6" s="238" t="s">
        <v>1808</v>
      </c>
      <c r="G6" s="238" t="n">
        <v>50</v>
      </c>
      <c r="H6" s="240" t="n">
        <v>9878.15</v>
      </c>
      <c r="I6" s="238" t="s">
        <v>176</v>
      </c>
      <c r="J6" s="240" t="n">
        <v>10273</v>
      </c>
      <c r="K6" s="238" t="s">
        <v>176</v>
      </c>
      <c r="L6" s="240" t="n">
        <v>10273</v>
      </c>
      <c r="M6" s="238" t="n">
        <v>30.22</v>
      </c>
      <c r="N6" s="241" t="n">
        <v>0.82</v>
      </c>
      <c r="O6" s="238" t="n">
        <f aca="false">'INPUT DEBT'!$M6-'INPUT DEBT'!$N6</f>
        <v>29.4</v>
      </c>
      <c r="P6" s="239" t="str">
        <f aca="false">IF(N6=0, "NOT DELIVERED", IF(O6=0, "CLEARED", "PARTIALLY DELIVERED"))</f>
        <v>PARTIALLY DELIVERED</v>
      </c>
    </row>
    <row r="7" customFormat="false" ht="14.25" hidden="false" customHeight="true" outlineLevel="0" collapsed="false">
      <c r="A7" s="242" t="n">
        <v>2</v>
      </c>
      <c r="B7" s="243" t="s">
        <v>174</v>
      </c>
      <c r="C7" s="243" t="s">
        <v>2070</v>
      </c>
      <c r="D7" s="243" t="s">
        <v>2071</v>
      </c>
      <c r="E7" s="243" t="s">
        <v>2072</v>
      </c>
      <c r="F7" s="243" t="s">
        <v>1808</v>
      </c>
      <c r="G7" s="243" t="n">
        <v>20</v>
      </c>
      <c r="H7" s="244" t="n">
        <v>8630</v>
      </c>
      <c r="I7" s="243" t="s">
        <v>176</v>
      </c>
      <c r="J7" s="244" t="n">
        <v>8630</v>
      </c>
      <c r="K7" s="245" t="n">
        <f aca="false">'INPUT DEBT'!$J7+1277.64</f>
        <v>9907.64</v>
      </c>
      <c r="L7" s="244" t="n">
        <v>8630</v>
      </c>
      <c r="M7" s="243" t="n">
        <v>25.38</v>
      </c>
      <c r="N7" s="246" t="n">
        <v>0</v>
      </c>
      <c r="O7" s="238" t="n">
        <f aca="false">'INPUT DEBT'!$M7-'INPUT DEBT'!$N7</f>
        <v>25.38</v>
      </c>
      <c r="P7" s="239" t="str">
        <f aca="false">IF(N7=0, "NOT DELIVERED", IF(O7=0, "CLEARED", "PARTIALLY DELIVERED"))</f>
        <v>NOT DELIVERED</v>
      </c>
    </row>
    <row r="8" customFormat="false" ht="14.25" hidden="false" customHeight="true" outlineLevel="0" collapsed="false">
      <c r="A8" s="237" t="n">
        <v>3</v>
      </c>
      <c r="B8" s="238" t="s">
        <v>174</v>
      </c>
      <c r="C8" s="238" t="s">
        <v>2073</v>
      </c>
      <c r="D8" s="238" t="s">
        <v>2074</v>
      </c>
      <c r="E8" s="238" t="s">
        <v>2075</v>
      </c>
      <c r="F8" s="238" t="s">
        <v>1808</v>
      </c>
      <c r="G8" s="238" t="n">
        <v>35</v>
      </c>
      <c r="H8" s="240" t="n">
        <v>6467</v>
      </c>
      <c r="I8" s="238" t="s">
        <v>176</v>
      </c>
      <c r="J8" s="240" t="n">
        <v>6467</v>
      </c>
      <c r="K8" s="238" t="s">
        <v>25</v>
      </c>
      <c r="L8" s="240" t="n">
        <v>6467</v>
      </c>
      <c r="M8" s="238" t="n">
        <v>19.02</v>
      </c>
      <c r="N8" s="241" t="n">
        <v>3.61</v>
      </c>
      <c r="O8" s="238" t="n">
        <f aca="false">'INPUT DEBT'!$M8-'INPUT DEBT'!$N8</f>
        <v>15.41</v>
      </c>
      <c r="P8" s="239" t="str">
        <f aca="false">IF(N8=0, "NOT DELIVERED", IF(O8=0, "CLEARED", "PARTIALLY DELIVERED"))</f>
        <v>PARTIALLY DELIVERED</v>
      </c>
    </row>
    <row r="9" customFormat="false" ht="14.25" hidden="false" customHeight="true" outlineLevel="0" collapsed="false">
      <c r="A9" s="242" t="n">
        <v>4</v>
      </c>
      <c r="B9" s="243" t="s">
        <v>174</v>
      </c>
      <c r="C9" s="243" t="s">
        <v>2076</v>
      </c>
      <c r="D9" s="243" t="s">
        <v>2077</v>
      </c>
      <c r="E9" s="243" t="s">
        <v>2078</v>
      </c>
      <c r="F9" s="243" t="s">
        <v>1808</v>
      </c>
      <c r="G9" s="243" t="n">
        <v>40</v>
      </c>
      <c r="H9" s="244" t="n">
        <v>7596</v>
      </c>
      <c r="I9" s="243" t="s">
        <v>176</v>
      </c>
      <c r="J9" s="244" t="n">
        <v>7596</v>
      </c>
      <c r="K9" s="243" t="s">
        <v>25</v>
      </c>
      <c r="L9" s="244" t="n">
        <v>7596</v>
      </c>
      <c r="M9" s="243" t="n">
        <v>22.34</v>
      </c>
      <c r="N9" s="246" t="n">
        <v>2.52</v>
      </c>
      <c r="O9" s="238" t="n">
        <f aca="false">'INPUT DEBT'!$M9-'INPUT DEBT'!$N9</f>
        <v>19.82</v>
      </c>
      <c r="P9" s="239" t="str">
        <f aca="false">IF(N9=0, "NOT DELIVERED", IF(O9=0, "CLEARED", "PARTIALLY DELIVERED"))</f>
        <v>PARTIALLY DELIVERED</v>
      </c>
    </row>
    <row r="10" customFormat="false" ht="14.25" hidden="false" customHeight="true" outlineLevel="0" collapsed="false">
      <c r="A10" s="237" t="n">
        <v>5</v>
      </c>
      <c r="B10" s="238" t="s">
        <v>174</v>
      </c>
      <c r="C10" s="238" t="s">
        <v>2079</v>
      </c>
      <c r="D10" s="238" t="s">
        <v>2080</v>
      </c>
      <c r="E10" s="238" t="s">
        <v>2081</v>
      </c>
      <c r="F10" s="238" t="s">
        <v>1808</v>
      </c>
      <c r="G10" s="238" t="n">
        <v>30</v>
      </c>
      <c r="H10" s="240" t="n">
        <v>6008</v>
      </c>
      <c r="I10" s="238" t="s">
        <v>176</v>
      </c>
      <c r="J10" s="240" t="n">
        <v>6008</v>
      </c>
      <c r="K10" s="238" t="s">
        <v>25</v>
      </c>
      <c r="L10" s="240" t="n">
        <v>6008</v>
      </c>
      <c r="M10" s="238" t="n">
        <v>17.67</v>
      </c>
      <c r="N10" s="241" t="n">
        <v>5.38</v>
      </c>
      <c r="O10" s="238" t="n">
        <f aca="false">'INPUT DEBT'!$M10-'INPUT DEBT'!$N10</f>
        <v>12.29</v>
      </c>
      <c r="P10" s="239" t="str">
        <f aca="false">IF(N10=0, "NOT DELIVERED", IF(O10=0, "CLEARED", "PARTIALLY DELIVERED"))</f>
        <v>PARTIALLY DELIVERED</v>
      </c>
    </row>
    <row r="11" customFormat="false" ht="14.25" hidden="false" customHeight="true" outlineLevel="0" collapsed="false">
      <c r="A11" s="242" t="n">
        <v>6</v>
      </c>
      <c r="B11" s="243" t="s">
        <v>174</v>
      </c>
      <c r="C11" s="243" t="s">
        <v>2082</v>
      </c>
      <c r="D11" s="243" t="s">
        <v>2083</v>
      </c>
      <c r="E11" s="243" t="s">
        <v>2084</v>
      </c>
      <c r="F11" s="243" t="s">
        <v>1808</v>
      </c>
      <c r="G11" s="243" t="n">
        <v>20</v>
      </c>
      <c r="H11" s="244" t="n">
        <v>4415</v>
      </c>
      <c r="I11" s="244" t="n">
        <v>1557</v>
      </c>
      <c r="J11" s="244" t="n">
        <v>2858</v>
      </c>
      <c r="K11" s="243" t="s">
        <v>25</v>
      </c>
      <c r="L11" s="244" t="n">
        <v>2858</v>
      </c>
      <c r="M11" s="243" t="n">
        <v>12.99</v>
      </c>
      <c r="N11" s="246" t="n">
        <v>4.27</v>
      </c>
      <c r="O11" s="238" t="n">
        <f aca="false">'INPUT DEBT'!$M11-'INPUT DEBT'!$N11</f>
        <v>8.72</v>
      </c>
      <c r="P11" s="239" t="str">
        <f aca="false">IF(N11=0, "NOT DELIVERED", IF(O11=0, "CLEARED", "PARTIALLY DELIVERED"))</f>
        <v>PARTIALLY DELIVERED</v>
      </c>
    </row>
    <row r="12" customFormat="false" ht="14.25" hidden="false" customHeight="true" outlineLevel="0" collapsed="false">
      <c r="A12" s="237" t="n">
        <v>7</v>
      </c>
      <c r="B12" s="238" t="s">
        <v>193</v>
      </c>
      <c r="C12" s="238" t="s">
        <v>2085</v>
      </c>
      <c r="D12" s="238" t="s">
        <v>2086</v>
      </c>
      <c r="E12" s="238" t="s">
        <v>2087</v>
      </c>
      <c r="F12" s="238" t="s">
        <v>1808</v>
      </c>
      <c r="G12" s="238" t="n">
        <v>20</v>
      </c>
      <c r="H12" s="240" t="n">
        <v>4415</v>
      </c>
      <c r="I12" s="238" t="s">
        <v>176</v>
      </c>
      <c r="J12" s="240" t="n">
        <v>4415</v>
      </c>
      <c r="K12" s="238" t="s">
        <v>25</v>
      </c>
      <c r="L12" s="240" t="n">
        <v>4415</v>
      </c>
      <c r="M12" s="238" t="n">
        <v>12.99</v>
      </c>
      <c r="N12" s="241" t="n">
        <v>2.28</v>
      </c>
      <c r="O12" s="238" t="n">
        <f aca="false">'INPUT DEBT'!$M12-'INPUT DEBT'!$N12</f>
        <v>10.71</v>
      </c>
      <c r="P12" s="239" t="str">
        <f aca="false">IF(N12=0, "NOT DELIVERED", IF(O12=0, "CLEARED", "PARTIALLY DELIVERED"))</f>
        <v>PARTIALLY DELIVERED</v>
      </c>
    </row>
    <row r="13" customFormat="false" ht="14.25" hidden="false" customHeight="true" outlineLevel="0" collapsed="false">
      <c r="A13" s="242" t="n">
        <v>8</v>
      </c>
      <c r="B13" s="243" t="s">
        <v>174</v>
      </c>
      <c r="C13" s="243" t="s">
        <v>2088</v>
      </c>
      <c r="D13" s="243" t="s">
        <v>2089</v>
      </c>
      <c r="E13" s="243" t="s">
        <v>2090</v>
      </c>
      <c r="F13" s="243" t="s">
        <v>1808</v>
      </c>
      <c r="G13" s="243" t="n">
        <v>25</v>
      </c>
      <c r="H13" s="244" t="n">
        <v>5317</v>
      </c>
      <c r="I13" s="243" t="s">
        <v>176</v>
      </c>
      <c r="J13" s="244" t="n">
        <v>5317</v>
      </c>
      <c r="K13" s="243" t="s">
        <v>25</v>
      </c>
      <c r="L13" s="244" t="n">
        <v>5317</v>
      </c>
      <c r="M13" s="243" t="n">
        <v>15.64</v>
      </c>
      <c r="N13" s="246" t="n">
        <v>4.81</v>
      </c>
      <c r="O13" s="238" t="n">
        <f aca="false">'INPUT DEBT'!$M13-'INPUT DEBT'!$N13</f>
        <v>10.83</v>
      </c>
      <c r="P13" s="239" t="str">
        <f aca="false">IF(N13=0, "NOT DELIVERED", IF(O13=0, "CLEARED", "PARTIALLY DELIVERED"))</f>
        <v>PARTIALLY DELIVERED</v>
      </c>
    </row>
    <row r="14" customFormat="false" ht="14.25" hidden="false" customHeight="true" outlineLevel="0" collapsed="false">
      <c r="A14" s="237" t="n">
        <v>9</v>
      </c>
      <c r="B14" s="238" t="s">
        <v>174</v>
      </c>
      <c r="C14" s="238" t="s">
        <v>2091</v>
      </c>
      <c r="D14" s="238" t="s">
        <v>2092</v>
      </c>
      <c r="E14" s="238" t="s">
        <v>2093</v>
      </c>
      <c r="F14" s="238" t="s">
        <v>1808</v>
      </c>
      <c r="G14" s="238" t="n">
        <v>20</v>
      </c>
      <c r="H14" s="240" t="n">
        <v>4415</v>
      </c>
      <c r="I14" s="238" t="s">
        <v>176</v>
      </c>
      <c r="J14" s="240" t="n">
        <v>4415</v>
      </c>
      <c r="K14" s="238" t="s">
        <v>25</v>
      </c>
      <c r="L14" s="240" t="n">
        <v>4415</v>
      </c>
      <c r="M14" s="238" t="n">
        <v>12.99</v>
      </c>
      <c r="N14" s="241" t="n">
        <v>3.07</v>
      </c>
      <c r="O14" s="238" t="n">
        <f aca="false">'INPUT DEBT'!$M14-'INPUT DEBT'!$N14</f>
        <v>9.92</v>
      </c>
      <c r="P14" s="239" t="str">
        <f aca="false">IF(N14=0, "NOT DELIVERED", IF(O14=0, "CLEARED", "PARTIALLY DELIVERED"))</f>
        <v>PARTIALLY DELIVERED</v>
      </c>
    </row>
    <row r="15" customFormat="false" ht="14.25" hidden="false" customHeight="true" outlineLevel="0" collapsed="false">
      <c r="A15" s="242" t="n">
        <v>10</v>
      </c>
      <c r="B15" s="243" t="s">
        <v>174</v>
      </c>
      <c r="C15" s="243" t="s">
        <v>2094</v>
      </c>
      <c r="D15" s="243" t="s">
        <v>2095</v>
      </c>
      <c r="E15" s="243" t="s">
        <v>2096</v>
      </c>
      <c r="F15" s="243" t="s">
        <v>1808</v>
      </c>
      <c r="G15" s="243" t="n">
        <v>80</v>
      </c>
      <c r="H15" s="244" t="n">
        <v>12655</v>
      </c>
      <c r="I15" s="243" t="s">
        <v>176</v>
      </c>
      <c r="J15" s="244" t="n">
        <v>12655</v>
      </c>
      <c r="K15" s="243" t="s">
        <v>25</v>
      </c>
      <c r="L15" s="244" t="n">
        <v>12655</v>
      </c>
      <c r="M15" s="243" t="n">
        <v>37.22</v>
      </c>
      <c r="N15" s="246" t="n">
        <v>0</v>
      </c>
      <c r="O15" s="238" t="n">
        <f aca="false">'INPUT DEBT'!$M15-'INPUT DEBT'!$N15</f>
        <v>37.22</v>
      </c>
      <c r="P15" s="239" t="str">
        <f aca="false">IF(N15=0, "NOT DELIVERED", IF(O15=0, "CLEARED", "PARTIALLY DELIVERED"))</f>
        <v>NOT DELIVERED</v>
      </c>
    </row>
    <row r="16" customFormat="false" ht="14.25" hidden="false" customHeight="true" outlineLevel="0" collapsed="false">
      <c r="A16" s="237" t="n">
        <v>11</v>
      </c>
      <c r="B16" s="238" t="s">
        <v>174</v>
      </c>
      <c r="C16" s="238" t="s">
        <v>2097</v>
      </c>
      <c r="D16" s="238" t="s">
        <v>2098</v>
      </c>
      <c r="E16" s="238" t="s">
        <v>2099</v>
      </c>
      <c r="F16" s="238" t="s">
        <v>1808</v>
      </c>
      <c r="G16" s="238" t="n">
        <v>20</v>
      </c>
      <c r="H16" s="240" t="n">
        <v>8301</v>
      </c>
      <c r="I16" s="240" t="n">
        <v>1773</v>
      </c>
      <c r="J16" s="240" t="n">
        <v>6528</v>
      </c>
      <c r="K16" s="238" t="s">
        <v>25</v>
      </c>
      <c r="L16" s="240" t="n">
        <v>6528</v>
      </c>
      <c r="M16" s="238" t="n">
        <v>24.41</v>
      </c>
      <c r="N16" s="241" t="n">
        <v>4.86</v>
      </c>
      <c r="O16" s="238" t="n">
        <f aca="false">'INPUT DEBT'!$M16-'INPUT DEBT'!$N16</f>
        <v>19.55</v>
      </c>
      <c r="P16" s="239" t="str">
        <f aca="false">IF(N16=0, "NOT DELIVERED", IF(O16=0, "CLEARED", "PARTIALLY DELIVERED"))</f>
        <v>PARTIALLY DELIVERED</v>
      </c>
    </row>
    <row r="17" customFormat="false" ht="14.25" hidden="false" customHeight="true" outlineLevel="0" collapsed="false">
      <c r="A17" s="242" t="n">
        <v>12</v>
      </c>
      <c r="B17" s="243" t="s">
        <v>174</v>
      </c>
      <c r="C17" s="243" t="s">
        <v>2100</v>
      </c>
      <c r="D17" s="243" t="s">
        <v>2101</v>
      </c>
      <c r="E17" s="243" t="s">
        <v>2102</v>
      </c>
      <c r="F17" s="243" t="s">
        <v>1808</v>
      </c>
      <c r="G17" s="243" t="n">
        <v>100</v>
      </c>
      <c r="H17" s="244" t="n">
        <v>27965</v>
      </c>
      <c r="I17" s="244" t="n">
        <v>2860</v>
      </c>
      <c r="J17" s="244" t="n">
        <v>25105</v>
      </c>
      <c r="K17" s="243" t="s">
        <v>25</v>
      </c>
      <c r="L17" s="244" t="n">
        <v>25105</v>
      </c>
      <c r="M17" s="243" t="n">
        <v>82.25</v>
      </c>
      <c r="N17" s="246" t="n">
        <v>7.84</v>
      </c>
      <c r="O17" s="238" t="n">
        <f aca="false">'INPUT DEBT'!$M17-'INPUT DEBT'!$N17</f>
        <v>74.41</v>
      </c>
      <c r="P17" s="239" t="str">
        <f aca="false">IF(N17=0, "NOT DELIVERED", IF(O17=0, "CLEARED", "PARTIALLY DELIVERED"))</f>
        <v>PARTIALLY DELIVERED</v>
      </c>
    </row>
    <row r="18" customFormat="false" ht="14.25" hidden="false" customHeight="true" outlineLevel="0" collapsed="false">
      <c r="A18" s="237" t="n">
        <v>13</v>
      </c>
      <c r="B18" s="238" t="s">
        <v>174</v>
      </c>
      <c r="C18" s="238" t="s">
        <v>2103</v>
      </c>
      <c r="D18" s="238" t="s">
        <v>2104</v>
      </c>
      <c r="E18" s="238" t="s">
        <v>2105</v>
      </c>
      <c r="F18" s="238" t="s">
        <v>1808</v>
      </c>
      <c r="G18" s="238" t="n">
        <v>180</v>
      </c>
      <c r="H18" s="240" t="n">
        <v>27779</v>
      </c>
      <c r="I18" s="238" t="s">
        <v>176</v>
      </c>
      <c r="J18" s="240" t="n">
        <v>27779</v>
      </c>
      <c r="K18" s="238" t="s">
        <v>25</v>
      </c>
      <c r="L18" s="240" t="n">
        <v>27779</v>
      </c>
      <c r="M18" s="238" t="n">
        <v>81.7</v>
      </c>
      <c r="N18" s="241" t="n">
        <v>0</v>
      </c>
      <c r="O18" s="238" t="n">
        <f aca="false">'INPUT DEBT'!$M18-'INPUT DEBT'!$N18</f>
        <v>81.7</v>
      </c>
      <c r="P18" s="239" t="str">
        <f aca="false">IF(N18=0, "NOT DELIVERED", IF(O18=0, "CLEARED", "PARTIALLY DELIVERED"))</f>
        <v>NOT DELIVERED</v>
      </c>
    </row>
    <row r="19" customFormat="false" ht="14.25" hidden="false" customHeight="true" outlineLevel="0" collapsed="false">
      <c r="A19" s="242" t="n">
        <v>14</v>
      </c>
      <c r="B19" s="243" t="s">
        <v>174</v>
      </c>
      <c r="C19" s="243" t="s">
        <v>2106</v>
      </c>
      <c r="D19" s="243" t="s">
        <v>2107</v>
      </c>
      <c r="E19" s="243" t="s">
        <v>2108</v>
      </c>
      <c r="F19" s="243" t="s">
        <v>1808</v>
      </c>
      <c r="G19" s="243" t="n">
        <v>15</v>
      </c>
      <c r="H19" s="244" t="n">
        <v>2808</v>
      </c>
      <c r="I19" s="243" t="s">
        <v>176</v>
      </c>
      <c r="J19" s="244" t="n">
        <v>2808</v>
      </c>
      <c r="K19" s="243" t="s">
        <v>25</v>
      </c>
      <c r="L19" s="244" t="n">
        <v>2808</v>
      </c>
      <c r="M19" s="243" t="n">
        <v>8.26</v>
      </c>
      <c r="N19" s="246" t="n">
        <v>0</v>
      </c>
      <c r="O19" s="238" t="n">
        <f aca="false">'INPUT DEBT'!$M19-'INPUT DEBT'!$N19</f>
        <v>8.26</v>
      </c>
      <c r="P19" s="239" t="str">
        <f aca="false">IF(N19=0, "NOT DELIVERED", IF(O19=0, "CLEARED", "PARTIALLY DELIVERED"))</f>
        <v>NOT DELIVERED</v>
      </c>
    </row>
    <row r="20" customFormat="false" ht="14.25" hidden="false" customHeight="true" outlineLevel="0" collapsed="false">
      <c r="A20" s="237" t="n">
        <v>15</v>
      </c>
      <c r="B20" s="238" t="s">
        <v>174</v>
      </c>
      <c r="C20" s="238" t="s">
        <v>2070</v>
      </c>
      <c r="D20" s="238" t="s">
        <v>2109</v>
      </c>
      <c r="E20" s="238" t="s">
        <v>2110</v>
      </c>
      <c r="F20" s="238" t="s">
        <v>1808</v>
      </c>
      <c r="G20" s="238" t="n">
        <v>12</v>
      </c>
      <c r="H20" s="240" t="n">
        <v>4565</v>
      </c>
      <c r="I20" s="238" t="s">
        <v>176</v>
      </c>
      <c r="J20" s="240" t="n">
        <v>4565</v>
      </c>
      <c r="K20" s="238" t="s">
        <v>25</v>
      </c>
      <c r="L20" s="240" t="n">
        <v>4565</v>
      </c>
      <c r="M20" s="238" t="n">
        <v>13.43</v>
      </c>
      <c r="N20" s="241" t="n">
        <v>0</v>
      </c>
      <c r="O20" s="238" t="n">
        <f aca="false">'INPUT DEBT'!$M20-'INPUT DEBT'!$N20</f>
        <v>13.43</v>
      </c>
      <c r="P20" s="239" t="str">
        <f aca="false">IF(N20=0, "NOT DELIVERED", IF(O20=0, "CLEARED", "PARTIALLY DELIVERED"))</f>
        <v>NOT DELIVERED</v>
      </c>
    </row>
    <row r="21" customFormat="false" ht="14.25" hidden="false" customHeight="true" outlineLevel="0" collapsed="false">
      <c r="A21" s="242" t="n">
        <v>16</v>
      </c>
      <c r="B21" s="243" t="s">
        <v>174</v>
      </c>
      <c r="C21" s="243" t="s">
        <v>2111</v>
      </c>
      <c r="D21" s="243" t="s">
        <v>2112</v>
      </c>
      <c r="E21" s="243" t="s">
        <v>2113</v>
      </c>
      <c r="F21" s="243" t="s">
        <v>1808</v>
      </c>
      <c r="G21" s="243" t="n">
        <v>10</v>
      </c>
      <c r="H21" s="244" t="n">
        <v>4433</v>
      </c>
      <c r="I21" s="243" t="s">
        <v>176</v>
      </c>
      <c r="J21" s="244" t="n">
        <v>4433</v>
      </c>
      <c r="K21" s="243" t="s">
        <v>25</v>
      </c>
      <c r="L21" s="244" t="n">
        <v>4433</v>
      </c>
      <c r="M21" s="243" t="n">
        <v>13.04</v>
      </c>
      <c r="N21" s="246" t="n">
        <v>0</v>
      </c>
      <c r="O21" s="238" t="n">
        <f aca="false">'INPUT DEBT'!$M21-'INPUT DEBT'!$N21</f>
        <v>13.04</v>
      </c>
      <c r="P21" s="239" t="str">
        <f aca="false">IF(N21=0, "NOT DELIVERED", IF(O21=0, "CLEARED", "PARTIALLY DELIVERED"))</f>
        <v>NOT DELIVERED</v>
      </c>
    </row>
    <row r="22" customFormat="false" ht="14.25" hidden="false" customHeight="true" outlineLevel="0" collapsed="false">
      <c r="A22" s="237" t="n">
        <v>17</v>
      </c>
      <c r="B22" s="238" t="s">
        <v>174</v>
      </c>
      <c r="C22" s="238" t="s">
        <v>2114</v>
      </c>
      <c r="D22" s="238" t="s">
        <v>1633</v>
      </c>
      <c r="E22" s="238" t="s">
        <v>2115</v>
      </c>
      <c r="F22" s="238" t="s">
        <v>1808</v>
      </c>
      <c r="G22" s="238" t="n">
        <v>20</v>
      </c>
      <c r="H22" s="238" t="s">
        <v>2116</v>
      </c>
      <c r="I22" s="238" t="s">
        <v>176</v>
      </c>
      <c r="J22" s="238" t="s">
        <v>176</v>
      </c>
      <c r="K22" s="238" t="s">
        <v>25</v>
      </c>
      <c r="L22" s="238" t="s">
        <v>176</v>
      </c>
      <c r="M22" s="238" t="n">
        <v>0</v>
      </c>
      <c r="N22" s="241" t="n">
        <v>0</v>
      </c>
      <c r="O22" s="238" t="n">
        <f aca="false">'INPUT DEBT'!$M22-'INPUT DEBT'!$N22</f>
        <v>0</v>
      </c>
      <c r="P22" s="239" t="s">
        <v>2117</v>
      </c>
    </row>
    <row r="23" customFormat="false" ht="14.25" hidden="false" customHeight="true" outlineLevel="0" collapsed="false">
      <c r="A23" s="242" t="n">
        <v>18</v>
      </c>
      <c r="B23" s="243" t="s">
        <v>174</v>
      </c>
      <c r="C23" s="243" t="s">
        <v>2118</v>
      </c>
      <c r="D23" s="243" t="s">
        <v>2119</v>
      </c>
      <c r="E23" s="243" t="s">
        <v>2120</v>
      </c>
      <c r="F23" s="243" t="s">
        <v>1808</v>
      </c>
      <c r="G23" s="243" t="n">
        <v>20</v>
      </c>
      <c r="H23" s="244" t="n">
        <v>4744</v>
      </c>
      <c r="I23" s="243" t="s">
        <v>176</v>
      </c>
      <c r="J23" s="244" t="n">
        <v>4744</v>
      </c>
      <c r="K23" s="243" t="s">
        <v>25</v>
      </c>
      <c r="L23" s="244" t="n">
        <v>4744</v>
      </c>
      <c r="M23" s="243" t="n">
        <v>13.95</v>
      </c>
      <c r="N23" s="246" t="n">
        <v>4.23</v>
      </c>
      <c r="O23" s="238" t="n">
        <f aca="false">'INPUT DEBT'!$M23-'INPUT DEBT'!$N23</f>
        <v>9.72</v>
      </c>
      <c r="P23" s="239" t="str">
        <f aca="false">IF(N23=0, "NOT DELIVERED", IF(O23=0, "CLEARED", "PARTIALLY DELIVERED"))</f>
        <v>PARTIALLY DELIVERED</v>
      </c>
    </row>
    <row r="24" customFormat="false" ht="14.25" hidden="false" customHeight="true" outlineLevel="0" collapsed="false">
      <c r="A24" s="237" t="n">
        <v>19</v>
      </c>
      <c r="B24" s="238" t="s">
        <v>174</v>
      </c>
      <c r="C24" s="238" t="s">
        <v>2121</v>
      </c>
      <c r="D24" s="238" t="s">
        <v>2122</v>
      </c>
      <c r="E24" s="238" t="s">
        <v>2123</v>
      </c>
      <c r="F24" s="238" t="s">
        <v>1808</v>
      </c>
      <c r="G24" s="238" t="n">
        <v>40</v>
      </c>
      <c r="H24" s="240" t="n">
        <v>11006</v>
      </c>
      <c r="I24" s="238" t="s">
        <v>176</v>
      </c>
      <c r="J24" s="240" t="n">
        <v>11006</v>
      </c>
      <c r="K24" s="238" t="s">
        <v>25</v>
      </c>
      <c r="L24" s="240" t="n">
        <v>11006</v>
      </c>
      <c r="M24" s="238" t="n">
        <v>32.37</v>
      </c>
      <c r="N24" s="241" t="n">
        <v>0</v>
      </c>
      <c r="O24" s="238" t="n">
        <f aca="false">'INPUT DEBT'!$M24-'INPUT DEBT'!$N24</f>
        <v>32.37</v>
      </c>
      <c r="P24" s="239" t="str">
        <f aca="false">IF(N24=0, "NOT DELIVERED", IF(O24=0, "CLEARED", "PARTIALLY DELIVERED"))</f>
        <v>NOT DELIVERED</v>
      </c>
    </row>
    <row r="25" customFormat="false" ht="14.25" hidden="false" customHeight="true" outlineLevel="0" collapsed="false">
      <c r="A25" s="242" t="n">
        <v>20</v>
      </c>
      <c r="B25" s="243" t="s">
        <v>174</v>
      </c>
      <c r="C25" s="243" t="s">
        <v>2114</v>
      </c>
      <c r="D25" s="243" t="s">
        <v>2124</v>
      </c>
      <c r="E25" s="243" t="s">
        <v>2125</v>
      </c>
      <c r="F25" s="243" t="s">
        <v>1808</v>
      </c>
      <c r="G25" s="243" t="n">
        <v>10</v>
      </c>
      <c r="H25" s="243" t="n">
        <v>273</v>
      </c>
      <c r="I25" s="243" t="s">
        <v>176</v>
      </c>
      <c r="J25" s="243" t="n">
        <v>273</v>
      </c>
      <c r="K25" s="243" t="s">
        <v>25</v>
      </c>
      <c r="L25" s="243" t="n">
        <v>273</v>
      </c>
      <c r="M25" s="243" t="n">
        <v>0.8</v>
      </c>
      <c r="N25" s="246" t="n">
        <v>0</v>
      </c>
      <c r="O25" s="238" t="n">
        <f aca="false">'INPUT DEBT'!$M25-'INPUT DEBT'!$N25</f>
        <v>0.8</v>
      </c>
      <c r="P25" s="239" t="s">
        <v>2117</v>
      </c>
    </row>
    <row r="26" customFormat="false" ht="14.25" hidden="false" customHeight="true" outlineLevel="0" collapsed="false">
      <c r="A26" s="237" t="n">
        <v>21</v>
      </c>
      <c r="B26" s="238" t="s">
        <v>174</v>
      </c>
      <c r="C26" s="238" t="s">
        <v>2126</v>
      </c>
      <c r="D26" s="238" t="s">
        <v>1634</v>
      </c>
      <c r="E26" s="238" t="s">
        <v>2127</v>
      </c>
      <c r="F26" s="238" t="s">
        <v>1808</v>
      </c>
      <c r="G26" s="238" t="n">
        <v>13</v>
      </c>
      <c r="H26" s="238" t="s">
        <v>2116</v>
      </c>
      <c r="I26" s="238" t="s">
        <v>176</v>
      </c>
      <c r="J26" s="238" t="s">
        <v>176</v>
      </c>
      <c r="K26" s="238" t="s">
        <v>25</v>
      </c>
      <c r="L26" s="238" t="s">
        <v>176</v>
      </c>
      <c r="M26" s="238" t="n">
        <v>0</v>
      </c>
      <c r="N26" s="241" t="n">
        <v>0</v>
      </c>
      <c r="O26" s="238" t="n">
        <f aca="false">'INPUT DEBT'!$M26-'INPUT DEBT'!$N26</f>
        <v>0</v>
      </c>
      <c r="P26" s="239" t="s">
        <v>2117</v>
      </c>
    </row>
    <row r="27" customFormat="false" ht="14.25" hidden="false" customHeight="true" outlineLevel="0" collapsed="false">
      <c r="A27" s="242" t="n">
        <v>22</v>
      </c>
      <c r="B27" s="243" t="s">
        <v>174</v>
      </c>
      <c r="C27" s="243" t="s">
        <v>2128</v>
      </c>
      <c r="D27" s="243" t="s">
        <v>2129</v>
      </c>
      <c r="E27" s="243" t="s">
        <v>2130</v>
      </c>
      <c r="F27" s="243" t="s">
        <v>1808</v>
      </c>
      <c r="G27" s="243" t="n">
        <v>30</v>
      </c>
      <c r="H27" s="244" t="n">
        <v>7215</v>
      </c>
      <c r="I27" s="243" t="s">
        <v>176</v>
      </c>
      <c r="J27" s="244" t="n">
        <v>7215</v>
      </c>
      <c r="K27" s="243" t="s">
        <v>25</v>
      </c>
      <c r="L27" s="244" t="n">
        <v>7215</v>
      </c>
      <c r="M27" s="243" t="n">
        <v>21.22</v>
      </c>
      <c r="N27" s="246" t="n">
        <v>0</v>
      </c>
      <c r="O27" s="238" t="n">
        <f aca="false">'INPUT DEBT'!$M27-'INPUT DEBT'!$N27</f>
        <v>21.22</v>
      </c>
      <c r="P27" s="239" t="str">
        <f aca="false">IF(N27=0, "NOT DELIVERED", IF(O27=0, "CLEARED", "PARTIALLY DELIVERED"))</f>
        <v>NOT DELIVERED</v>
      </c>
    </row>
    <row r="28" customFormat="false" ht="14.25" hidden="false" customHeight="true" outlineLevel="0" collapsed="false">
      <c r="A28" s="237" t="n">
        <v>23</v>
      </c>
      <c r="B28" s="238" t="s">
        <v>193</v>
      </c>
      <c r="C28" s="238" t="s">
        <v>2131</v>
      </c>
      <c r="D28" s="238" t="s">
        <v>2132</v>
      </c>
      <c r="E28" s="238" t="s">
        <v>2133</v>
      </c>
      <c r="F28" s="238" t="s">
        <v>1808</v>
      </c>
      <c r="G28" s="238" t="n">
        <v>20</v>
      </c>
      <c r="H28" s="240" t="n">
        <v>7265</v>
      </c>
      <c r="I28" s="238" t="s">
        <v>176</v>
      </c>
      <c r="J28" s="240" t="n">
        <v>7265</v>
      </c>
      <c r="K28" s="238" t="s">
        <v>25</v>
      </c>
      <c r="L28" s="240" t="n">
        <v>7265</v>
      </c>
      <c r="M28" s="238" t="n">
        <v>21.37</v>
      </c>
      <c r="N28" s="241" t="n">
        <v>4.21</v>
      </c>
      <c r="O28" s="238" t="n">
        <f aca="false">'INPUT DEBT'!$M28-'INPUT DEBT'!$N28</f>
        <v>17.16</v>
      </c>
      <c r="P28" s="239" t="str">
        <f aca="false">IF(N28=0, "NOT DELIVERED", IF(O28=0, "CLEARED", "PARTIALLY DELIVERED"))</f>
        <v>PARTIALLY DELIVERED</v>
      </c>
    </row>
    <row r="29" customFormat="false" ht="14.25" hidden="false" customHeight="true" outlineLevel="0" collapsed="false">
      <c r="A29" s="242" t="n">
        <v>24</v>
      </c>
      <c r="B29" s="243" t="s">
        <v>193</v>
      </c>
      <c r="C29" s="243" t="s">
        <v>2134</v>
      </c>
      <c r="D29" s="243" t="s">
        <v>2135</v>
      </c>
      <c r="E29" s="243" t="s">
        <v>2136</v>
      </c>
      <c r="F29" s="243" t="s">
        <v>1808</v>
      </c>
      <c r="G29" s="243" t="n">
        <v>20</v>
      </c>
      <c r="H29" s="244" t="n">
        <v>8948</v>
      </c>
      <c r="I29" s="243" t="s">
        <v>176</v>
      </c>
      <c r="J29" s="244" t="n">
        <v>8948</v>
      </c>
      <c r="K29" s="243" t="s">
        <v>25</v>
      </c>
      <c r="L29" s="244" t="n">
        <v>8948</v>
      </c>
      <c r="M29" s="243" t="n">
        <v>26.32</v>
      </c>
      <c r="N29" s="246" t="n">
        <v>0</v>
      </c>
      <c r="O29" s="238" t="n">
        <f aca="false">'INPUT DEBT'!$M29-'INPUT DEBT'!$N29</f>
        <v>26.32</v>
      </c>
      <c r="P29" s="239" t="str">
        <f aca="false">IF(N29=0, "NOT DELIVERED", IF(O29=0, "CLEARED", "PARTIALLY DELIVERED"))</f>
        <v>NOT DELIVERED</v>
      </c>
    </row>
    <row r="30" customFormat="false" ht="14.25" hidden="false" customHeight="true" outlineLevel="0" collapsed="false">
      <c r="A30" s="237" t="n">
        <v>25</v>
      </c>
      <c r="B30" s="238" t="s">
        <v>174</v>
      </c>
      <c r="C30" s="238" t="s">
        <v>2137</v>
      </c>
      <c r="D30" s="238" t="s">
        <v>2138</v>
      </c>
      <c r="E30" s="238" t="s">
        <v>2139</v>
      </c>
      <c r="F30" s="238" t="s">
        <v>1808</v>
      </c>
      <c r="G30" s="238" t="n">
        <v>30</v>
      </c>
      <c r="H30" s="240" t="n">
        <v>15099</v>
      </c>
      <c r="I30" s="238" t="s">
        <v>176</v>
      </c>
      <c r="J30" s="240" t="n">
        <v>15099</v>
      </c>
      <c r="K30" s="238" t="s">
        <v>25</v>
      </c>
      <c r="L30" s="240" t="n">
        <v>15099</v>
      </c>
      <c r="M30" s="238" t="n">
        <v>44.41</v>
      </c>
      <c r="N30" s="241" t="n">
        <v>0</v>
      </c>
      <c r="O30" s="238" t="n">
        <f aca="false">'INPUT DEBT'!$M30-'INPUT DEBT'!$N30</f>
        <v>44.41</v>
      </c>
      <c r="P30" s="239" t="str">
        <f aca="false">IF(N30=0, "NOT DELIVERED", IF(O30=0, "CLEARED", "PARTIALLY DELIVERED"))</f>
        <v>NOT DELIVERED</v>
      </c>
    </row>
    <row r="31" customFormat="false" ht="14.25" hidden="false" customHeight="true" outlineLevel="0" collapsed="false">
      <c r="A31" s="242" t="n">
        <v>26</v>
      </c>
      <c r="B31" s="243" t="s">
        <v>174</v>
      </c>
      <c r="C31" s="243" t="s">
        <v>2140</v>
      </c>
      <c r="D31" s="243" t="s">
        <v>2141</v>
      </c>
      <c r="E31" s="243" t="s">
        <v>2142</v>
      </c>
      <c r="F31" s="243" t="s">
        <v>1808</v>
      </c>
      <c r="G31" s="243" t="n">
        <v>100</v>
      </c>
      <c r="H31" s="244" t="n">
        <v>31207</v>
      </c>
      <c r="I31" s="243" t="s">
        <v>176</v>
      </c>
      <c r="J31" s="244" t="n">
        <v>31207</v>
      </c>
      <c r="K31" s="243" t="s">
        <v>25</v>
      </c>
      <c r="L31" s="244" t="n">
        <v>31207</v>
      </c>
      <c r="M31" s="243" t="n">
        <v>91.79</v>
      </c>
      <c r="N31" s="246" t="n">
        <v>0</v>
      </c>
      <c r="O31" s="238" t="n">
        <f aca="false">'INPUT DEBT'!$M31-'INPUT DEBT'!$N31</f>
        <v>91.79</v>
      </c>
      <c r="P31" s="239" t="str">
        <f aca="false">IF(N31=0, "NOT DELIVERED", IF(O31=0, "CLEARED", "PARTIALLY DELIVERED"))</f>
        <v>NOT DELIVERED</v>
      </c>
    </row>
    <row r="32" customFormat="false" ht="14.25" hidden="false" customHeight="true" outlineLevel="0" collapsed="false">
      <c r="A32" s="237" t="n">
        <v>27</v>
      </c>
      <c r="B32" s="238" t="s">
        <v>174</v>
      </c>
      <c r="C32" s="238" t="s">
        <v>2143</v>
      </c>
      <c r="D32" s="238" t="s">
        <v>2144</v>
      </c>
      <c r="E32" s="238" t="s">
        <v>2145</v>
      </c>
      <c r="F32" s="238" t="s">
        <v>1808</v>
      </c>
      <c r="G32" s="238" t="n">
        <v>20</v>
      </c>
      <c r="H32" s="240" t="n">
        <v>8096</v>
      </c>
      <c r="I32" s="238" t="s">
        <v>176</v>
      </c>
      <c r="J32" s="240" t="n">
        <v>8096</v>
      </c>
      <c r="K32" s="238" t="s">
        <v>25</v>
      </c>
      <c r="L32" s="240" t="n">
        <v>8096</v>
      </c>
      <c r="M32" s="238" t="n">
        <v>23.81</v>
      </c>
      <c r="N32" s="241" t="n">
        <v>0</v>
      </c>
      <c r="O32" s="238" t="n">
        <f aca="false">'INPUT DEBT'!$M32-'INPUT DEBT'!$N32</f>
        <v>23.81</v>
      </c>
      <c r="P32" s="239" t="str">
        <f aca="false">IF(N32=0, "NOT DELIVERED", IF(O32=0, "CLEARED", "PARTIALLY DELIVERED"))</f>
        <v>NOT DELIVERED</v>
      </c>
    </row>
    <row r="33" customFormat="false" ht="14.25" hidden="false" customHeight="true" outlineLevel="0" collapsed="false">
      <c r="A33" s="242" t="n">
        <v>28</v>
      </c>
      <c r="B33" s="243" t="s">
        <v>174</v>
      </c>
      <c r="C33" s="243" t="s">
        <v>2146</v>
      </c>
      <c r="D33" s="243" t="s">
        <v>2147</v>
      </c>
      <c r="E33" s="243" t="s">
        <v>2148</v>
      </c>
      <c r="F33" s="243" t="s">
        <v>1808</v>
      </c>
      <c r="G33" s="243" t="n">
        <v>400</v>
      </c>
      <c r="H33" s="244" t="n">
        <v>76796</v>
      </c>
      <c r="I33" s="244" t="n">
        <v>10359</v>
      </c>
      <c r="J33" s="244" t="n">
        <v>66438</v>
      </c>
      <c r="K33" s="243" t="s">
        <v>25</v>
      </c>
      <c r="L33" s="244" t="n">
        <v>66438</v>
      </c>
      <c r="M33" s="243" t="n">
        <v>225.87</v>
      </c>
      <c r="N33" s="246" t="n">
        <v>28.4</v>
      </c>
      <c r="O33" s="238" t="n">
        <f aca="false">'INPUT DEBT'!$M33-'INPUT DEBT'!$N33</f>
        <v>197.47</v>
      </c>
      <c r="P33" s="239" t="str">
        <f aca="false">IF(N33=0, "NOT DELIVERED", IF(O33=0, "CLEARED", "PARTIALLY DELIVERED"))</f>
        <v>PARTIALLY DELIVERED</v>
      </c>
    </row>
    <row r="34" customFormat="false" ht="14.25" hidden="false" customHeight="true" outlineLevel="0" collapsed="false">
      <c r="A34" s="237" t="n">
        <v>29</v>
      </c>
      <c r="B34" s="238" t="s">
        <v>174</v>
      </c>
      <c r="C34" s="238" t="s">
        <v>2149</v>
      </c>
      <c r="D34" s="238" t="s">
        <v>2150</v>
      </c>
      <c r="E34" s="238" t="s">
        <v>2151</v>
      </c>
      <c r="F34" s="238" t="s">
        <v>1808</v>
      </c>
      <c r="G34" s="238" t="n">
        <v>20</v>
      </c>
      <c r="H34" s="240" t="n">
        <v>7384</v>
      </c>
      <c r="I34" s="238" t="s">
        <v>176</v>
      </c>
      <c r="J34" s="240" t="n">
        <v>7384</v>
      </c>
      <c r="K34" s="238" t="s">
        <v>25</v>
      </c>
      <c r="L34" s="240" t="n">
        <v>7384</v>
      </c>
      <c r="M34" s="238" t="n">
        <v>21.72</v>
      </c>
      <c r="N34" s="241" t="n">
        <v>0</v>
      </c>
      <c r="O34" s="238" t="n">
        <f aca="false">'INPUT DEBT'!$M34-'INPUT DEBT'!$N34</f>
        <v>21.72</v>
      </c>
      <c r="P34" s="239" t="str">
        <f aca="false">IF(N34=0, "NOT DELIVERED", IF(O34=0, "CLEARED", "PARTIALLY DELIVERED"))</f>
        <v>NOT DELIVERED</v>
      </c>
    </row>
    <row r="35" customFormat="false" ht="14.25" hidden="false" customHeight="true" outlineLevel="0" collapsed="false">
      <c r="A35" s="242" t="n">
        <v>30</v>
      </c>
      <c r="B35" s="243" t="s">
        <v>174</v>
      </c>
      <c r="C35" s="243" t="s">
        <v>2152</v>
      </c>
      <c r="D35" s="243" t="s">
        <v>2153</v>
      </c>
      <c r="E35" s="243" t="s">
        <v>2154</v>
      </c>
      <c r="F35" s="243" t="s">
        <v>1808</v>
      </c>
      <c r="G35" s="243" t="n">
        <v>20</v>
      </c>
      <c r="H35" s="244" t="n">
        <v>4850</v>
      </c>
      <c r="I35" s="243" t="s">
        <v>176</v>
      </c>
      <c r="J35" s="244" t="n">
        <v>4850</v>
      </c>
      <c r="K35" s="243" t="s">
        <v>25</v>
      </c>
      <c r="L35" s="244" t="n">
        <v>4850</v>
      </c>
      <c r="M35" s="243" t="n">
        <v>14.27</v>
      </c>
      <c r="N35" s="246" t="n">
        <v>0</v>
      </c>
      <c r="O35" s="238" t="n">
        <f aca="false">'INPUT DEBT'!$M35-'INPUT DEBT'!$N35</f>
        <v>14.27</v>
      </c>
      <c r="P35" s="239" t="str">
        <f aca="false">IF(N35=0, "NOT DELIVERED", IF(O35=0, "CLEARED", "PARTIALLY DELIVERED"))</f>
        <v>NOT DELIVERED</v>
      </c>
    </row>
    <row r="36" customFormat="false" ht="14.25" hidden="false" customHeight="true" outlineLevel="0" collapsed="false">
      <c r="A36" s="237" t="n">
        <v>31</v>
      </c>
      <c r="B36" s="238" t="s">
        <v>174</v>
      </c>
      <c r="C36" s="238" t="s">
        <v>2155</v>
      </c>
      <c r="D36" s="238" t="s">
        <v>2156</v>
      </c>
      <c r="E36" s="238" t="s">
        <v>2157</v>
      </c>
      <c r="F36" s="238" t="s">
        <v>1808</v>
      </c>
      <c r="G36" s="238" t="n">
        <v>10</v>
      </c>
      <c r="H36" s="240" t="n">
        <v>2807</v>
      </c>
      <c r="I36" s="238" t="s">
        <v>176</v>
      </c>
      <c r="J36" s="240" t="n">
        <v>2807</v>
      </c>
      <c r="K36" s="247" t="n">
        <f aca="false">'INPUT DEBT'!$J36-911.3</f>
        <v>1895.7</v>
      </c>
      <c r="L36" s="240" t="n">
        <v>2807</v>
      </c>
      <c r="M36" s="238" t="n">
        <v>8.26</v>
      </c>
      <c r="N36" s="241" t="n">
        <v>0</v>
      </c>
      <c r="O36" s="238" t="n">
        <f aca="false">'INPUT DEBT'!$M36-'INPUT DEBT'!$N36</f>
        <v>8.26</v>
      </c>
      <c r="P36" s="239" t="str">
        <f aca="false">IF(N36=0, "NOT DELIVERED", IF(O36=0, "CLEARED", "PARTIALLY DELIVERED"))</f>
        <v>NOT DELIVERED</v>
      </c>
    </row>
    <row r="37" customFormat="false" ht="14.25" hidden="false" customHeight="true" outlineLevel="0" collapsed="false">
      <c r="A37" s="242" t="n">
        <v>32</v>
      </c>
      <c r="B37" s="243" t="s">
        <v>174</v>
      </c>
      <c r="C37" s="243" t="s">
        <v>2158</v>
      </c>
      <c r="D37" s="243" t="s">
        <v>2159</v>
      </c>
      <c r="E37" s="243" t="s">
        <v>2160</v>
      </c>
      <c r="F37" s="243" t="s">
        <v>1808</v>
      </c>
      <c r="G37" s="243" t="n">
        <v>10</v>
      </c>
      <c r="H37" s="244" t="n">
        <v>2382</v>
      </c>
      <c r="I37" s="243" t="s">
        <v>176</v>
      </c>
      <c r="J37" s="244" t="n">
        <v>2382</v>
      </c>
      <c r="K37" s="243" t="s">
        <v>25</v>
      </c>
      <c r="L37" s="244" t="n">
        <v>2382</v>
      </c>
      <c r="M37" s="243" t="n">
        <v>7</v>
      </c>
      <c r="N37" s="246" t="n">
        <v>0</v>
      </c>
      <c r="O37" s="238" t="n">
        <f aca="false">'INPUT DEBT'!$M37-'INPUT DEBT'!$N37</f>
        <v>7</v>
      </c>
      <c r="P37" s="239" t="str">
        <f aca="false">IF(N37=0, "NOT DELIVERED", IF(O37=0, "CLEARED", "PARTIALLY DELIVERED"))</f>
        <v>NOT DELIVERED</v>
      </c>
    </row>
    <row r="38" customFormat="false" ht="14.25" hidden="false" customHeight="true" outlineLevel="0" collapsed="false">
      <c r="A38" s="237" t="n">
        <v>33</v>
      </c>
      <c r="B38" s="238" t="s">
        <v>174</v>
      </c>
      <c r="C38" s="238" t="s">
        <v>2161</v>
      </c>
      <c r="D38" s="238" t="s">
        <v>2162</v>
      </c>
      <c r="E38" s="238" t="s">
        <v>2163</v>
      </c>
      <c r="F38" s="238" t="s">
        <v>1808</v>
      </c>
      <c r="G38" s="238" t="n">
        <v>10</v>
      </c>
      <c r="H38" s="240" t="n">
        <v>3462</v>
      </c>
      <c r="I38" s="238" t="s">
        <v>176</v>
      </c>
      <c r="J38" s="240" t="n">
        <v>3462</v>
      </c>
      <c r="K38" s="238" t="s">
        <v>25</v>
      </c>
      <c r="L38" s="240" t="n">
        <v>3462</v>
      </c>
      <c r="M38" s="238" t="n">
        <v>10.18</v>
      </c>
      <c r="N38" s="241" t="n">
        <v>0</v>
      </c>
      <c r="O38" s="238" t="n">
        <f aca="false">'INPUT DEBT'!$M38-'INPUT DEBT'!$N38</f>
        <v>10.18</v>
      </c>
      <c r="P38" s="239" t="str">
        <f aca="false">IF(N38=0, "NOT DELIVERED", IF(O38=0, "CLEARED", "PARTIALLY DELIVERED"))</f>
        <v>NOT DELIVERED</v>
      </c>
    </row>
    <row r="39" customFormat="false" ht="14.25" hidden="false" customHeight="true" outlineLevel="0" collapsed="false">
      <c r="A39" s="242" t="n">
        <v>34</v>
      </c>
      <c r="B39" s="243" t="s">
        <v>174</v>
      </c>
      <c r="C39" s="243" t="s">
        <v>2164</v>
      </c>
      <c r="D39" s="243" t="s">
        <v>2165</v>
      </c>
      <c r="E39" s="243" t="s">
        <v>2166</v>
      </c>
      <c r="F39" s="243" t="s">
        <v>1808</v>
      </c>
      <c r="G39" s="243" t="n">
        <v>30</v>
      </c>
      <c r="H39" s="244" t="n">
        <v>7612</v>
      </c>
      <c r="I39" s="243" t="s">
        <v>176</v>
      </c>
      <c r="J39" s="244" t="n">
        <v>7612</v>
      </c>
      <c r="K39" s="248" t="n">
        <f aca="false">'INPUT DEBT'!$J39-1822.6</f>
        <v>5789.4</v>
      </c>
      <c r="L39" s="244" t="n">
        <v>7612</v>
      </c>
      <c r="M39" s="243" t="n">
        <v>22.39</v>
      </c>
      <c r="N39" s="246" t="n">
        <v>0</v>
      </c>
      <c r="O39" s="238" t="n">
        <f aca="false">'INPUT DEBT'!$M39-'INPUT DEBT'!$N39</f>
        <v>22.39</v>
      </c>
      <c r="P39" s="239" t="str">
        <f aca="false">IF(N39=0, "NOT DELIVERED", IF(O39=0, "CLEARED", "PARTIALLY DELIVERED"))</f>
        <v>NOT DELIVERED</v>
      </c>
    </row>
    <row r="40" customFormat="false" ht="14.25" hidden="false" customHeight="true" outlineLevel="0" collapsed="false">
      <c r="A40" s="237" t="n">
        <v>35</v>
      </c>
      <c r="B40" s="238" t="s">
        <v>174</v>
      </c>
      <c r="C40" s="238" t="s">
        <v>2167</v>
      </c>
      <c r="D40" s="238" t="s">
        <v>2168</v>
      </c>
      <c r="E40" s="238" t="s">
        <v>2169</v>
      </c>
      <c r="F40" s="238" t="s">
        <v>1808</v>
      </c>
      <c r="G40" s="238" t="n">
        <v>20</v>
      </c>
      <c r="H40" s="240" t="n">
        <v>5199</v>
      </c>
      <c r="I40" s="238" t="s">
        <v>176</v>
      </c>
      <c r="J40" s="240" t="n">
        <v>5199</v>
      </c>
      <c r="K40" s="247" t="n">
        <f aca="false">'INPUT DEBT'!$J40-911.3</f>
        <v>4287.7</v>
      </c>
      <c r="L40" s="240" t="n">
        <v>5199</v>
      </c>
      <c r="M40" s="238" t="n">
        <v>15.29</v>
      </c>
      <c r="N40" s="241" t="n">
        <v>3.66</v>
      </c>
      <c r="O40" s="238" t="n">
        <f aca="false">'INPUT DEBT'!$M40-'INPUT DEBT'!$N40</f>
        <v>11.63</v>
      </c>
      <c r="P40" s="239" t="str">
        <f aca="false">IF(N40=0, "NOT DELIVERED", IF(O40=0, "CLEARED", "PARTIALLY DELIVERED"))</f>
        <v>PARTIALLY DELIVERED</v>
      </c>
    </row>
    <row r="41" customFormat="false" ht="14.25" hidden="false" customHeight="true" outlineLevel="0" collapsed="false">
      <c r="A41" s="242" t="n">
        <v>36</v>
      </c>
      <c r="B41" s="243" t="s">
        <v>174</v>
      </c>
      <c r="C41" s="243" t="s">
        <v>2170</v>
      </c>
      <c r="D41" s="243" t="s">
        <v>2171</v>
      </c>
      <c r="E41" s="243" t="s">
        <v>2172</v>
      </c>
      <c r="F41" s="243" t="s">
        <v>1808</v>
      </c>
      <c r="G41" s="243" t="n">
        <v>122</v>
      </c>
      <c r="H41" s="244" t="n">
        <v>30217</v>
      </c>
      <c r="I41" s="244" t="n">
        <v>2378</v>
      </c>
      <c r="J41" s="244" t="n">
        <v>27839</v>
      </c>
      <c r="K41" s="243" t="s">
        <v>25</v>
      </c>
      <c r="L41" s="244" t="n">
        <v>27839</v>
      </c>
      <c r="M41" s="243" t="n">
        <v>88.87</v>
      </c>
      <c r="N41" s="246" t="n">
        <v>7.35</v>
      </c>
      <c r="O41" s="238" t="n">
        <f aca="false">'INPUT DEBT'!$M41-'INPUT DEBT'!$N41</f>
        <v>81.52</v>
      </c>
      <c r="P41" s="239" t="str">
        <f aca="false">IF(N41=0, "NOT DELIVERED", IF(O41=0, "CLEARED", "PARTIALLY DELIVERED"))</f>
        <v>PARTIALLY DELIVERED</v>
      </c>
    </row>
    <row r="42" customFormat="false" ht="14.25" hidden="false" customHeight="true" outlineLevel="0" collapsed="false">
      <c r="A42" s="237" t="n">
        <v>37</v>
      </c>
      <c r="B42" s="238" t="s">
        <v>174</v>
      </c>
      <c r="C42" s="238" t="s">
        <v>2173</v>
      </c>
      <c r="D42" s="238" t="s">
        <v>2174</v>
      </c>
      <c r="E42" s="238" t="s">
        <v>2175</v>
      </c>
      <c r="F42" s="238" t="s">
        <v>1808</v>
      </c>
      <c r="G42" s="238" t="n">
        <v>15</v>
      </c>
      <c r="H42" s="240" t="n">
        <v>4812</v>
      </c>
      <c r="I42" s="238" t="s">
        <v>176</v>
      </c>
      <c r="J42" s="240" t="n">
        <v>4812</v>
      </c>
      <c r="K42" s="238" t="s">
        <v>25</v>
      </c>
      <c r="L42" s="240" t="n">
        <v>4812</v>
      </c>
      <c r="M42" s="238" t="n">
        <v>14.15</v>
      </c>
      <c r="N42" s="241" t="n">
        <v>0</v>
      </c>
      <c r="O42" s="238" t="n">
        <f aca="false">'INPUT DEBT'!$M42-'INPUT DEBT'!$N42</f>
        <v>14.15</v>
      </c>
      <c r="P42" s="239" t="str">
        <f aca="false">IF(N42=0, "NOT DELIVERED", IF(O42=0, "CLEARED", "PARTIALLY DELIVERED"))</f>
        <v>NOT DELIVERED</v>
      </c>
    </row>
    <row r="43" customFormat="false" ht="14.25" hidden="false" customHeight="true" outlineLevel="0" collapsed="false">
      <c r="A43" s="242" t="n">
        <v>38</v>
      </c>
      <c r="B43" s="243" t="s">
        <v>174</v>
      </c>
      <c r="C43" s="243" t="s">
        <v>2176</v>
      </c>
      <c r="D43" s="243" t="s">
        <v>2177</v>
      </c>
      <c r="E43" s="243" t="s">
        <v>2178</v>
      </c>
      <c r="F43" s="243" t="s">
        <v>1808</v>
      </c>
      <c r="G43" s="243" t="n">
        <v>15</v>
      </c>
      <c r="H43" s="244" t="n">
        <v>4797</v>
      </c>
      <c r="I43" s="243" t="s">
        <v>176</v>
      </c>
      <c r="J43" s="244" t="n">
        <v>4797</v>
      </c>
      <c r="K43" s="243" t="s">
        <v>25</v>
      </c>
      <c r="L43" s="244" t="n">
        <v>4797</v>
      </c>
      <c r="M43" s="243" t="n">
        <v>14.11</v>
      </c>
      <c r="N43" s="246" t="n">
        <v>0.34</v>
      </c>
      <c r="O43" s="238" t="n">
        <f aca="false">'INPUT DEBT'!$M43-'INPUT DEBT'!$N43</f>
        <v>13.77</v>
      </c>
      <c r="P43" s="239" t="str">
        <f aca="false">IF(N43=0, "NOT DELIVERED", IF(O43=0, "CLEARED", "PARTIALLY DELIVERED"))</f>
        <v>PARTIALLY DELIVERED</v>
      </c>
    </row>
    <row r="44" customFormat="false" ht="14.25" hidden="false" customHeight="true" outlineLevel="0" collapsed="false">
      <c r="A44" s="237" t="n">
        <v>39</v>
      </c>
      <c r="B44" s="238" t="s">
        <v>174</v>
      </c>
      <c r="C44" s="238" t="s">
        <v>2179</v>
      </c>
      <c r="D44" s="238" t="s">
        <v>2180</v>
      </c>
      <c r="E44" s="238" t="s">
        <v>2181</v>
      </c>
      <c r="F44" s="238" t="s">
        <v>1808</v>
      </c>
      <c r="G44" s="238" t="n">
        <v>20</v>
      </c>
      <c r="H44" s="240" t="n">
        <v>12436</v>
      </c>
      <c r="I44" s="238" t="s">
        <v>176</v>
      </c>
      <c r="J44" s="240" t="n">
        <v>12436</v>
      </c>
      <c r="K44" s="238" t="s">
        <v>25</v>
      </c>
      <c r="L44" s="240" t="n">
        <v>12436</v>
      </c>
      <c r="M44" s="238" t="n">
        <v>36.58</v>
      </c>
      <c r="N44" s="241" t="n">
        <v>3.32</v>
      </c>
      <c r="O44" s="238" t="n">
        <f aca="false">'INPUT DEBT'!$M44-'INPUT DEBT'!$N44</f>
        <v>33.26</v>
      </c>
      <c r="P44" s="239" t="str">
        <f aca="false">IF(N44=0, "NOT DELIVERED", IF(O44=0, "CLEARED", "PARTIALLY DELIVERED"))</f>
        <v>PARTIALLY DELIVERED</v>
      </c>
    </row>
    <row r="45" customFormat="false" ht="14.25" hidden="false" customHeight="true" outlineLevel="0" collapsed="false">
      <c r="A45" s="242" t="n">
        <v>40</v>
      </c>
      <c r="B45" s="243" t="s">
        <v>174</v>
      </c>
      <c r="C45" s="243" t="s">
        <v>2182</v>
      </c>
      <c r="D45" s="243" t="s">
        <v>2183</v>
      </c>
      <c r="E45" s="243" t="s">
        <v>2184</v>
      </c>
      <c r="F45" s="243" t="s">
        <v>1808</v>
      </c>
      <c r="G45" s="243" t="n">
        <v>25</v>
      </c>
      <c r="H45" s="244" t="n">
        <v>7356</v>
      </c>
      <c r="I45" s="243" t="s">
        <v>176</v>
      </c>
      <c r="J45" s="244" t="n">
        <v>7356</v>
      </c>
      <c r="K45" s="243" t="s">
        <v>25</v>
      </c>
      <c r="L45" s="244" t="n">
        <v>7356</v>
      </c>
      <c r="M45" s="243" t="n">
        <v>21.63</v>
      </c>
      <c r="N45" s="246" t="n">
        <v>0</v>
      </c>
      <c r="O45" s="238" t="n">
        <f aca="false">'INPUT DEBT'!$M45-'INPUT DEBT'!$N45</f>
        <v>21.63</v>
      </c>
      <c r="P45" s="239" t="str">
        <f aca="false">IF(N45=0, "NOT DELIVERED", IF(O45=0, "CLEARED", "PARTIALLY DELIVERED"))</f>
        <v>NOT DELIVERED</v>
      </c>
    </row>
    <row r="46" customFormat="false" ht="14.25" hidden="false" customHeight="true" outlineLevel="0" collapsed="false">
      <c r="A46" s="237" t="n">
        <v>41</v>
      </c>
      <c r="B46" s="238" t="s">
        <v>174</v>
      </c>
      <c r="C46" s="238" t="s">
        <v>2185</v>
      </c>
      <c r="D46" s="238" t="s">
        <v>2186</v>
      </c>
      <c r="E46" s="238" t="s">
        <v>2187</v>
      </c>
      <c r="F46" s="238" t="s">
        <v>1808</v>
      </c>
      <c r="G46" s="238" t="n">
        <v>40</v>
      </c>
      <c r="H46" s="240" t="n">
        <v>10904</v>
      </c>
      <c r="I46" s="238" t="s">
        <v>176</v>
      </c>
      <c r="J46" s="240" t="n">
        <v>10904</v>
      </c>
      <c r="K46" s="238" t="s">
        <v>25</v>
      </c>
      <c r="L46" s="240" t="n">
        <v>10904</v>
      </c>
      <c r="M46" s="238" t="n">
        <v>32.07</v>
      </c>
      <c r="N46" s="241" t="n">
        <v>0</v>
      </c>
      <c r="O46" s="238" t="n">
        <f aca="false">'INPUT DEBT'!$M46-'INPUT DEBT'!$N46</f>
        <v>32.07</v>
      </c>
      <c r="P46" s="239" t="str">
        <f aca="false">IF(N46=0, "NOT DELIVERED", IF(O46=0, "CLEARED", "PARTIALLY DELIVERED"))</f>
        <v>NOT DELIVERED</v>
      </c>
    </row>
    <row r="47" customFormat="false" ht="14.25" hidden="false" customHeight="true" outlineLevel="0" collapsed="false">
      <c r="A47" s="242" t="n">
        <v>42</v>
      </c>
      <c r="B47" s="243" t="s">
        <v>174</v>
      </c>
      <c r="C47" s="243" t="s">
        <v>2185</v>
      </c>
      <c r="D47" s="243" t="s">
        <v>2188</v>
      </c>
      <c r="E47" s="243" t="s">
        <v>2189</v>
      </c>
      <c r="F47" s="243" t="s">
        <v>1808</v>
      </c>
      <c r="G47" s="243" t="n">
        <v>50</v>
      </c>
      <c r="H47" s="244" t="n">
        <v>14075</v>
      </c>
      <c r="I47" s="243" t="s">
        <v>176</v>
      </c>
      <c r="J47" s="244" t="n">
        <v>14075</v>
      </c>
      <c r="K47" s="243" t="s">
        <v>25</v>
      </c>
      <c r="L47" s="244" t="n">
        <v>14075</v>
      </c>
      <c r="M47" s="243" t="n">
        <v>41.4</v>
      </c>
      <c r="N47" s="246" t="n">
        <v>0</v>
      </c>
      <c r="O47" s="238" t="n">
        <f aca="false">'INPUT DEBT'!$M47-'INPUT DEBT'!$N47</f>
        <v>41.4</v>
      </c>
      <c r="P47" s="239" t="str">
        <f aca="false">IF(N47=0, "NOT DELIVERED", IF(O47=0, "CLEARED", "PARTIALLY DELIVERED"))</f>
        <v>NOT DELIVERED</v>
      </c>
    </row>
    <row r="48" customFormat="false" ht="14.25" hidden="false" customHeight="true" outlineLevel="0" collapsed="false">
      <c r="A48" s="237" t="n">
        <v>43</v>
      </c>
      <c r="B48" s="238" t="s">
        <v>174</v>
      </c>
      <c r="C48" s="238" t="s">
        <v>2185</v>
      </c>
      <c r="D48" s="238" t="s">
        <v>2190</v>
      </c>
      <c r="E48" s="238" t="s">
        <v>2191</v>
      </c>
      <c r="F48" s="238" t="s">
        <v>1808</v>
      </c>
      <c r="G48" s="238" t="n">
        <v>50</v>
      </c>
      <c r="H48" s="240" t="n">
        <v>16984</v>
      </c>
      <c r="I48" s="238" t="s">
        <v>176</v>
      </c>
      <c r="J48" s="240" t="n">
        <v>16984</v>
      </c>
      <c r="K48" s="238" t="s">
        <v>25</v>
      </c>
      <c r="L48" s="240" t="n">
        <v>16984</v>
      </c>
      <c r="M48" s="238" t="n">
        <v>49.95</v>
      </c>
      <c r="N48" s="241" t="n">
        <v>0</v>
      </c>
      <c r="O48" s="238" t="n">
        <f aca="false">'INPUT DEBT'!$M48-'INPUT DEBT'!$N48</f>
        <v>49.95</v>
      </c>
      <c r="P48" s="239" t="str">
        <f aca="false">IF(N48=0, "NOT DELIVERED", IF(O48=0, "CLEARED", "PARTIALLY DELIVERED"))</f>
        <v>NOT DELIVERED</v>
      </c>
    </row>
    <row r="49" customFormat="false" ht="14.25" hidden="false" customHeight="true" outlineLevel="0" collapsed="false">
      <c r="A49" s="242" t="n">
        <v>44</v>
      </c>
      <c r="B49" s="243" t="s">
        <v>174</v>
      </c>
      <c r="C49" s="243" t="s">
        <v>2192</v>
      </c>
      <c r="D49" s="243" t="s">
        <v>2193</v>
      </c>
      <c r="E49" s="243" t="s">
        <v>2194</v>
      </c>
      <c r="F49" s="243" t="s">
        <v>1808</v>
      </c>
      <c r="G49" s="243" t="n">
        <v>60</v>
      </c>
      <c r="H49" s="244" t="n">
        <v>14815</v>
      </c>
      <c r="I49" s="243" t="s">
        <v>176</v>
      </c>
      <c r="J49" s="244" t="n">
        <v>14815</v>
      </c>
      <c r="K49" s="243" t="s">
        <v>25</v>
      </c>
      <c r="L49" s="244" t="n">
        <v>14815</v>
      </c>
      <c r="M49" s="243" t="n">
        <v>43.57</v>
      </c>
      <c r="N49" s="246" t="n">
        <v>0</v>
      </c>
      <c r="O49" s="238" t="n">
        <f aca="false">'INPUT DEBT'!$M49-'INPUT DEBT'!$N49</f>
        <v>43.57</v>
      </c>
      <c r="P49" s="239" t="str">
        <f aca="false">IF(N49=0, "NOT DELIVERED", IF(O49=0, "CLEARED", "PARTIALLY DELIVERED"))</f>
        <v>NOT DELIVERED</v>
      </c>
    </row>
    <row r="50" customFormat="false" ht="14.25" hidden="false" customHeight="true" outlineLevel="0" collapsed="false">
      <c r="A50" s="237" t="n">
        <v>45</v>
      </c>
      <c r="B50" s="238" t="s">
        <v>174</v>
      </c>
      <c r="C50" s="238" t="s">
        <v>2195</v>
      </c>
      <c r="D50" s="238" t="s">
        <v>2196</v>
      </c>
      <c r="E50" s="238" t="s">
        <v>2197</v>
      </c>
      <c r="F50" s="238" t="s">
        <v>1808</v>
      </c>
      <c r="G50" s="238" t="n">
        <v>500</v>
      </c>
      <c r="H50" s="240" t="n">
        <v>103060</v>
      </c>
      <c r="I50" s="238" t="s">
        <v>176</v>
      </c>
      <c r="J50" s="240" t="n">
        <v>103060</v>
      </c>
      <c r="K50" s="240" t="n">
        <f aca="false">'INPUT DEBT'!$J50+3645</f>
        <v>106705</v>
      </c>
      <c r="L50" s="240" t="n">
        <v>103060</v>
      </c>
      <c r="M50" s="238" t="n">
        <v>303.12</v>
      </c>
      <c r="N50" s="241" t="n">
        <v>87.82</v>
      </c>
      <c r="O50" s="238" t="n">
        <f aca="false">'INPUT DEBT'!$M50-'INPUT DEBT'!$N50</f>
        <v>215.3</v>
      </c>
      <c r="P50" s="239" t="str">
        <f aca="false">IF(N50=0, "NOT DELIVERED", IF(O50=0, "CLEARED", "PARTIALLY DELIVERED"))</f>
        <v>PARTIALLY DELIVERED</v>
      </c>
    </row>
    <row r="51" customFormat="false" ht="14.25" hidden="false" customHeight="true" outlineLevel="0" collapsed="false">
      <c r="A51" s="242" t="n">
        <v>46</v>
      </c>
      <c r="B51" s="243" t="s">
        <v>193</v>
      </c>
      <c r="C51" s="243" t="s">
        <v>2198</v>
      </c>
      <c r="D51" s="243" t="s">
        <v>2199</v>
      </c>
      <c r="E51" s="243" t="s">
        <v>2200</v>
      </c>
      <c r="F51" s="243" t="s">
        <v>1808</v>
      </c>
      <c r="G51" s="243" t="n">
        <v>10</v>
      </c>
      <c r="H51" s="244" t="n">
        <v>2522</v>
      </c>
      <c r="I51" s="243" t="s">
        <v>176</v>
      </c>
      <c r="J51" s="244" t="n">
        <v>2522</v>
      </c>
      <c r="K51" s="243" t="s">
        <v>25</v>
      </c>
      <c r="L51" s="244" t="n">
        <v>2522</v>
      </c>
      <c r="M51" s="243" t="n">
        <v>7.42</v>
      </c>
      <c r="N51" s="246" t="n">
        <v>0</v>
      </c>
      <c r="O51" s="238" t="n">
        <f aca="false">'INPUT DEBT'!$M51-'INPUT DEBT'!$N51</f>
        <v>7.42</v>
      </c>
      <c r="P51" s="239" t="str">
        <f aca="false">IF(N51=0, "NOT DELIVERED", IF(O51=0, "CLEARED", "PARTIALLY DELIVERED"))</f>
        <v>NOT DELIVERED</v>
      </c>
    </row>
    <row r="52" customFormat="false" ht="14.25" hidden="false" customHeight="true" outlineLevel="0" collapsed="false">
      <c r="A52" s="237" t="n">
        <v>47</v>
      </c>
      <c r="B52" s="238" t="s">
        <v>174</v>
      </c>
      <c r="C52" s="238" t="s">
        <v>2201</v>
      </c>
      <c r="D52" s="238" t="s">
        <v>2202</v>
      </c>
      <c r="E52" s="238" t="s">
        <v>2203</v>
      </c>
      <c r="F52" s="238" t="s">
        <v>1808</v>
      </c>
      <c r="G52" s="238" t="n">
        <v>60</v>
      </c>
      <c r="H52" s="240" t="n">
        <v>20225</v>
      </c>
      <c r="I52" s="240" t="n">
        <v>11351</v>
      </c>
      <c r="J52" s="240" t="n">
        <v>8874</v>
      </c>
      <c r="K52" s="238" t="s">
        <v>25</v>
      </c>
      <c r="L52" s="240" t="n">
        <v>8874</v>
      </c>
      <c r="M52" s="238" t="n">
        <v>59.48</v>
      </c>
      <c r="N52" s="241" t="n">
        <v>31.12</v>
      </c>
      <c r="O52" s="238" t="n">
        <f aca="false">'INPUT DEBT'!$M52-'INPUT DEBT'!$N52</f>
        <v>28.36</v>
      </c>
      <c r="P52" s="239" t="str">
        <f aca="false">IF(N52=0, "NOT DELIVERED", IF(O52=0, "CLEARED", "PARTIALLY DELIVERED"))</f>
        <v>PARTIALLY DELIVERED</v>
      </c>
    </row>
    <row r="53" customFormat="false" ht="14.25" hidden="false" customHeight="true" outlineLevel="0" collapsed="false">
      <c r="A53" s="242" t="n">
        <v>48</v>
      </c>
      <c r="B53" s="243" t="s">
        <v>174</v>
      </c>
      <c r="C53" s="243" t="s">
        <v>2204</v>
      </c>
      <c r="D53" s="243" t="s">
        <v>2205</v>
      </c>
      <c r="E53" s="243" t="s">
        <v>2206</v>
      </c>
      <c r="F53" s="243" t="s">
        <v>1808</v>
      </c>
      <c r="G53" s="243" t="n">
        <v>25</v>
      </c>
      <c r="H53" s="244" t="n">
        <v>6640</v>
      </c>
      <c r="I53" s="244" t="n">
        <v>2576</v>
      </c>
      <c r="J53" s="244" t="n">
        <v>4064</v>
      </c>
      <c r="K53" s="243" t="s">
        <v>25</v>
      </c>
      <c r="L53" s="244" t="n">
        <v>4064</v>
      </c>
      <c r="M53" s="243" t="n">
        <v>19.53</v>
      </c>
      <c r="N53" s="246" t="n">
        <v>7.06</v>
      </c>
      <c r="O53" s="238" t="n">
        <f aca="false">'INPUT DEBT'!$M53-'INPUT DEBT'!$N53</f>
        <v>12.47</v>
      </c>
      <c r="P53" s="239" t="str">
        <f aca="false">IF(N53=0, "NOT DELIVERED", IF(O53=0, "CLEARED", "PARTIALLY DELIVERED"))</f>
        <v>PARTIALLY DELIVERED</v>
      </c>
    </row>
    <row r="54" customFormat="false" ht="14.25" hidden="false" customHeight="true" outlineLevel="0" collapsed="false">
      <c r="A54" s="237" t="n">
        <v>49</v>
      </c>
      <c r="B54" s="238" t="s">
        <v>174</v>
      </c>
      <c r="C54" s="238" t="s">
        <v>2207</v>
      </c>
      <c r="D54" s="238" t="s">
        <v>2208</v>
      </c>
      <c r="E54" s="238" t="s">
        <v>2209</v>
      </c>
      <c r="F54" s="238" t="s">
        <v>1808</v>
      </c>
      <c r="G54" s="238" t="n">
        <v>50</v>
      </c>
      <c r="H54" s="240" t="n">
        <v>9778</v>
      </c>
      <c r="I54" s="238" t="s">
        <v>176</v>
      </c>
      <c r="J54" s="240" t="n">
        <v>9778</v>
      </c>
      <c r="K54" s="238" t="s">
        <v>25</v>
      </c>
      <c r="L54" s="240" t="n">
        <v>9778</v>
      </c>
      <c r="M54" s="238" t="n">
        <v>28.76</v>
      </c>
      <c r="N54" s="241" t="n">
        <v>0</v>
      </c>
      <c r="O54" s="238" t="n">
        <f aca="false">'INPUT DEBT'!$M54-'INPUT DEBT'!$N54</f>
        <v>28.76</v>
      </c>
      <c r="P54" s="239" t="str">
        <f aca="false">IF(N54=0, "NOT DELIVERED", IF(O54=0, "CLEARED", "PARTIALLY DELIVERED"))</f>
        <v>NOT DELIVERED</v>
      </c>
    </row>
    <row r="55" customFormat="false" ht="14.25" hidden="false" customHeight="true" outlineLevel="0" collapsed="false">
      <c r="A55" s="242" t="n">
        <v>50</v>
      </c>
      <c r="B55" s="243" t="s">
        <v>174</v>
      </c>
      <c r="C55" s="18" t="s">
        <v>170</v>
      </c>
      <c r="D55" s="243" t="s">
        <v>1635</v>
      </c>
      <c r="E55" s="243" t="s">
        <v>2210</v>
      </c>
      <c r="F55" s="243" t="s">
        <v>1808</v>
      </c>
      <c r="G55" s="243" t="n">
        <v>10</v>
      </c>
      <c r="H55" s="243" t="s">
        <v>2116</v>
      </c>
      <c r="I55" s="243" t="s">
        <v>176</v>
      </c>
      <c r="J55" s="243" t="s">
        <v>176</v>
      </c>
      <c r="K55" s="243" t="s">
        <v>25</v>
      </c>
      <c r="L55" s="243" t="s">
        <v>176</v>
      </c>
      <c r="M55" s="243" t="n">
        <v>0</v>
      </c>
      <c r="N55" s="246" t="n">
        <v>0</v>
      </c>
      <c r="O55" s="238" t="n">
        <f aca="false">'INPUT DEBT'!$M55-'INPUT DEBT'!$N55</f>
        <v>0</v>
      </c>
      <c r="P55" s="239" t="s">
        <v>2117</v>
      </c>
    </row>
    <row r="56" customFormat="false" ht="14.25" hidden="false" customHeight="true" outlineLevel="0" collapsed="false">
      <c r="A56" s="237" t="n">
        <v>51</v>
      </c>
      <c r="B56" s="238" t="s">
        <v>174</v>
      </c>
      <c r="C56" s="238" t="s">
        <v>2211</v>
      </c>
      <c r="D56" s="238" t="s">
        <v>2212</v>
      </c>
      <c r="E56" s="238" t="s">
        <v>2213</v>
      </c>
      <c r="F56" s="238" t="s">
        <v>1808</v>
      </c>
      <c r="G56" s="238" t="n">
        <v>20</v>
      </c>
      <c r="H56" s="240" t="n">
        <v>2555</v>
      </c>
      <c r="I56" s="238" t="s">
        <v>176</v>
      </c>
      <c r="J56" s="240" t="n">
        <v>2555</v>
      </c>
      <c r="K56" s="238" t="s">
        <v>25</v>
      </c>
      <c r="L56" s="240" t="n">
        <v>2555</v>
      </c>
      <c r="M56" s="238" t="n">
        <v>7.52</v>
      </c>
      <c r="N56" s="241" t="n">
        <v>0</v>
      </c>
      <c r="O56" s="238" t="n">
        <f aca="false">'INPUT DEBT'!$M56-'INPUT DEBT'!$N56</f>
        <v>7.52</v>
      </c>
      <c r="P56" s="239" t="str">
        <f aca="false">IF(N56=0, "NOT DELIVERED", IF(O56=0, "CLEARED", "PARTIALLY DELIVERED"))</f>
        <v>NOT DELIVERED</v>
      </c>
    </row>
    <row r="57" customFormat="false" ht="14.25" hidden="false" customHeight="true" outlineLevel="0" collapsed="false">
      <c r="A57" s="242" t="n">
        <v>52</v>
      </c>
      <c r="B57" s="243" t="s">
        <v>174</v>
      </c>
      <c r="C57" s="243" t="s">
        <v>2214</v>
      </c>
      <c r="D57" s="243" t="s">
        <v>2215</v>
      </c>
      <c r="E57" s="243" t="s">
        <v>2216</v>
      </c>
      <c r="F57" s="243" t="s">
        <v>1808</v>
      </c>
      <c r="G57" s="243" t="n">
        <v>150</v>
      </c>
      <c r="H57" s="244" t="n">
        <v>37209</v>
      </c>
      <c r="I57" s="243" t="s">
        <v>176</v>
      </c>
      <c r="J57" s="244" t="n">
        <v>37209</v>
      </c>
      <c r="K57" s="243" t="s">
        <v>25</v>
      </c>
      <c r="L57" s="244" t="n">
        <v>37209</v>
      </c>
      <c r="M57" s="243" t="n">
        <v>109.44</v>
      </c>
      <c r="N57" s="246" t="n">
        <v>0</v>
      </c>
      <c r="O57" s="238" t="n">
        <f aca="false">'INPUT DEBT'!$M57-'INPUT DEBT'!$N57</f>
        <v>109.44</v>
      </c>
      <c r="P57" s="239" t="str">
        <f aca="false">IF(N57=0, "NOT DELIVERED", IF(O57=0, "CLEARED", "PARTIALLY DELIVERED"))</f>
        <v>NOT DELIVERED</v>
      </c>
    </row>
    <row r="58" customFormat="false" ht="14.25" hidden="false" customHeight="true" outlineLevel="0" collapsed="false">
      <c r="A58" s="237" t="n">
        <v>53</v>
      </c>
      <c r="B58" s="238" t="s">
        <v>174</v>
      </c>
      <c r="C58" s="238" t="s">
        <v>2217</v>
      </c>
      <c r="D58" s="238" t="s">
        <v>2218</v>
      </c>
      <c r="E58" s="238" t="s">
        <v>2219</v>
      </c>
      <c r="F58" s="238" t="s">
        <v>1808</v>
      </c>
      <c r="G58" s="238" t="n">
        <v>40</v>
      </c>
      <c r="H58" s="240" t="n">
        <v>17014</v>
      </c>
      <c r="I58" s="238" t="s">
        <v>176</v>
      </c>
      <c r="J58" s="240" t="n">
        <v>17014</v>
      </c>
      <c r="K58" s="238" t="s">
        <v>25</v>
      </c>
      <c r="L58" s="240" t="n">
        <v>17014</v>
      </c>
      <c r="M58" s="238" t="n">
        <v>50.04</v>
      </c>
      <c r="N58" s="241" t="n">
        <v>5.13</v>
      </c>
      <c r="O58" s="238" t="n">
        <f aca="false">'INPUT DEBT'!$M58-'INPUT DEBT'!$N58</f>
        <v>44.91</v>
      </c>
      <c r="P58" s="239" t="str">
        <f aca="false">IF(N58=0, "NOT DELIVERED", IF(O58=0, "CLEARED", "PARTIALLY DELIVERED"))</f>
        <v>PARTIALLY DELIVERED</v>
      </c>
    </row>
    <row r="59" customFormat="false" ht="14.25" hidden="false" customHeight="true" outlineLevel="0" collapsed="false">
      <c r="A59" s="242" t="n">
        <v>54</v>
      </c>
      <c r="B59" s="243" t="s">
        <v>174</v>
      </c>
      <c r="C59" s="243" t="s">
        <v>2220</v>
      </c>
      <c r="D59" s="243" t="s">
        <v>1736</v>
      </c>
      <c r="E59" s="243" t="s">
        <v>2221</v>
      </c>
      <c r="F59" s="243" t="s">
        <v>1808</v>
      </c>
      <c r="G59" s="243" t="n">
        <v>40</v>
      </c>
      <c r="H59" s="244" t="n">
        <v>15568</v>
      </c>
      <c r="I59" s="243" t="s">
        <v>176</v>
      </c>
      <c r="J59" s="244" t="n">
        <v>15568</v>
      </c>
      <c r="K59" s="243" t="s">
        <v>25</v>
      </c>
      <c r="L59" s="244" t="n">
        <v>15568</v>
      </c>
      <c r="M59" s="243" t="n">
        <v>45.79</v>
      </c>
      <c r="N59" s="246" t="n">
        <v>3.17</v>
      </c>
      <c r="O59" s="238" t="n">
        <f aca="false">'INPUT DEBT'!$M59-'INPUT DEBT'!$N59</f>
        <v>42.62</v>
      </c>
      <c r="P59" s="239" t="str">
        <f aca="false">IF(N59=0, "NOT DELIVERED", IF(O59=0, "CLEARED", "PARTIALLY DELIVERED"))</f>
        <v>PARTIALLY DELIVERED</v>
      </c>
    </row>
    <row r="60" customFormat="false" ht="14.25" hidden="false" customHeight="true" outlineLevel="0" collapsed="false">
      <c r="A60" s="237" t="n">
        <v>55</v>
      </c>
      <c r="B60" s="238" t="s">
        <v>174</v>
      </c>
      <c r="C60" s="238" t="s">
        <v>2222</v>
      </c>
      <c r="D60" s="238" t="s">
        <v>2223</v>
      </c>
      <c r="E60" s="238" t="s">
        <v>2224</v>
      </c>
      <c r="F60" s="238" t="s">
        <v>1808</v>
      </c>
      <c r="G60" s="238" t="n">
        <v>20</v>
      </c>
      <c r="H60" s="240" t="n">
        <v>5510</v>
      </c>
      <c r="I60" s="238" t="s">
        <v>176</v>
      </c>
      <c r="J60" s="240" t="n">
        <v>5510</v>
      </c>
      <c r="K60" s="238" t="s">
        <v>25</v>
      </c>
      <c r="L60" s="240" t="n">
        <v>5510</v>
      </c>
      <c r="M60" s="238" t="n">
        <v>16.21</v>
      </c>
      <c r="N60" s="241" t="n">
        <v>3.57</v>
      </c>
      <c r="O60" s="238" t="n">
        <f aca="false">'INPUT DEBT'!$M60-'INPUT DEBT'!$N60</f>
        <v>12.64</v>
      </c>
      <c r="P60" s="239" t="str">
        <f aca="false">IF(N60=0, "NOT DELIVERED", IF(O60=0, "CLEARED", "PARTIALLY DELIVERED"))</f>
        <v>PARTIALLY DELIVERED</v>
      </c>
    </row>
    <row r="61" customFormat="false" ht="14.25" hidden="false" customHeight="true" outlineLevel="0" collapsed="false">
      <c r="A61" s="242" t="n">
        <v>56</v>
      </c>
      <c r="B61" s="243" t="s">
        <v>174</v>
      </c>
      <c r="C61" s="243" t="s">
        <v>2225</v>
      </c>
      <c r="D61" s="243" t="s">
        <v>2226</v>
      </c>
      <c r="E61" s="243" t="s">
        <v>2227</v>
      </c>
      <c r="F61" s="243" t="s">
        <v>1808</v>
      </c>
      <c r="G61" s="243" t="n">
        <v>50</v>
      </c>
      <c r="H61" s="244" t="n">
        <v>15945</v>
      </c>
      <c r="I61" s="243" t="s">
        <v>176</v>
      </c>
      <c r="J61" s="244" t="n">
        <v>15945</v>
      </c>
      <c r="K61" s="243" t="s">
        <v>25</v>
      </c>
      <c r="L61" s="244" t="n">
        <v>15945</v>
      </c>
      <c r="M61" s="243" t="n">
        <v>46.9</v>
      </c>
      <c r="N61" s="246" t="n">
        <v>0</v>
      </c>
      <c r="O61" s="238" t="n">
        <f aca="false">'INPUT DEBT'!$M61-'INPUT DEBT'!$N61</f>
        <v>46.9</v>
      </c>
      <c r="P61" s="239" t="str">
        <f aca="false">IF(N61=0, "NOT DELIVERED", IF(O61=0, "CLEARED", "PARTIALLY DELIVERED"))</f>
        <v>NOT DELIVERED</v>
      </c>
    </row>
    <row r="62" customFormat="false" ht="14.25" hidden="false" customHeight="true" outlineLevel="0" collapsed="false">
      <c r="A62" s="237" t="n">
        <v>57</v>
      </c>
      <c r="B62" s="238" t="s">
        <v>174</v>
      </c>
      <c r="C62" s="238" t="s">
        <v>2228</v>
      </c>
      <c r="D62" s="238" t="s">
        <v>2229</v>
      </c>
      <c r="E62" s="238" t="s">
        <v>2230</v>
      </c>
      <c r="F62" s="238" t="s">
        <v>1808</v>
      </c>
      <c r="G62" s="238" t="n">
        <v>20</v>
      </c>
      <c r="H62" s="240" t="n">
        <v>6601</v>
      </c>
      <c r="I62" s="238" t="s">
        <v>176</v>
      </c>
      <c r="J62" s="240" t="n">
        <v>6601</v>
      </c>
      <c r="K62" s="238" t="s">
        <v>25</v>
      </c>
      <c r="L62" s="240" t="n">
        <v>6601</v>
      </c>
      <c r="M62" s="238" t="n">
        <v>19.41</v>
      </c>
      <c r="N62" s="241" t="n">
        <v>0</v>
      </c>
      <c r="O62" s="238" t="n">
        <f aca="false">'INPUT DEBT'!$M62-'INPUT DEBT'!$N62</f>
        <v>19.41</v>
      </c>
      <c r="P62" s="239" t="str">
        <f aca="false">IF(N62=0, "NOT DELIVERED", IF(O62=0, "CLEARED", "PARTIALLY DELIVERED"))</f>
        <v>NOT DELIVERED</v>
      </c>
    </row>
    <row r="63" s="252" customFormat="true" ht="14.25" hidden="false" customHeight="true" outlineLevel="0" collapsed="false">
      <c r="A63" s="242" t="n">
        <v>58</v>
      </c>
      <c r="B63" s="249" t="s">
        <v>174</v>
      </c>
      <c r="C63" s="249" t="s">
        <v>2231</v>
      </c>
      <c r="D63" s="249" t="s">
        <v>2232</v>
      </c>
      <c r="E63" s="249" t="s">
        <v>2233</v>
      </c>
      <c r="F63" s="249" t="s">
        <v>1808</v>
      </c>
      <c r="G63" s="249" t="n">
        <v>70</v>
      </c>
      <c r="H63" s="250" t="n">
        <v>24850</v>
      </c>
      <c r="I63" s="243" t="s">
        <v>176</v>
      </c>
      <c r="J63" s="244" t="n">
        <v>24850</v>
      </c>
      <c r="K63" s="251" t="n">
        <v>25791</v>
      </c>
      <c r="L63" s="249" t="n">
        <v>-941</v>
      </c>
      <c r="M63" s="249" t="n">
        <v>73.09</v>
      </c>
      <c r="N63" s="246" t="n">
        <v>0</v>
      </c>
      <c r="O63" s="238" t="n">
        <f aca="false">'INPUT DEBT'!$M63-'INPUT DEBT'!$N63</f>
        <v>73.09</v>
      </c>
      <c r="P63" s="239" t="str">
        <f aca="false">IF(N63=0, "NOT DELIVERED", IF(O63=0, "CLEARED", "PARTIALLY DELIVERED"))</f>
        <v>NOT DELIVERED</v>
      </c>
    </row>
    <row r="64" customFormat="false" ht="14.25" hidden="false" customHeight="true" outlineLevel="0" collapsed="false">
      <c r="A64" s="237" t="n">
        <v>59</v>
      </c>
      <c r="B64" s="238" t="s">
        <v>174</v>
      </c>
      <c r="C64" s="238" t="s">
        <v>2234</v>
      </c>
      <c r="D64" s="238" t="s">
        <v>2235</v>
      </c>
      <c r="E64" s="238" t="s">
        <v>2236</v>
      </c>
      <c r="F64" s="238" t="s">
        <v>1808</v>
      </c>
      <c r="G64" s="238" t="n">
        <v>30</v>
      </c>
      <c r="H64" s="240" t="n">
        <v>11572</v>
      </c>
      <c r="I64" s="238" t="s">
        <v>176</v>
      </c>
      <c r="J64" s="240" t="n">
        <v>11572</v>
      </c>
      <c r="K64" s="238" t="s">
        <v>25</v>
      </c>
      <c r="L64" s="240" t="n">
        <v>11572</v>
      </c>
      <c r="M64" s="238" t="n">
        <v>34.03</v>
      </c>
      <c r="N64" s="241" t="n">
        <v>0</v>
      </c>
      <c r="O64" s="238" t="n">
        <f aca="false">'INPUT DEBT'!$M64-'INPUT DEBT'!$N64</f>
        <v>34.03</v>
      </c>
      <c r="P64" s="239" t="str">
        <f aca="false">IF(N64=0, "NOT DELIVERED", IF(O64=0, "CLEARED", "PARTIALLY DELIVERED"))</f>
        <v>NOT DELIVERED</v>
      </c>
    </row>
    <row r="65" customFormat="false" ht="14.25" hidden="false" customHeight="true" outlineLevel="0" collapsed="false">
      <c r="A65" s="242" t="n">
        <v>60</v>
      </c>
      <c r="B65" s="243" t="s">
        <v>174</v>
      </c>
      <c r="C65" s="243" t="s">
        <v>2237</v>
      </c>
      <c r="D65" s="243" t="s">
        <v>2238</v>
      </c>
      <c r="E65" s="243" t="s">
        <v>2239</v>
      </c>
      <c r="F65" s="243" t="s">
        <v>1808</v>
      </c>
      <c r="G65" s="243" t="n">
        <v>140</v>
      </c>
      <c r="H65" s="244" t="n">
        <v>47808</v>
      </c>
      <c r="I65" s="244" t="n">
        <v>30070</v>
      </c>
      <c r="J65" s="244" t="n">
        <v>17738</v>
      </c>
      <c r="K65" s="244" t="n">
        <v>17820</v>
      </c>
      <c r="L65" s="243" t="n">
        <v>-82</v>
      </c>
      <c r="M65" s="243" t="n">
        <v>140.61</v>
      </c>
      <c r="N65" s="246" t="n">
        <v>82.44</v>
      </c>
      <c r="O65" s="238" t="n">
        <f aca="false">'INPUT DEBT'!$M65-'INPUT DEBT'!$N65</f>
        <v>58.17</v>
      </c>
      <c r="P65" s="239" t="str">
        <f aca="false">IF(N65=0, "NOT DELIVERED", IF(O65=0, "CLEARED", "PARTIALLY DELIVERED"))</f>
        <v>PARTIALLY DELIVERED</v>
      </c>
    </row>
    <row r="66" customFormat="false" ht="14.25" hidden="false" customHeight="true" outlineLevel="0" collapsed="false">
      <c r="A66" s="237" t="n">
        <v>61</v>
      </c>
      <c r="B66" s="238" t="s">
        <v>174</v>
      </c>
      <c r="C66" s="238" t="s">
        <v>2240</v>
      </c>
      <c r="D66" s="238" t="s">
        <v>2241</v>
      </c>
      <c r="E66" s="238" t="s">
        <v>2242</v>
      </c>
      <c r="F66" s="238" t="s">
        <v>1808</v>
      </c>
      <c r="G66" s="238" t="n">
        <v>200</v>
      </c>
      <c r="H66" s="240" t="n">
        <v>26297</v>
      </c>
      <c r="I66" s="238" t="s">
        <v>176</v>
      </c>
      <c r="J66" s="240" t="n">
        <v>26297</v>
      </c>
      <c r="K66" s="238" t="s">
        <v>25</v>
      </c>
      <c r="L66" s="240" t="n">
        <v>26297</v>
      </c>
      <c r="M66" s="238" t="n">
        <v>77.34</v>
      </c>
      <c r="N66" s="241" t="n">
        <v>0</v>
      </c>
      <c r="O66" s="238" t="n">
        <f aca="false">'INPUT DEBT'!$M66-'INPUT DEBT'!$N66</f>
        <v>77.34</v>
      </c>
      <c r="P66" s="239" t="str">
        <f aca="false">IF(N66=0, "NOT DELIVERED", IF(O66=0, "CLEARED", "PARTIALLY DELIVERED"))</f>
        <v>NOT DELIVERED</v>
      </c>
    </row>
    <row r="67" customFormat="false" ht="14.25" hidden="false" customHeight="true" outlineLevel="0" collapsed="false">
      <c r="A67" s="242" t="n">
        <v>62</v>
      </c>
      <c r="B67" s="243" t="s">
        <v>174</v>
      </c>
      <c r="C67" s="243" t="s">
        <v>2243</v>
      </c>
      <c r="D67" s="243" t="s">
        <v>2244</v>
      </c>
      <c r="E67" s="243" t="s">
        <v>2245</v>
      </c>
      <c r="F67" s="243" t="s">
        <v>1808</v>
      </c>
      <c r="G67" s="243" t="n">
        <v>20</v>
      </c>
      <c r="H67" s="244" t="n">
        <v>5038</v>
      </c>
      <c r="I67" s="243" t="s">
        <v>176</v>
      </c>
      <c r="J67" s="244" t="n">
        <v>5038</v>
      </c>
      <c r="K67" s="243" t="s">
        <v>25</v>
      </c>
      <c r="L67" s="244" t="n">
        <v>5038</v>
      </c>
      <c r="M67" s="243" t="n">
        <v>14.82</v>
      </c>
      <c r="N67" s="246" t="n">
        <v>0</v>
      </c>
      <c r="O67" s="238" t="n">
        <f aca="false">'INPUT DEBT'!$M67-'INPUT DEBT'!$N67</f>
        <v>14.82</v>
      </c>
      <c r="P67" s="239" t="str">
        <f aca="false">IF(N67=0, "NOT DELIVERED", IF(O67=0, "CLEARED", "PARTIALLY DELIVERED"))</f>
        <v>NOT DELIVERED</v>
      </c>
    </row>
    <row r="68" customFormat="false" ht="14.25" hidden="false" customHeight="true" outlineLevel="0" collapsed="false">
      <c r="A68" s="237" t="n">
        <v>63</v>
      </c>
      <c r="B68" s="238" t="s">
        <v>174</v>
      </c>
      <c r="C68" s="238" t="s">
        <v>2246</v>
      </c>
      <c r="D68" s="238" t="s">
        <v>2247</v>
      </c>
      <c r="E68" s="238" t="s">
        <v>2248</v>
      </c>
      <c r="F68" s="238" t="s">
        <v>1808</v>
      </c>
      <c r="G68" s="238" t="n">
        <v>20</v>
      </c>
      <c r="H68" s="240" t="n">
        <v>6587</v>
      </c>
      <c r="I68" s="240" t="n">
        <v>1164</v>
      </c>
      <c r="J68" s="240" t="n">
        <v>5422</v>
      </c>
      <c r="K68" s="238" t="s">
        <v>25</v>
      </c>
      <c r="L68" s="240" t="n">
        <v>5422</v>
      </c>
      <c r="M68" s="238" t="n">
        <v>19.37</v>
      </c>
      <c r="N68" s="241" t="n">
        <v>3.19</v>
      </c>
      <c r="O68" s="238" t="n">
        <f aca="false">'INPUT DEBT'!$M68-'INPUT DEBT'!$N68</f>
        <v>16.18</v>
      </c>
      <c r="P68" s="239" t="str">
        <f aca="false">IF(N68=0, "NOT DELIVERED", IF(O68=0, "CLEARED", "PARTIALLY DELIVERED"))</f>
        <v>PARTIALLY DELIVERED</v>
      </c>
    </row>
    <row r="69" customFormat="false" ht="14.25" hidden="false" customHeight="true" outlineLevel="0" collapsed="false">
      <c r="A69" s="242" t="n">
        <v>64</v>
      </c>
      <c r="B69" s="243" t="s">
        <v>174</v>
      </c>
      <c r="C69" s="243" t="s">
        <v>2228</v>
      </c>
      <c r="D69" s="243" t="s">
        <v>2249</v>
      </c>
      <c r="E69" s="243" t="s">
        <v>2250</v>
      </c>
      <c r="F69" s="243" t="s">
        <v>1808</v>
      </c>
      <c r="G69" s="243" t="n">
        <v>100</v>
      </c>
      <c r="H69" s="244" t="n">
        <v>33784</v>
      </c>
      <c r="I69" s="244" t="n">
        <v>3754</v>
      </c>
      <c r="J69" s="244" t="n">
        <v>30030</v>
      </c>
      <c r="K69" s="243" t="s">
        <v>25</v>
      </c>
      <c r="L69" s="244" t="n">
        <v>30030</v>
      </c>
      <c r="M69" s="243" t="n">
        <v>99.36</v>
      </c>
      <c r="N69" s="246" t="n">
        <v>10.29</v>
      </c>
      <c r="O69" s="238" t="n">
        <f aca="false">'INPUT DEBT'!$M69-'INPUT DEBT'!$N69</f>
        <v>89.07</v>
      </c>
      <c r="P69" s="239" t="str">
        <f aca="false">IF(N69=0, "NOT DELIVERED", IF(O69=0, "CLEARED", "PARTIALLY DELIVERED"))</f>
        <v>PARTIALLY DELIVERED</v>
      </c>
    </row>
    <row r="70" customFormat="false" ht="14.25" hidden="false" customHeight="true" outlineLevel="0" collapsed="false">
      <c r="A70" s="237" t="n">
        <v>65</v>
      </c>
      <c r="B70" s="238" t="s">
        <v>174</v>
      </c>
      <c r="C70" s="238" t="s">
        <v>2251</v>
      </c>
      <c r="D70" s="238" t="s">
        <v>2252</v>
      </c>
      <c r="E70" s="238" t="s">
        <v>2253</v>
      </c>
      <c r="F70" s="238" t="s">
        <v>1808</v>
      </c>
      <c r="G70" s="238" t="n">
        <v>20</v>
      </c>
      <c r="H70" s="240" t="n">
        <v>6682</v>
      </c>
      <c r="I70" s="238" t="s">
        <v>176</v>
      </c>
      <c r="J70" s="240" t="n">
        <v>6682</v>
      </c>
      <c r="K70" s="240" t="n">
        <v>6863</v>
      </c>
      <c r="L70" s="238" t="n">
        <v>-181</v>
      </c>
      <c r="M70" s="238" t="n">
        <v>19.65</v>
      </c>
      <c r="N70" s="241" t="n">
        <v>0</v>
      </c>
      <c r="O70" s="238" t="n">
        <f aca="false">'INPUT DEBT'!$M70-'INPUT DEBT'!$N70</f>
        <v>19.65</v>
      </c>
      <c r="P70" s="239" t="str">
        <f aca="false">IF(N70=0, "NOT DELIVERED", IF(O70=0, "CLEARED", "PARTIALLY DELIVERED"))</f>
        <v>NOT DELIVERED</v>
      </c>
    </row>
    <row r="71" customFormat="false" ht="14.25" hidden="false" customHeight="true" outlineLevel="0" collapsed="false">
      <c r="A71" s="242" t="n">
        <v>66</v>
      </c>
      <c r="B71" s="243" t="s">
        <v>174</v>
      </c>
      <c r="C71" s="243" t="s">
        <v>2254</v>
      </c>
      <c r="D71" s="243" t="s">
        <v>1704</v>
      </c>
      <c r="E71" s="243" t="s">
        <v>2255</v>
      </c>
      <c r="F71" s="243" t="s">
        <v>1808</v>
      </c>
      <c r="G71" s="243" t="n">
        <v>30</v>
      </c>
      <c r="H71" s="244" t="n">
        <v>4376</v>
      </c>
      <c r="I71" s="243" t="s">
        <v>176</v>
      </c>
      <c r="J71" s="244" t="n">
        <v>4376</v>
      </c>
      <c r="K71" s="243" t="s">
        <v>25</v>
      </c>
      <c r="L71" s="244" t="n">
        <v>4376</v>
      </c>
      <c r="M71" s="243" t="n">
        <v>12.87</v>
      </c>
      <c r="N71" s="246" t="n">
        <v>0</v>
      </c>
      <c r="O71" s="238" t="n">
        <f aca="false">'INPUT DEBT'!$M71-'INPUT DEBT'!$N71</f>
        <v>12.87</v>
      </c>
      <c r="P71" s="239" t="str">
        <f aca="false">IF(N71=0, "NOT DELIVERED", IF(O71=0, "CLEARED", "PARTIALLY DELIVERED"))</f>
        <v>NOT DELIVERED</v>
      </c>
    </row>
    <row r="72" customFormat="false" ht="14.25" hidden="false" customHeight="true" outlineLevel="0" collapsed="false">
      <c r="A72" s="237" t="n">
        <v>67</v>
      </c>
      <c r="B72" s="238" t="s">
        <v>174</v>
      </c>
      <c r="C72" s="238" t="s">
        <v>2256</v>
      </c>
      <c r="D72" s="238" t="s">
        <v>2257</v>
      </c>
      <c r="E72" s="238" t="s">
        <v>2258</v>
      </c>
      <c r="F72" s="238" t="s">
        <v>1808</v>
      </c>
      <c r="G72" s="238" t="n">
        <v>300</v>
      </c>
      <c r="H72" s="240" t="n">
        <v>110156</v>
      </c>
      <c r="I72" s="238" t="s">
        <v>176</v>
      </c>
      <c r="J72" s="240" t="n">
        <v>110156</v>
      </c>
      <c r="K72" s="238" t="s">
        <v>25</v>
      </c>
      <c r="L72" s="240" t="n">
        <v>110156</v>
      </c>
      <c r="M72" s="238" t="n">
        <v>323.99</v>
      </c>
      <c r="N72" s="241" t="n">
        <v>0</v>
      </c>
      <c r="O72" s="238" t="n">
        <f aca="false">'INPUT DEBT'!$M72-'INPUT DEBT'!$N72</f>
        <v>323.99</v>
      </c>
      <c r="P72" s="239" t="str">
        <f aca="false">IF(N72=0, "NOT DELIVERED", IF(O72=0, "CLEARED", "PARTIALLY DELIVERED"))</f>
        <v>NOT DELIVERED</v>
      </c>
    </row>
    <row r="73" customFormat="false" ht="14.25" hidden="false" customHeight="true" outlineLevel="0" collapsed="false">
      <c r="A73" s="242" t="n">
        <v>68</v>
      </c>
      <c r="B73" s="243" t="s">
        <v>174</v>
      </c>
      <c r="C73" s="243" t="s">
        <v>2259</v>
      </c>
      <c r="D73" s="243" t="s">
        <v>2260</v>
      </c>
      <c r="E73" s="243" t="s">
        <v>2261</v>
      </c>
      <c r="F73" s="243" t="s">
        <v>1808</v>
      </c>
      <c r="G73" s="243" t="n">
        <v>60</v>
      </c>
      <c r="H73" s="244" t="n">
        <v>24457</v>
      </c>
      <c r="I73" s="244" t="n">
        <v>12037</v>
      </c>
      <c r="J73" s="244" t="n">
        <v>12420</v>
      </c>
      <c r="K73" s="243" t="s">
        <v>25</v>
      </c>
      <c r="L73" s="244" t="n">
        <v>12420</v>
      </c>
      <c r="M73" s="243" t="n">
        <v>71.93</v>
      </c>
      <c r="N73" s="246" t="n">
        <v>33</v>
      </c>
      <c r="O73" s="238" t="n">
        <f aca="false">'INPUT DEBT'!$M73-'INPUT DEBT'!$N73</f>
        <v>38.93</v>
      </c>
      <c r="P73" s="239" t="str">
        <f aca="false">IF(N73=0, "NOT DELIVERED", IF(O73=0, "CLEARED", "PARTIALLY DELIVERED"))</f>
        <v>PARTIALLY DELIVERED</v>
      </c>
    </row>
    <row r="74" customFormat="false" ht="14.25" hidden="false" customHeight="true" outlineLevel="0" collapsed="false">
      <c r="A74" s="237" t="n">
        <v>69</v>
      </c>
      <c r="B74" s="238" t="s">
        <v>174</v>
      </c>
      <c r="C74" s="238" t="s">
        <v>2262</v>
      </c>
      <c r="D74" s="238" t="s">
        <v>1698</v>
      </c>
      <c r="E74" s="238" t="s">
        <v>2263</v>
      </c>
      <c r="F74" s="238" t="s">
        <v>1808</v>
      </c>
      <c r="G74" s="238" t="n">
        <v>500</v>
      </c>
      <c r="H74" s="240" t="n">
        <v>115647</v>
      </c>
      <c r="I74" s="238" t="s">
        <v>176</v>
      </c>
      <c r="J74" s="240" t="n">
        <v>115647</v>
      </c>
      <c r="K74" s="238" t="s">
        <v>25</v>
      </c>
      <c r="L74" s="240" t="n">
        <v>115647</v>
      </c>
      <c r="M74" s="238" t="n">
        <v>340.14</v>
      </c>
      <c r="N74" s="241" t="n">
        <v>0</v>
      </c>
      <c r="O74" s="238" t="n">
        <f aca="false">'INPUT DEBT'!$M74-'INPUT DEBT'!$N74</f>
        <v>340.14</v>
      </c>
      <c r="P74" s="239" t="str">
        <f aca="false">IF(N74=0, "NOT DELIVERED", IF(O74=0, "CLEARED", "PARTIALLY DELIVERED"))</f>
        <v>NOT DELIVERED</v>
      </c>
    </row>
    <row r="75" customFormat="false" ht="14.25" hidden="false" customHeight="true" outlineLevel="0" collapsed="false">
      <c r="A75" s="242" t="n">
        <v>70</v>
      </c>
      <c r="B75" s="243" t="s">
        <v>174</v>
      </c>
      <c r="C75" s="243" t="s">
        <v>2264</v>
      </c>
      <c r="D75" s="243" t="s">
        <v>2265</v>
      </c>
      <c r="E75" s="243" t="s">
        <v>2266</v>
      </c>
      <c r="F75" s="243" t="s">
        <v>1808</v>
      </c>
      <c r="G75" s="243" t="n">
        <v>100</v>
      </c>
      <c r="H75" s="244" t="n">
        <v>25315</v>
      </c>
      <c r="I75" s="243" t="s">
        <v>176</v>
      </c>
      <c r="J75" s="244" t="n">
        <v>25315</v>
      </c>
      <c r="K75" s="243" t="s">
        <v>25</v>
      </c>
      <c r="L75" s="244" t="n">
        <v>25315</v>
      </c>
      <c r="M75" s="243" t="n">
        <v>74.46</v>
      </c>
      <c r="N75" s="246" t="n">
        <v>0</v>
      </c>
      <c r="O75" s="238" t="n">
        <f aca="false">'INPUT DEBT'!$M75-'INPUT DEBT'!$N75</f>
        <v>74.46</v>
      </c>
      <c r="P75" s="239" t="str">
        <f aca="false">IF(N75=0, "NOT DELIVERED", IF(O75=0, "CLEARED", "PARTIALLY DELIVERED"))</f>
        <v>NOT DELIVERED</v>
      </c>
    </row>
    <row r="76" customFormat="false" ht="14.25" hidden="false" customHeight="true" outlineLevel="0" collapsed="false">
      <c r="A76" s="237" t="n">
        <v>71</v>
      </c>
      <c r="B76" s="238" t="s">
        <v>174</v>
      </c>
      <c r="C76" s="238" t="s">
        <v>2267</v>
      </c>
      <c r="D76" s="238" t="s">
        <v>2268</v>
      </c>
      <c r="E76" s="238" t="s">
        <v>2269</v>
      </c>
      <c r="F76" s="238" t="s">
        <v>1808</v>
      </c>
      <c r="G76" s="238" t="n">
        <v>45</v>
      </c>
      <c r="H76" s="240" t="n">
        <v>16046</v>
      </c>
      <c r="I76" s="238" t="s">
        <v>176</v>
      </c>
      <c r="J76" s="240" t="n">
        <v>16046</v>
      </c>
      <c r="K76" s="238" t="s">
        <v>25</v>
      </c>
      <c r="L76" s="240" t="n">
        <v>16046</v>
      </c>
      <c r="M76" s="238" t="n">
        <v>47.19</v>
      </c>
      <c r="N76" s="241" t="n">
        <v>0</v>
      </c>
      <c r="O76" s="238" t="n">
        <f aca="false">'INPUT DEBT'!$M76-'INPUT DEBT'!$N76</f>
        <v>47.19</v>
      </c>
      <c r="P76" s="239" t="str">
        <f aca="false">IF(N76=0, "NOT DELIVERED", IF(O76=0, "CLEARED", "PARTIALLY DELIVERED"))</f>
        <v>NOT DELIVERED</v>
      </c>
    </row>
    <row r="77" customFormat="false" ht="14.25" hidden="false" customHeight="true" outlineLevel="0" collapsed="false">
      <c r="A77" s="242" t="n">
        <v>72</v>
      </c>
      <c r="B77" s="243" t="s">
        <v>174</v>
      </c>
      <c r="C77" s="243" t="s">
        <v>2270</v>
      </c>
      <c r="D77" s="243" t="s">
        <v>2271</v>
      </c>
      <c r="E77" s="243" t="s">
        <v>2272</v>
      </c>
      <c r="F77" s="243" t="s">
        <v>1808</v>
      </c>
      <c r="G77" s="243" t="n">
        <v>10</v>
      </c>
      <c r="H77" s="244" t="n">
        <v>3745</v>
      </c>
      <c r="I77" s="243" t="s">
        <v>176</v>
      </c>
      <c r="J77" s="244" t="n">
        <v>3745</v>
      </c>
      <c r="K77" s="243" t="s">
        <v>25</v>
      </c>
      <c r="L77" s="244" t="n">
        <v>3745</v>
      </c>
      <c r="M77" s="243" t="n">
        <v>11.01</v>
      </c>
      <c r="N77" s="246" t="n">
        <v>0</v>
      </c>
      <c r="O77" s="238" t="n">
        <f aca="false">'INPUT DEBT'!$M77-'INPUT DEBT'!$N77</f>
        <v>11.01</v>
      </c>
      <c r="P77" s="239" t="str">
        <f aca="false">IF(N77=0, "NOT DELIVERED", IF(O77=0, "CLEARED", "PARTIALLY DELIVERED"))</f>
        <v>NOT DELIVERED</v>
      </c>
    </row>
    <row r="78" customFormat="false" ht="14.25" hidden="false" customHeight="true" outlineLevel="0" collapsed="false">
      <c r="A78" s="237" t="n">
        <v>73</v>
      </c>
      <c r="B78" s="238" t="s">
        <v>174</v>
      </c>
      <c r="C78" s="238" t="s">
        <v>2273</v>
      </c>
      <c r="D78" s="238" t="s">
        <v>2274</v>
      </c>
      <c r="E78" s="238" t="s">
        <v>2275</v>
      </c>
      <c r="F78" s="238" t="s">
        <v>1808</v>
      </c>
      <c r="G78" s="238" t="n">
        <v>50</v>
      </c>
      <c r="H78" s="240" t="n">
        <v>12979</v>
      </c>
      <c r="I78" s="238" t="s">
        <v>176</v>
      </c>
      <c r="J78" s="240" t="n">
        <v>12979</v>
      </c>
      <c r="K78" s="238" t="s">
        <v>25</v>
      </c>
      <c r="L78" s="240" t="n">
        <v>12979</v>
      </c>
      <c r="M78" s="238" t="n">
        <v>38.17</v>
      </c>
      <c r="N78" s="241" t="n">
        <v>0</v>
      </c>
      <c r="O78" s="238" t="n">
        <f aca="false">'INPUT DEBT'!$M78-'INPUT DEBT'!$N78</f>
        <v>38.17</v>
      </c>
      <c r="P78" s="239" t="str">
        <f aca="false">IF(N78=0, "NOT DELIVERED", IF(O78=0, "CLEARED", "PARTIALLY DELIVERED"))</f>
        <v>NOT DELIVERED</v>
      </c>
    </row>
    <row r="79" customFormat="false" ht="14.25" hidden="false" customHeight="true" outlineLevel="0" collapsed="false">
      <c r="A79" s="242" t="n">
        <v>74</v>
      </c>
      <c r="B79" s="243" t="s">
        <v>174</v>
      </c>
      <c r="C79" s="243" t="s">
        <v>2276</v>
      </c>
      <c r="D79" s="243" t="s">
        <v>2277</v>
      </c>
      <c r="E79" s="243" t="s">
        <v>2278</v>
      </c>
      <c r="F79" s="243" t="s">
        <v>1808</v>
      </c>
      <c r="G79" s="243" t="n">
        <v>40</v>
      </c>
      <c r="H79" s="244" t="n">
        <v>25533</v>
      </c>
      <c r="I79" s="243" t="s">
        <v>176</v>
      </c>
      <c r="J79" s="244" t="n">
        <v>25533</v>
      </c>
      <c r="K79" s="243" t="s">
        <v>25</v>
      </c>
      <c r="L79" s="244" t="n">
        <v>25533</v>
      </c>
      <c r="M79" s="243" t="n">
        <v>75.1</v>
      </c>
      <c r="N79" s="246" t="n">
        <v>0</v>
      </c>
      <c r="O79" s="238" t="n">
        <f aca="false">'INPUT DEBT'!$M79-'INPUT DEBT'!$N79</f>
        <v>75.1</v>
      </c>
      <c r="P79" s="239" t="str">
        <f aca="false">IF(N79=0, "NOT DELIVERED", IF(O79=0, "CLEARED", "PARTIALLY DELIVERED"))</f>
        <v>NOT DELIVERED</v>
      </c>
    </row>
    <row r="80" customFormat="false" ht="14.25" hidden="false" customHeight="true" outlineLevel="0" collapsed="false">
      <c r="A80" s="237" t="n">
        <v>75</v>
      </c>
      <c r="B80" s="238" t="s">
        <v>174</v>
      </c>
      <c r="C80" s="238" t="s">
        <v>2276</v>
      </c>
      <c r="D80" s="238" t="s">
        <v>2279</v>
      </c>
      <c r="E80" s="238" t="s">
        <v>2280</v>
      </c>
      <c r="F80" s="238" t="s">
        <v>1808</v>
      </c>
      <c r="G80" s="238" t="n">
        <v>60</v>
      </c>
      <c r="H80" s="240" t="n">
        <v>24614</v>
      </c>
      <c r="I80" s="238" t="s">
        <v>176</v>
      </c>
      <c r="J80" s="240" t="n">
        <v>24614</v>
      </c>
      <c r="K80" s="238" t="s">
        <v>25</v>
      </c>
      <c r="L80" s="240" t="n">
        <v>24614</v>
      </c>
      <c r="M80" s="238" t="n">
        <v>72.39</v>
      </c>
      <c r="N80" s="241" t="n">
        <v>0</v>
      </c>
      <c r="O80" s="238" t="n">
        <f aca="false">'INPUT DEBT'!$M80-'INPUT DEBT'!$N80</f>
        <v>72.39</v>
      </c>
      <c r="P80" s="239" t="str">
        <f aca="false">IF(N80=0, "NOT DELIVERED", IF(O80=0, "CLEARED", "PARTIALLY DELIVERED"))</f>
        <v>NOT DELIVERED</v>
      </c>
    </row>
    <row r="81" customFormat="false" ht="14.25" hidden="false" customHeight="true" outlineLevel="0" collapsed="false">
      <c r="A81" s="242" t="n">
        <v>76</v>
      </c>
      <c r="B81" s="243" t="s">
        <v>174</v>
      </c>
      <c r="C81" s="243" t="s">
        <v>2281</v>
      </c>
      <c r="D81" s="243" t="s">
        <v>2282</v>
      </c>
      <c r="E81" s="243" t="s">
        <v>2283</v>
      </c>
      <c r="F81" s="243" t="s">
        <v>1808</v>
      </c>
      <c r="G81" s="243" t="n">
        <v>40</v>
      </c>
      <c r="H81" s="244" t="n">
        <v>14152</v>
      </c>
      <c r="I81" s="244" t="n">
        <v>3026</v>
      </c>
      <c r="J81" s="244" t="n">
        <v>11125</v>
      </c>
      <c r="K81" s="243" t="s">
        <v>25</v>
      </c>
      <c r="L81" s="244" t="n">
        <v>11125</v>
      </c>
      <c r="M81" s="243" t="n">
        <v>41.62</v>
      </c>
      <c r="N81" s="246" t="n">
        <v>8.3</v>
      </c>
      <c r="O81" s="238" t="n">
        <f aca="false">'INPUT DEBT'!$M81-'INPUT DEBT'!$N81</f>
        <v>33.32</v>
      </c>
      <c r="P81" s="239" t="str">
        <f aca="false">IF(N81=0, "NOT DELIVERED", IF(O81=0, "CLEARED", "PARTIALLY DELIVERED"))</f>
        <v>PARTIALLY DELIVERED</v>
      </c>
    </row>
    <row r="82" customFormat="false" ht="14.25" hidden="false" customHeight="true" outlineLevel="0" collapsed="false">
      <c r="A82" s="237" t="n">
        <v>77</v>
      </c>
      <c r="B82" s="238" t="s">
        <v>174</v>
      </c>
      <c r="C82" s="238" t="s">
        <v>2284</v>
      </c>
      <c r="D82" s="238" t="s">
        <v>2285</v>
      </c>
      <c r="E82" s="238" t="s">
        <v>2286</v>
      </c>
      <c r="F82" s="238" t="s">
        <v>1808</v>
      </c>
      <c r="G82" s="238" t="n">
        <v>120</v>
      </c>
      <c r="H82" s="240" t="n">
        <v>31501</v>
      </c>
      <c r="I82" s="240" t="n">
        <v>2590</v>
      </c>
      <c r="J82" s="240" t="n">
        <v>28911</v>
      </c>
      <c r="K82" s="238" t="s">
        <v>25</v>
      </c>
      <c r="L82" s="240" t="n">
        <v>28911</v>
      </c>
      <c r="M82" s="238" t="n">
        <v>92.65</v>
      </c>
      <c r="N82" s="241" t="n">
        <v>7.1</v>
      </c>
      <c r="O82" s="238" t="n">
        <f aca="false">'INPUT DEBT'!$M82-'INPUT DEBT'!$N82</f>
        <v>85.55</v>
      </c>
      <c r="P82" s="239" t="str">
        <f aca="false">IF(N82=0, "NOT DELIVERED", IF(O82=0, "CLEARED", "PARTIALLY DELIVERED"))</f>
        <v>PARTIALLY DELIVERED</v>
      </c>
    </row>
    <row r="83" customFormat="false" ht="14.25" hidden="false" customHeight="true" outlineLevel="0" collapsed="false">
      <c r="A83" s="242" t="n">
        <v>78</v>
      </c>
      <c r="B83" s="243" t="s">
        <v>174</v>
      </c>
      <c r="C83" s="243" t="s">
        <v>2287</v>
      </c>
      <c r="D83" s="243" t="s">
        <v>1636</v>
      </c>
      <c r="E83" s="243" t="s">
        <v>2288</v>
      </c>
      <c r="F83" s="243" t="s">
        <v>1808</v>
      </c>
      <c r="G83" s="243" t="n">
        <v>20</v>
      </c>
      <c r="H83" s="243" t="s">
        <v>2116</v>
      </c>
      <c r="I83" s="243" t="s">
        <v>176</v>
      </c>
      <c r="J83" s="243" t="s">
        <v>176</v>
      </c>
      <c r="K83" s="243" t="s">
        <v>25</v>
      </c>
      <c r="L83" s="243" t="s">
        <v>176</v>
      </c>
      <c r="M83" s="243" t="n">
        <v>0</v>
      </c>
      <c r="N83" s="246" t="n">
        <v>0</v>
      </c>
      <c r="O83" s="238" t="n">
        <f aca="false">'INPUT DEBT'!$M83-'INPUT DEBT'!$N83</f>
        <v>0</v>
      </c>
      <c r="P83" s="239" t="s">
        <v>2117</v>
      </c>
    </row>
    <row r="84" customFormat="false" ht="14.25" hidden="false" customHeight="true" outlineLevel="0" collapsed="false">
      <c r="A84" s="237" t="n">
        <v>79</v>
      </c>
      <c r="B84" s="238" t="s">
        <v>174</v>
      </c>
      <c r="C84" s="238" t="s">
        <v>2289</v>
      </c>
      <c r="D84" s="238" t="s">
        <v>2290</v>
      </c>
      <c r="E84" s="238" t="s">
        <v>2291</v>
      </c>
      <c r="F84" s="238" t="s">
        <v>1808</v>
      </c>
      <c r="G84" s="238" t="n">
        <v>30</v>
      </c>
      <c r="H84" s="240" t="n">
        <v>7605</v>
      </c>
      <c r="I84" s="238" t="s">
        <v>176</v>
      </c>
      <c r="J84" s="240" t="n">
        <v>7605</v>
      </c>
      <c r="K84" s="238" t="s">
        <v>25</v>
      </c>
      <c r="L84" s="240" t="n">
        <v>7605</v>
      </c>
      <c r="M84" s="238" t="n">
        <v>22.37</v>
      </c>
      <c r="N84" s="241" t="n">
        <v>0</v>
      </c>
      <c r="O84" s="238" t="n">
        <f aca="false">'INPUT DEBT'!$M84-'INPUT DEBT'!$N84</f>
        <v>22.37</v>
      </c>
      <c r="P84" s="239" t="str">
        <f aca="false">IF(N84=0, "NOT DELIVERED", IF(O84=0, "CLEARED", "PARTIALLY DELIVERED"))</f>
        <v>NOT DELIVERED</v>
      </c>
    </row>
    <row r="85" customFormat="false" ht="14.25" hidden="false" customHeight="true" outlineLevel="0" collapsed="false">
      <c r="A85" s="242" t="n">
        <v>80</v>
      </c>
      <c r="B85" s="243" t="s">
        <v>174</v>
      </c>
      <c r="C85" s="243" t="s">
        <v>2292</v>
      </c>
      <c r="D85" s="243" t="s">
        <v>2293</v>
      </c>
      <c r="E85" s="243" t="s">
        <v>2294</v>
      </c>
      <c r="F85" s="243" t="s">
        <v>1808</v>
      </c>
      <c r="G85" s="243" t="n">
        <v>30</v>
      </c>
      <c r="H85" s="244" t="n">
        <v>6589</v>
      </c>
      <c r="I85" s="244" t="n">
        <v>2432</v>
      </c>
      <c r="J85" s="244" t="n">
        <v>4157</v>
      </c>
      <c r="K85" s="243" t="s">
        <v>25</v>
      </c>
      <c r="L85" s="244" t="n">
        <v>4157</v>
      </c>
      <c r="M85" s="243" t="n">
        <v>19.38</v>
      </c>
      <c r="N85" s="246" t="n">
        <v>6.67</v>
      </c>
      <c r="O85" s="238" t="n">
        <f aca="false">'INPUT DEBT'!$M85-'INPUT DEBT'!$N85</f>
        <v>12.71</v>
      </c>
      <c r="P85" s="239" t="str">
        <f aca="false">IF(N85=0, "NOT DELIVERED", IF(O85=0, "CLEARED", "PARTIALLY DELIVERED"))</f>
        <v>PARTIALLY DELIVERED</v>
      </c>
    </row>
    <row r="86" customFormat="false" ht="14.25" hidden="false" customHeight="true" outlineLevel="0" collapsed="false">
      <c r="A86" s="237" t="n">
        <v>81</v>
      </c>
      <c r="B86" s="238" t="s">
        <v>174</v>
      </c>
      <c r="C86" s="238" t="s">
        <v>2295</v>
      </c>
      <c r="D86" s="238" t="s">
        <v>2296</v>
      </c>
      <c r="E86" s="238" t="s">
        <v>2297</v>
      </c>
      <c r="F86" s="238" t="s">
        <v>1808</v>
      </c>
      <c r="G86" s="238" t="n">
        <v>50</v>
      </c>
      <c r="H86" s="240" t="n">
        <v>10322</v>
      </c>
      <c r="I86" s="240" t="n">
        <v>13884</v>
      </c>
      <c r="J86" s="240" t="n">
        <v>-3562</v>
      </c>
      <c r="K86" s="238" t="s">
        <v>25</v>
      </c>
      <c r="L86" s="240" t="n">
        <v>-3562</v>
      </c>
      <c r="M86" s="238" t="n">
        <v>30.36</v>
      </c>
      <c r="N86" s="241" t="n">
        <v>38.07</v>
      </c>
      <c r="O86" s="238" t="n">
        <f aca="false">'INPUT DEBT'!$M86-'INPUT DEBT'!$N86</f>
        <v>-7.71</v>
      </c>
      <c r="P86" s="239" t="s">
        <v>2117</v>
      </c>
    </row>
    <row r="87" customFormat="false" ht="14.25" hidden="false" customHeight="true" outlineLevel="0" collapsed="false">
      <c r="A87" s="242" t="n">
        <v>82</v>
      </c>
      <c r="B87" s="243" t="s">
        <v>174</v>
      </c>
      <c r="C87" s="243" t="s">
        <v>2298</v>
      </c>
      <c r="D87" s="243" t="s">
        <v>2299</v>
      </c>
      <c r="E87" s="243" t="s">
        <v>2300</v>
      </c>
      <c r="F87" s="243" t="s">
        <v>1808</v>
      </c>
      <c r="G87" s="243" t="n">
        <v>40</v>
      </c>
      <c r="H87" s="244" t="n">
        <v>15302</v>
      </c>
      <c r="I87" s="244" t="n">
        <v>13178</v>
      </c>
      <c r="J87" s="244" t="n">
        <v>2124</v>
      </c>
      <c r="K87" s="243" t="s">
        <v>25</v>
      </c>
      <c r="L87" s="244" t="n">
        <v>2124</v>
      </c>
      <c r="M87" s="243" t="n">
        <v>45.01</v>
      </c>
      <c r="N87" s="246" t="n">
        <v>36.13</v>
      </c>
      <c r="O87" s="238" t="n">
        <f aca="false">'INPUT DEBT'!$M87-'INPUT DEBT'!$N87</f>
        <v>8.88</v>
      </c>
      <c r="P87" s="239" t="str">
        <f aca="false">IF(N87=0, "NOT DELIVERED", IF(O87=0, "CLEARED", "PARTIALLY DELIVERED"))</f>
        <v>PARTIALLY DELIVERED</v>
      </c>
    </row>
    <row r="88" customFormat="false" ht="14.25" hidden="false" customHeight="true" outlineLevel="0" collapsed="false">
      <c r="A88" s="237" t="n">
        <v>83</v>
      </c>
      <c r="B88" s="238" t="s">
        <v>174</v>
      </c>
      <c r="C88" s="238" t="s">
        <v>2301</v>
      </c>
      <c r="D88" s="238" t="s">
        <v>2302</v>
      </c>
      <c r="E88" s="238" t="s">
        <v>2303</v>
      </c>
      <c r="F88" s="238" t="s">
        <v>1808</v>
      </c>
      <c r="G88" s="238" t="n">
        <v>40</v>
      </c>
      <c r="H88" s="240" t="n">
        <v>8472</v>
      </c>
      <c r="I88" s="238" t="s">
        <v>176</v>
      </c>
      <c r="J88" s="240" t="n">
        <v>8472</v>
      </c>
      <c r="K88" s="238" t="s">
        <v>25</v>
      </c>
      <c r="L88" s="240" t="n">
        <v>8472</v>
      </c>
      <c r="M88" s="238" t="n">
        <v>24.92</v>
      </c>
      <c r="N88" s="241" t="n">
        <v>2.04</v>
      </c>
      <c r="O88" s="238" t="n">
        <f aca="false">'INPUT DEBT'!$M88-'INPUT DEBT'!$N88</f>
        <v>22.88</v>
      </c>
      <c r="P88" s="239" t="str">
        <f aca="false">IF(N88=0, "NOT DELIVERED", IF(O88=0, "CLEARED", "PARTIALLY DELIVERED"))</f>
        <v>PARTIALLY DELIVERED</v>
      </c>
    </row>
    <row r="89" customFormat="false" ht="14.25" hidden="false" customHeight="true" outlineLevel="0" collapsed="false">
      <c r="A89" s="242" t="n">
        <v>84</v>
      </c>
      <c r="B89" s="243" t="s">
        <v>174</v>
      </c>
      <c r="C89" s="243" t="s">
        <v>2304</v>
      </c>
      <c r="D89" s="243" t="s">
        <v>1637</v>
      </c>
      <c r="E89" s="243" t="s">
        <v>2305</v>
      </c>
      <c r="F89" s="243" t="s">
        <v>1808</v>
      </c>
      <c r="G89" s="243" t="n">
        <v>20</v>
      </c>
      <c r="H89" s="243" t="s">
        <v>2116</v>
      </c>
      <c r="I89" s="243" t="s">
        <v>176</v>
      </c>
      <c r="J89" s="243" t="s">
        <v>176</v>
      </c>
      <c r="K89" s="243" t="s">
        <v>25</v>
      </c>
      <c r="L89" s="243" t="s">
        <v>176</v>
      </c>
      <c r="M89" s="243" t="n">
        <v>0</v>
      </c>
      <c r="N89" s="246" t="n">
        <v>0</v>
      </c>
      <c r="O89" s="238" t="n">
        <f aca="false">'INPUT DEBT'!$M89-'INPUT DEBT'!$N89</f>
        <v>0</v>
      </c>
      <c r="P89" s="239" t="s">
        <v>2117</v>
      </c>
    </row>
    <row r="90" customFormat="false" ht="14.25" hidden="false" customHeight="true" outlineLevel="0" collapsed="false">
      <c r="A90" s="237" t="n">
        <v>85</v>
      </c>
      <c r="B90" s="238" t="s">
        <v>174</v>
      </c>
      <c r="C90" s="238" t="s">
        <v>2306</v>
      </c>
      <c r="D90" s="238" t="s">
        <v>2307</v>
      </c>
      <c r="E90" s="238" t="s">
        <v>2308</v>
      </c>
      <c r="F90" s="238" t="s">
        <v>1808</v>
      </c>
      <c r="G90" s="238" t="n">
        <v>40</v>
      </c>
      <c r="H90" s="240" t="n">
        <v>7129</v>
      </c>
      <c r="I90" s="238" t="s">
        <v>176</v>
      </c>
      <c r="J90" s="240" t="n">
        <v>7129</v>
      </c>
      <c r="K90" s="238" t="s">
        <v>25</v>
      </c>
      <c r="L90" s="240" t="n">
        <v>7129</v>
      </c>
      <c r="M90" s="238" t="n">
        <v>20.97</v>
      </c>
      <c r="N90" s="241" t="n">
        <v>0</v>
      </c>
      <c r="O90" s="238" t="n">
        <f aca="false">'INPUT DEBT'!$M90-'INPUT DEBT'!$N90</f>
        <v>20.97</v>
      </c>
      <c r="P90" s="239" t="str">
        <f aca="false">IF(N90=0, "NOT DELIVERED", IF(O90=0, "CLEARED", "PARTIALLY DELIVERED"))</f>
        <v>NOT DELIVERED</v>
      </c>
    </row>
    <row r="91" customFormat="false" ht="14.25" hidden="false" customHeight="true" outlineLevel="0" collapsed="false">
      <c r="A91" s="242" t="n">
        <v>86</v>
      </c>
      <c r="B91" s="243" t="s">
        <v>174</v>
      </c>
      <c r="C91" s="243" t="s">
        <v>2309</v>
      </c>
      <c r="D91" s="243" t="s">
        <v>2310</v>
      </c>
      <c r="E91" s="243" t="s">
        <v>2311</v>
      </c>
      <c r="F91" s="243" t="s">
        <v>1808</v>
      </c>
      <c r="G91" s="243" t="n">
        <v>80</v>
      </c>
      <c r="H91" s="244" t="n">
        <v>26057</v>
      </c>
      <c r="I91" s="244" t="n">
        <v>20462</v>
      </c>
      <c r="J91" s="244" t="n">
        <v>5594</v>
      </c>
      <c r="K91" s="243" t="s">
        <v>25</v>
      </c>
      <c r="L91" s="244" t="n">
        <v>5594</v>
      </c>
      <c r="M91" s="243" t="n">
        <v>76.64</v>
      </c>
      <c r="N91" s="246" t="n">
        <v>56.1</v>
      </c>
      <c r="O91" s="238" t="n">
        <f aca="false">'INPUT DEBT'!$M91-'INPUT DEBT'!$N91</f>
        <v>20.54</v>
      </c>
      <c r="P91" s="239" t="str">
        <f aca="false">IF(N91=0, "NOT DELIVERED", IF(O91=0, "CLEARED", "PARTIALLY DELIVERED"))</f>
        <v>PARTIALLY DELIVERED</v>
      </c>
    </row>
    <row r="92" customFormat="false" ht="14.25" hidden="false" customHeight="true" outlineLevel="0" collapsed="false">
      <c r="A92" s="237" t="n">
        <v>87</v>
      </c>
      <c r="B92" s="238" t="s">
        <v>174</v>
      </c>
      <c r="C92" s="238" t="s">
        <v>2312</v>
      </c>
      <c r="D92" s="238" t="s">
        <v>2313</v>
      </c>
      <c r="E92" s="238" t="s">
        <v>2314</v>
      </c>
      <c r="F92" s="238" t="s">
        <v>1808</v>
      </c>
      <c r="G92" s="238" t="n">
        <v>10</v>
      </c>
      <c r="H92" s="240" t="n">
        <v>3944</v>
      </c>
      <c r="I92" s="238" t="s">
        <v>176</v>
      </c>
      <c r="J92" s="240" t="n">
        <v>3944</v>
      </c>
      <c r="K92" s="240" t="n">
        <v>4505</v>
      </c>
      <c r="L92" s="238" t="n">
        <v>-561</v>
      </c>
      <c r="M92" s="238" t="n">
        <v>11.6</v>
      </c>
      <c r="N92" s="241" t="n">
        <v>0</v>
      </c>
      <c r="O92" s="238" t="n">
        <f aca="false">'INPUT DEBT'!$M92-'INPUT DEBT'!$N92</f>
        <v>11.6</v>
      </c>
      <c r="P92" s="239" t="str">
        <f aca="false">IF(N92=0, "NOT DELIVERED", IF(O92=0, "CLEARED", "PARTIALLY DELIVERED"))</f>
        <v>NOT DELIVERED</v>
      </c>
    </row>
    <row r="93" customFormat="false" ht="14.25" hidden="false" customHeight="true" outlineLevel="0" collapsed="false">
      <c r="A93" s="242" t="n">
        <v>88</v>
      </c>
      <c r="B93" s="243" t="s">
        <v>174</v>
      </c>
      <c r="C93" s="243" t="s">
        <v>2315</v>
      </c>
      <c r="D93" s="243" t="s">
        <v>2316</v>
      </c>
      <c r="E93" s="243" t="s">
        <v>2317</v>
      </c>
      <c r="F93" s="243" t="s">
        <v>1808</v>
      </c>
      <c r="G93" s="243" t="n">
        <v>30</v>
      </c>
      <c r="H93" s="244" t="n">
        <v>11846</v>
      </c>
      <c r="I93" s="244" t="n">
        <v>7944</v>
      </c>
      <c r="J93" s="244" t="n">
        <v>3902</v>
      </c>
      <c r="K93" s="243" t="s">
        <v>25</v>
      </c>
      <c r="L93" s="244" t="n">
        <v>3902</v>
      </c>
      <c r="M93" s="243" t="n">
        <v>34.84</v>
      </c>
      <c r="N93" s="246" t="n">
        <v>21.78</v>
      </c>
      <c r="O93" s="238" t="n">
        <f aca="false">'INPUT DEBT'!$M93-'INPUT DEBT'!$N93</f>
        <v>13.06</v>
      </c>
      <c r="P93" s="239" t="str">
        <f aca="false">IF(N93=0, "NOT DELIVERED", IF(O93=0, "CLEARED", "PARTIALLY DELIVERED"))</f>
        <v>PARTIALLY DELIVERED</v>
      </c>
    </row>
    <row r="94" customFormat="false" ht="14.25" hidden="false" customHeight="true" outlineLevel="0" collapsed="false">
      <c r="A94" s="237" t="n">
        <v>89</v>
      </c>
      <c r="B94" s="238" t="s">
        <v>174</v>
      </c>
      <c r="C94" s="238" t="s">
        <v>2318</v>
      </c>
      <c r="D94" s="238" t="s">
        <v>2319</v>
      </c>
      <c r="E94" s="238" t="s">
        <v>2320</v>
      </c>
      <c r="F94" s="238" t="s">
        <v>1808</v>
      </c>
      <c r="G94" s="238" t="n">
        <v>30</v>
      </c>
      <c r="H94" s="240" t="n">
        <v>3099</v>
      </c>
      <c r="I94" s="238" t="s">
        <v>176</v>
      </c>
      <c r="J94" s="240" t="n">
        <v>3099</v>
      </c>
      <c r="K94" s="238" t="s">
        <v>25</v>
      </c>
      <c r="L94" s="240" t="n">
        <v>3099</v>
      </c>
      <c r="M94" s="238" t="n">
        <v>9.11</v>
      </c>
      <c r="N94" s="241" t="n">
        <v>0</v>
      </c>
      <c r="O94" s="238" t="n">
        <f aca="false">'INPUT DEBT'!$M94-'INPUT DEBT'!$N94</f>
        <v>9.11</v>
      </c>
      <c r="P94" s="239" t="str">
        <f aca="false">IF(N94=0, "NOT DELIVERED", IF(O94=0, "CLEARED", "PARTIALLY DELIVERED"))</f>
        <v>NOT DELIVERED</v>
      </c>
    </row>
    <row r="95" customFormat="false" ht="14.25" hidden="false" customHeight="true" outlineLevel="0" collapsed="false">
      <c r="A95" s="242" t="n">
        <v>90</v>
      </c>
      <c r="B95" s="243" t="s">
        <v>174</v>
      </c>
      <c r="C95" s="243" t="s">
        <v>2321</v>
      </c>
      <c r="D95" s="243" t="s">
        <v>2322</v>
      </c>
      <c r="E95" s="243" t="s">
        <v>2323</v>
      </c>
      <c r="F95" s="243" t="s">
        <v>1808</v>
      </c>
      <c r="G95" s="243" t="n">
        <v>30</v>
      </c>
      <c r="H95" s="244" t="n">
        <v>8219</v>
      </c>
      <c r="I95" s="243" t="s">
        <v>176</v>
      </c>
      <c r="J95" s="244" t="n">
        <v>8219</v>
      </c>
      <c r="K95" s="243" t="s">
        <v>25</v>
      </c>
      <c r="L95" s="244" t="n">
        <v>8219</v>
      </c>
      <c r="M95" s="243" t="n">
        <v>24.17</v>
      </c>
      <c r="N95" s="246" t="n">
        <v>0</v>
      </c>
      <c r="O95" s="238" t="n">
        <f aca="false">'INPUT DEBT'!$M95-'INPUT DEBT'!$N95</f>
        <v>24.17</v>
      </c>
      <c r="P95" s="239" t="str">
        <f aca="false">IF(N95=0, "NOT DELIVERED", IF(O95=0, "CLEARED", "PARTIALLY DELIVERED"))</f>
        <v>NOT DELIVERED</v>
      </c>
    </row>
    <row r="96" customFormat="false" ht="14.25" hidden="false" customHeight="true" outlineLevel="0" collapsed="false">
      <c r="A96" s="237" t="n">
        <v>91</v>
      </c>
      <c r="B96" s="238" t="s">
        <v>174</v>
      </c>
      <c r="C96" s="238" t="s">
        <v>2324</v>
      </c>
      <c r="D96" s="238" t="s">
        <v>2325</v>
      </c>
      <c r="E96" s="238" t="s">
        <v>2326</v>
      </c>
      <c r="F96" s="238" t="s">
        <v>1808</v>
      </c>
      <c r="G96" s="238" t="n">
        <v>10</v>
      </c>
      <c r="H96" s="240" t="n">
        <v>3812</v>
      </c>
      <c r="I96" s="238" t="s">
        <v>176</v>
      </c>
      <c r="J96" s="240" t="n">
        <v>3812</v>
      </c>
      <c r="K96" s="238" t="s">
        <v>25</v>
      </c>
      <c r="L96" s="240" t="n">
        <v>3812</v>
      </c>
      <c r="M96" s="238" t="n">
        <v>11.21</v>
      </c>
      <c r="N96" s="241" t="n">
        <v>5.04</v>
      </c>
      <c r="O96" s="238" t="n">
        <f aca="false">'INPUT DEBT'!$M96-'INPUT DEBT'!$N96</f>
        <v>6.17</v>
      </c>
      <c r="P96" s="239" t="str">
        <f aca="false">IF(N96=0, "NOT DELIVERED", IF(O96=0, "CLEARED", "PARTIALLY DELIVERED"))</f>
        <v>PARTIALLY DELIVERED</v>
      </c>
    </row>
    <row r="97" customFormat="false" ht="14.25" hidden="false" customHeight="true" outlineLevel="0" collapsed="false">
      <c r="A97" s="242" t="n">
        <v>92</v>
      </c>
      <c r="B97" s="243" t="s">
        <v>174</v>
      </c>
      <c r="C97" s="243" t="s">
        <v>2327</v>
      </c>
      <c r="D97" s="243" t="s">
        <v>2328</v>
      </c>
      <c r="E97" s="243" t="s">
        <v>2329</v>
      </c>
      <c r="F97" s="243" t="s">
        <v>1808</v>
      </c>
      <c r="G97" s="243" t="n">
        <v>100</v>
      </c>
      <c r="H97" s="244" t="n">
        <v>17219</v>
      </c>
      <c r="I97" s="244" t="n">
        <v>20069</v>
      </c>
      <c r="J97" s="244" t="n">
        <v>-2849</v>
      </c>
      <c r="K97" s="243" t="s">
        <v>25</v>
      </c>
      <c r="L97" s="244" t="n">
        <v>-2849</v>
      </c>
      <c r="M97" s="243" t="n">
        <v>50.64</v>
      </c>
      <c r="N97" s="246" t="n">
        <v>55.02</v>
      </c>
      <c r="O97" s="238" t="n">
        <f aca="false">'INPUT DEBT'!$M97-'INPUT DEBT'!$N97</f>
        <v>-4.38</v>
      </c>
      <c r="P97" s="239" t="s">
        <v>2117</v>
      </c>
    </row>
    <row r="98" customFormat="false" ht="14.25" hidden="false" customHeight="true" outlineLevel="0" collapsed="false">
      <c r="A98" s="237" t="n">
        <v>93</v>
      </c>
      <c r="B98" s="238" t="s">
        <v>174</v>
      </c>
      <c r="C98" s="238" t="s">
        <v>2330</v>
      </c>
      <c r="D98" s="238" t="s">
        <v>2331</v>
      </c>
      <c r="E98" s="238" t="s">
        <v>2332</v>
      </c>
      <c r="F98" s="238" t="s">
        <v>1808</v>
      </c>
      <c r="G98" s="238" t="n">
        <v>20</v>
      </c>
      <c r="H98" s="240" t="n">
        <v>4569</v>
      </c>
      <c r="I98" s="238" t="s">
        <v>176</v>
      </c>
      <c r="J98" s="240" t="n">
        <v>4569</v>
      </c>
      <c r="K98" s="238" t="s">
        <v>25</v>
      </c>
      <c r="L98" s="240" t="n">
        <v>4569</v>
      </c>
      <c r="M98" s="238" t="n">
        <v>13.44</v>
      </c>
      <c r="N98" s="241" t="n">
        <v>0</v>
      </c>
      <c r="O98" s="238" t="n">
        <f aca="false">'INPUT DEBT'!$M98-'INPUT DEBT'!$N98</f>
        <v>13.44</v>
      </c>
      <c r="P98" s="239" t="str">
        <f aca="false">IF(N98=0, "NOT DELIVERED", IF(O98=0, "CLEARED", "PARTIALLY DELIVERED"))</f>
        <v>NOT DELIVERED</v>
      </c>
    </row>
    <row r="99" customFormat="false" ht="14.25" hidden="false" customHeight="true" outlineLevel="0" collapsed="false">
      <c r="A99" s="242" t="n">
        <v>94</v>
      </c>
      <c r="B99" s="243" t="s">
        <v>174</v>
      </c>
      <c r="C99" s="243" t="s">
        <v>2217</v>
      </c>
      <c r="D99" s="243" t="s">
        <v>2333</v>
      </c>
      <c r="E99" s="243" t="s">
        <v>2334</v>
      </c>
      <c r="F99" s="243" t="s">
        <v>1808</v>
      </c>
      <c r="G99" s="243" t="n">
        <v>20</v>
      </c>
      <c r="H99" s="244" t="n">
        <v>5852</v>
      </c>
      <c r="I99" s="243" t="s">
        <v>176</v>
      </c>
      <c r="J99" s="244" t="n">
        <v>5852</v>
      </c>
      <c r="K99" s="243" t="s">
        <v>25</v>
      </c>
      <c r="L99" s="244" t="n">
        <v>5852</v>
      </c>
      <c r="M99" s="243" t="n">
        <v>17.21</v>
      </c>
      <c r="N99" s="246" t="n">
        <v>0</v>
      </c>
      <c r="O99" s="238" t="n">
        <f aca="false">'INPUT DEBT'!$M99-'INPUT DEBT'!$N99</f>
        <v>17.21</v>
      </c>
      <c r="P99" s="239" t="str">
        <f aca="false">IF(N99=0, "NOT DELIVERED", IF(O99=0, "CLEARED", "PARTIALLY DELIVERED"))</f>
        <v>NOT DELIVERED</v>
      </c>
    </row>
    <row r="100" customFormat="false" ht="14.25" hidden="false" customHeight="true" outlineLevel="0" collapsed="false">
      <c r="A100" s="237" t="n">
        <v>95</v>
      </c>
      <c r="B100" s="238" t="s">
        <v>174</v>
      </c>
      <c r="C100" s="238" t="s">
        <v>1586</v>
      </c>
      <c r="D100" s="238" t="s">
        <v>2335</v>
      </c>
      <c r="E100" s="238" t="s">
        <v>2336</v>
      </c>
      <c r="F100" s="238" t="s">
        <v>1808</v>
      </c>
      <c r="G100" s="238" t="n">
        <v>20</v>
      </c>
      <c r="H100" s="240" t="n">
        <v>5877</v>
      </c>
      <c r="I100" s="238" t="s">
        <v>176</v>
      </c>
      <c r="J100" s="240" t="n">
        <v>5877</v>
      </c>
      <c r="K100" s="238" t="s">
        <v>25</v>
      </c>
      <c r="L100" s="240" t="n">
        <v>5877</v>
      </c>
      <c r="M100" s="238" t="n">
        <v>17.28</v>
      </c>
      <c r="N100" s="241" t="n">
        <v>0</v>
      </c>
      <c r="O100" s="238" t="n">
        <f aca="false">'INPUT DEBT'!$M100-'INPUT DEBT'!$N100</f>
        <v>17.28</v>
      </c>
      <c r="P100" s="239" t="str">
        <f aca="false">IF(N100=0, "NOT DELIVERED", IF(O100=0, "CLEARED", "PARTIALLY DELIVERED"))</f>
        <v>NOT DELIVERED</v>
      </c>
    </row>
    <row r="101" customFormat="false" ht="14.25" hidden="false" customHeight="true" outlineLevel="0" collapsed="false">
      <c r="A101" s="242" t="n">
        <v>96</v>
      </c>
      <c r="B101" s="243" t="s">
        <v>174</v>
      </c>
      <c r="C101" s="243" t="s">
        <v>2337</v>
      </c>
      <c r="D101" s="243" t="s">
        <v>2338</v>
      </c>
      <c r="E101" s="243" t="s">
        <v>2339</v>
      </c>
      <c r="F101" s="243" t="s">
        <v>1808</v>
      </c>
      <c r="G101" s="243" t="n">
        <v>40</v>
      </c>
      <c r="H101" s="244" t="n">
        <v>17906</v>
      </c>
      <c r="I101" s="244" t="n">
        <v>15057</v>
      </c>
      <c r="J101" s="244" t="n">
        <v>2850</v>
      </c>
      <c r="K101" s="243" t="s">
        <v>25</v>
      </c>
      <c r="L101" s="244" t="n">
        <v>2850</v>
      </c>
      <c r="M101" s="243" t="n">
        <v>52.67</v>
      </c>
      <c r="N101" s="246" t="n">
        <v>41.28</v>
      </c>
      <c r="O101" s="238" t="n">
        <f aca="false">'INPUT DEBT'!$M101-'INPUT DEBT'!$N101</f>
        <v>11.39</v>
      </c>
      <c r="P101" s="239" t="str">
        <f aca="false">IF(N101=0, "NOT DELIVERED", IF(O101=0, "CLEARED", "PARTIALLY DELIVERED"))</f>
        <v>PARTIALLY DELIVERED</v>
      </c>
    </row>
    <row r="102" customFormat="false" ht="14.25" hidden="false" customHeight="true" outlineLevel="0" collapsed="false">
      <c r="A102" s="237" t="n">
        <v>97</v>
      </c>
      <c r="B102" s="238" t="s">
        <v>174</v>
      </c>
      <c r="C102" s="238" t="s">
        <v>2340</v>
      </c>
      <c r="D102" s="238" t="s">
        <v>2341</v>
      </c>
      <c r="E102" s="238" t="s">
        <v>2342</v>
      </c>
      <c r="F102" s="238" t="s">
        <v>1808</v>
      </c>
      <c r="G102" s="238" t="n">
        <v>20</v>
      </c>
      <c r="H102" s="238" t="n">
        <v>546</v>
      </c>
      <c r="I102" s="238" t="s">
        <v>176</v>
      </c>
      <c r="J102" s="238" t="n">
        <v>546</v>
      </c>
      <c r="K102" s="238" t="s">
        <v>25</v>
      </c>
      <c r="L102" s="238" t="n">
        <v>546</v>
      </c>
      <c r="M102" s="238" t="n">
        <v>1.61</v>
      </c>
      <c r="N102" s="241" t="n">
        <v>0</v>
      </c>
      <c r="O102" s="238" t="n">
        <f aca="false">'INPUT DEBT'!$M102-'INPUT DEBT'!$N102</f>
        <v>1.61</v>
      </c>
      <c r="P102" s="239" t="str">
        <f aca="false">IF(N102=0, "NOT DELIVERED", IF(O102=0, "CLEARED", "PARTIALLY DELIVERED"))</f>
        <v>NOT DELIVERED</v>
      </c>
    </row>
    <row r="103" customFormat="false" ht="14.25" hidden="false" customHeight="true" outlineLevel="0" collapsed="false">
      <c r="A103" s="242" t="n">
        <v>98</v>
      </c>
      <c r="B103" s="243" t="s">
        <v>174</v>
      </c>
      <c r="C103" s="243" t="s">
        <v>2343</v>
      </c>
      <c r="D103" s="243" t="s">
        <v>2344</v>
      </c>
      <c r="E103" s="243" t="s">
        <v>2345</v>
      </c>
      <c r="F103" s="243" t="s">
        <v>1808</v>
      </c>
      <c r="G103" s="243" t="n">
        <v>80</v>
      </c>
      <c r="H103" s="244" t="n">
        <v>13717</v>
      </c>
      <c r="I103" s="244" t="n">
        <v>11563</v>
      </c>
      <c r="J103" s="244" t="n">
        <v>2154</v>
      </c>
      <c r="K103" s="243" t="s">
        <v>25</v>
      </c>
      <c r="L103" s="244" t="n">
        <v>2154</v>
      </c>
      <c r="M103" s="243" t="n">
        <v>40.34</v>
      </c>
      <c r="N103" s="246" t="n">
        <v>31.7</v>
      </c>
      <c r="O103" s="238" t="n">
        <f aca="false">'INPUT DEBT'!$M103-'INPUT DEBT'!$N103</f>
        <v>8.64</v>
      </c>
      <c r="P103" s="239" t="str">
        <f aca="false">IF(N103=0, "NOT DELIVERED", IF(O103=0, "CLEARED", "PARTIALLY DELIVERED"))</f>
        <v>PARTIALLY DELIVERED</v>
      </c>
    </row>
    <row r="104" customFormat="false" ht="14.25" hidden="false" customHeight="true" outlineLevel="0" collapsed="false">
      <c r="A104" s="237" t="n">
        <v>99</v>
      </c>
      <c r="B104" s="238" t="s">
        <v>174</v>
      </c>
      <c r="C104" s="238" t="s">
        <v>2346</v>
      </c>
      <c r="D104" s="238" t="s">
        <v>2347</v>
      </c>
      <c r="E104" s="238" t="s">
        <v>2348</v>
      </c>
      <c r="F104" s="238" t="s">
        <v>1808</v>
      </c>
      <c r="G104" s="238" t="n">
        <v>20</v>
      </c>
      <c r="H104" s="240" t="n">
        <v>4916</v>
      </c>
      <c r="I104" s="238" t="s">
        <v>176</v>
      </c>
      <c r="J104" s="240" t="n">
        <v>4916</v>
      </c>
      <c r="K104" s="238" t="s">
        <v>25</v>
      </c>
      <c r="L104" s="240" t="n">
        <v>4916</v>
      </c>
      <c r="M104" s="238" t="n">
        <v>14.46</v>
      </c>
      <c r="N104" s="241" t="n">
        <v>0</v>
      </c>
      <c r="O104" s="238" t="n">
        <f aca="false">'INPUT DEBT'!$M104-'INPUT DEBT'!$N104</f>
        <v>14.46</v>
      </c>
      <c r="P104" s="239" t="str">
        <f aca="false">IF(N104=0, "NOT DELIVERED", IF(O104=0, "CLEARED", "PARTIALLY DELIVERED"))</f>
        <v>NOT DELIVERED</v>
      </c>
    </row>
    <row r="105" customFormat="false" ht="14.25" hidden="false" customHeight="true" outlineLevel="0" collapsed="false">
      <c r="A105" s="242" t="n">
        <v>100</v>
      </c>
      <c r="B105" s="243" t="s">
        <v>174</v>
      </c>
      <c r="C105" s="243" t="s">
        <v>2349</v>
      </c>
      <c r="D105" s="243" t="s">
        <v>2350</v>
      </c>
      <c r="E105" s="243" t="s">
        <v>2351</v>
      </c>
      <c r="F105" s="243" t="s">
        <v>1808</v>
      </c>
      <c r="G105" s="243" t="n">
        <v>20</v>
      </c>
      <c r="H105" s="244" t="n">
        <v>6728</v>
      </c>
      <c r="I105" s="243" t="s">
        <v>176</v>
      </c>
      <c r="J105" s="244" t="n">
        <v>6728</v>
      </c>
      <c r="K105" s="243" t="s">
        <v>25</v>
      </c>
      <c r="L105" s="244" t="n">
        <v>6728</v>
      </c>
      <c r="M105" s="243" t="n">
        <v>19.79</v>
      </c>
      <c r="N105" s="246" t="n">
        <v>0</v>
      </c>
      <c r="O105" s="238" t="n">
        <f aca="false">'INPUT DEBT'!$M105-'INPUT DEBT'!$N105</f>
        <v>19.79</v>
      </c>
      <c r="P105" s="239" t="str">
        <f aca="false">IF(N105=0, "NOT DELIVERED", IF(O105=0, "CLEARED", "PARTIALLY DELIVERED"))</f>
        <v>NOT DELIVERED</v>
      </c>
    </row>
    <row r="106" customFormat="false" ht="14.25" hidden="false" customHeight="true" outlineLevel="0" collapsed="false">
      <c r="A106" s="237" t="n">
        <v>101</v>
      </c>
      <c r="B106" s="238" t="s">
        <v>174</v>
      </c>
      <c r="C106" s="238" t="s">
        <v>2352</v>
      </c>
      <c r="D106" s="238" t="s">
        <v>2353</v>
      </c>
      <c r="E106" s="238" t="s">
        <v>2354</v>
      </c>
      <c r="F106" s="238" t="s">
        <v>1808</v>
      </c>
      <c r="G106" s="238" t="n">
        <v>40</v>
      </c>
      <c r="H106" s="240" t="n">
        <v>16480</v>
      </c>
      <c r="I106" s="238" t="s">
        <v>176</v>
      </c>
      <c r="J106" s="240" t="n">
        <v>16480</v>
      </c>
      <c r="K106" s="238" t="s">
        <v>25</v>
      </c>
      <c r="L106" s="240" t="n">
        <v>16480</v>
      </c>
      <c r="M106" s="238" t="n">
        <v>48.47</v>
      </c>
      <c r="N106" s="241" t="n">
        <v>0</v>
      </c>
      <c r="O106" s="238" t="n">
        <f aca="false">'INPUT DEBT'!$M106-'INPUT DEBT'!$N106</f>
        <v>48.47</v>
      </c>
      <c r="P106" s="239" t="str">
        <f aca="false">IF(N106=0, "NOT DELIVERED", IF(O106=0, "CLEARED", "PARTIALLY DELIVERED"))</f>
        <v>NOT DELIVERED</v>
      </c>
    </row>
    <row r="107" customFormat="false" ht="14.25" hidden="false" customHeight="true" outlineLevel="0" collapsed="false">
      <c r="A107" s="242" t="n">
        <v>102</v>
      </c>
      <c r="B107" s="243" t="s">
        <v>174</v>
      </c>
      <c r="C107" s="243" t="s">
        <v>2355</v>
      </c>
      <c r="D107" s="243" t="s">
        <v>2356</v>
      </c>
      <c r="E107" s="243" t="s">
        <v>2357</v>
      </c>
      <c r="F107" s="243" t="s">
        <v>1808</v>
      </c>
      <c r="G107" s="243" t="n">
        <v>30</v>
      </c>
      <c r="H107" s="244" t="n">
        <v>5638</v>
      </c>
      <c r="I107" s="243" t="s">
        <v>176</v>
      </c>
      <c r="J107" s="244" t="n">
        <v>5638</v>
      </c>
      <c r="K107" s="243" t="s">
        <v>25</v>
      </c>
      <c r="L107" s="244" t="n">
        <v>5638</v>
      </c>
      <c r="M107" s="243" t="n">
        <v>16.58</v>
      </c>
      <c r="N107" s="246" t="n">
        <v>0</v>
      </c>
      <c r="O107" s="238" t="n">
        <f aca="false">'INPUT DEBT'!$M107-'INPUT DEBT'!$N107</f>
        <v>16.58</v>
      </c>
      <c r="P107" s="239" t="str">
        <f aca="false">IF(N107=0, "NOT DELIVERED", IF(O107=0, "CLEARED", "PARTIALLY DELIVERED"))</f>
        <v>NOT DELIVERED</v>
      </c>
    </row>
    <row r="108" customFormat="false" ht="14.25" hidden="false" customHeight="true" outlineLevel="0" collapsed="false">
      <c r="A108" s="237" t="n">
        <v>103</v>
      </c>
      <c r="B108" s="238" t="s">
        <v>174</v>
      </c>
      <c r="C108" s="238" t="s">
        <v>2358</v>
      </c>
      <c r="D108" s="238" t="s">
        <v>2359</v>
      </c>
      <c r="E108" s="238" t="s">
        <v>2360</v>
      </c>
      <c r="F108" s="238" t="s">
        <v>1808</v>
      </c>
      <c r="G108" s="238" t="n">
        <v>20</v>
      </c>
      <c r="H108" s="240" t="n">
        <v>5847</v>
      </c>
      <c r="I108" s="238" t="s">
        <v>176</v>
      </c>
      <c r="J108" s="240" t="n">
        <v>5847</v>
      </c>
      <c r="K108" s="238" t="s">
        <v>25</v>
      </c>
      <c r="L108" s="240" t="n">
        <v>5847</v>
      </c>
      <c r="M108" s="238" t="n">
        <v>17.2</v>
      </c>
      <c r="N108" s="241" t="n">
        <v>2.15</v>
      </c>
      <c r="O108" s="238" t="n">
        <f aca="false">'INPUT DEBT'!$M108-'INPUT DEBT'!$N108</f>
        <v>15.05</v>
      </c>
      <c r="P108" s="239" t="str">
        <f aca="false">IF(N108=0, "NOT DELIVERED", IF(O108=0, "CLEARED", "PARTIALLY DELIVERED"))</f>
        <v>PARTIALLY DELIVERED</v>
      </c>
    </row>
    <row r="109" customFormat="false" ht="14.25" hidden="false" customHeight="true" outlineLevel="0" collapsed="false">
      <c r="A109" s="242" t="n">
        <v>104</v>
      </c>
      <c r="B109" s="243" t="s">
        <v>174</v>
      </c>
      <c r="C109" s="243" t="s">
        <v>2361</v>
      </c>
      <c r="D109" s="243" t="s">
        <v>2362</v>
      </c>
      <c r="E109" s="243" t="s">
        <v>2363</v>
      </c>
      <c r="F109" s="243" t="s">
        <v>1808</v>
      </c>
      <c r="G109" s="243" t="n">
        <v>50</v>
      </c>
      <c r="H109" s="244" t="n">
        <v>8780</v>
      </c>
      <c r="I109" s="243" t="s">
        <v>176</v>
      </c>
      <c r="J109" s="244" t="n">
        <v>8780</v>
      </c>
      <c r="K109" s="243" t="s">
        <v>25</v>
      </c>
      <c r="L109" s="244" t="n">
        <v>8780</v>
      </c>
      <c r="M109" s="243" t="n">
        <v>25.82</v>
      </c>
      <c r="N109" s="246" t="n">
        <v>0</v>
      </c>
      <c r="O109" s="238" t="n">
        <f aca="false">'INPUT DEBT'!$M109-'INPUT DEBT'!$N109</f>
        <v>25.82</v>
      </c>
      <c r="P109" s="239" t="str">
        <f aca="false">IF(N109=0, "NOT DELIVERED", IF(O109=0, "CLEARED", "PARTIALLY DELIVERED"))</f>
        <v>NOT DELIVERED</v>
      </c>
    </row>
    <row r="110" customFormat="false" ht="14.25" hidden="false" customHeight="true" outlineLevel="0" collapsed="false">
      <c r="A110" s="237" t="n">
        <v>105</v>
      </c>
      <c r="B110" s="238" t="s">
        <v>174</v>
      </c>
      <c r="C110" s="238" t="s">
        <v>2364</v>
      </c>
      <c r="D110" s="238" t="s">
        <v>2365</v>
      </c>
      <c r="E110" s="238" t="s">
        <v>2366</v>
      </c>
      <c r="F110" s="238" t="s">
        <v>1808</v>
      </c>
      <c r="G110" s="238" t="n">
        <v>120</v>
      </c>
      <c r="H110" s="240" t="n">
        <v>16567</v>
      </c>
      <c r="I110" s="238" t="s">
        <v>176</v>
      </c>
      <c r="J110" s="240" t="n">
        <v>16567</v>
      </c>
      <c r="K110" s="238" t="s">
        <v>25</v>
      </c>
      <c r="L110" s="240" t="n">
        <v>16567</v>
      </c>
      <c r="M110" s="238" t="n">
        <v>48.73</v>
      </c>
      <c r="N110" s="241" t="n">
        <v>0</v>
      </c>
      <c r="O110" s="238" t="n">
        <f aca="false">'INPUT DEBT'!$M110-'INPUT DEBT'!$N110</f>
        <v>48.73</v>
      </c>
      <c r="P110" s="239" t="str">
        <f aca="false">IF(N110=0, "NOT DELIVERED", IF(O110=0, "CLEARED", "PARTIALLY DELIVERED"))</f>
        <v>NOT DELIVERED</v>
      </c>
    </row>
    <row r="111" customFormat="false" ht="14.25" hidden="false" customHeight="true" outlineLevel="0" collapsed="false">
      <c r="A111" s="242" t="n">
        <v>106</v>
      </c>
      <c r="B111" s="243" t="s">
        <v>174</v>
      </c>
      <c r="C111" s="243" t="s">
        <v>2367</v>
      </c>
      <c r="D111" s="243" t="s">
        <v>2368</v>
      </c>
      <c r="E111" s="243" t="s">
        <v>2369</v>
      </c>
      <c r="F111" s="243" t="s">
        <v>1808</v>
      </c>
      <c r="G111" s="243" t="n">
        <v>20</v>
      </c>
      <c r="H111" s="244" t="n">
        <v>3743</v>
      </c>
      <c r="I111" s="243" t="s">
        <v>176</v>
      </c>
      <c r="J111" s="244" t="n">
        <v>3743</v>
      </c>
      <c r="K111" s="243" t="s">
        <v>25</v>
      </c>
      <c r="L111" s="244" t="n">
        <v>3743</v>
      </c>
      <c r="M111" s="243" t="n">
        <v>11.01</v>
      </c>
      <c r="N111" s="246" t="n">
        <v>0</v>
      </c>
      <c r="O111" s="238" t="n">
        <f aca="false">'INPUT DEBT'!$M111-'INPUT DEBT'!$N111</f>
        <v>11.01</v>
      </c>
      <c r="P111" s="239" t="str">
        <f aca="false">IF(N111=0, "NOT DELIVERED", IF(O111=0, "CLEARED", "PARTIALLY DELIVERED"))</f>
        <v>NOT DELIVERED</v>
      </c>
    </row>
    <row r="112" customFormat="false" ht="14.25" hidden="false" customHeight="true" outlineLevel="0" collapsed="false">
      <c r="A112" s="237" t="n">
        <v>107</v>
      </c>
      <c r="B112" s="238" t="s">
        <v>174</v>
      </c>
      <c r="C112" s="238" t="s">
        <v>2370</v>
      </c>
      <c r="D112" s="238" t="s">
        <v>2371</v>
      </c>
      <c r="E112" s="238" t="s">
        <v>2372</v>
      </c>
      <c r="F112" s="238" t="s">
        <v>1808</v>
      </c>
      <c r="G112" s="238" t="n">
        <v>20</v>
      </c>
      <c r="H112" s="240" t="n">
        <v>6727</v>
      </c>
      <c r="I112" s="238" t="n">
        <v>917</v>
      </c>
      <c r="J112" s="240" t="n">
        <v>5810</v>
      </c>
      <c r="K112" s="238" t="s">
        <v>25</v>
      </c>
      <c r="L112" s="240" t="n">
        <v>5810</v>
      </c>
      <c r="M112" s="238" t="n">
        <v>19.78</v>
      </c>
      <c r="N112" s="241" t="n">
        <v>2.51</v>
      </c>
      <c r="O112" s="238" t="n">
        <f aca="false">'INPUT DEBT'!$M112-'INPUT DEBT'!$N112</f>
        <v>17.27</v>
      </c>
      <c r="P112" s="239" t="str">
        <f aca="false">IF(N112=0, "NOT DELIVERED", IF(O112=0, "CLEARED", "PARTIALLY DELIVERED"))</f>
        <v>PARTIALLY DELIVERED</v>
      </c>
    </row>
    <row r="113" customFormat="false" ht="14.25" hidden="false" customHeight="true" outlineLevel="0" collapsed="false">
      <c r="A113" s="242" t="n">
        <v>108</v>
      </c>
      <c r="B113" s="243" t="s">
        <v>174</v>
      </c>
      <c r="C113" s="243" t="s">
        <v>2259</v>
      </c>
      <c r="D113" s="243" t="s">
        <v>2373</v>
      </c>
      <c r="E113" s="243" t="s">
        <v>2374</v>
      </c>
      <c r="F113" s="243" t="s">
        <v>1808</v>
      </c>
      <c r="G113" s="243" t="n">
        <v>25</v>
      </c>
      <c r="H113" s="244" t="n">
        <v>8811</v>
      </c>
      <c r="I113" s="243" t="s">
        <v>176</v>
      </c>
      <c r="J113" s="244" t="n">
        <v>8811</v>
      </c>
      <c r="K113" s="243" t="s">
        <v>25</v>
      </c>
      <c r="L113" s="244" t="n">
        <v>8811</v>
      </c>
      <c r="M113" s="243" t="n">
        <v>25.91</v>
      </c>
      <c r="N113" s="246" t="n">
        <v>0</v>
      </c>
      <c r="O113" s="238" t="n">
        <f aca="false">'INPUT DEBT'!$M113-'INPUT DEBT'!$N113</f>
        <v>25.91</v>
      </c>
      <c r="P113" s="239" t="str">
        <f aca="false">IF(N113=0, "NOT DELIVERED", IF(O113=0, "CLEARED", "PARTIALLY DELIVERED"))</f>
        <v>NOT DELIVERED</v>
      </c>
    </row>
    <row r="114" customFormat="false" ht="14.25" hidden="false" customHeight="true" outlineLevel="0" collapsed="false">
      <c r="A114" s="237" t="n">
        <v>109</v>
      </c>
      <c r="B114" s="238" t="s">
        <v>174</v>
      </c>
      <c r="C114" s="238" t="s">
        <v>2375</v>
      </c>
      <c r="D114" s="238" t="s">
        <v>2376</v>
      </c>
      <c r="E114" s="238" t="s">
        <v>2377</v>
      </c>
      <c r="F114" s="238" t="s">
        <v>1808</v>
      </c>
      <c r="G114" s="238" t="n">
        <v>20</v>
      </c>
      <c r="H114" s="240" t="n">
        <v>6399</v>
      </c>
      <c r="I114" s="238" t="s">
        <v>176</v>
      </c>
      <c r="J114" s="240" t="n">
        <v>6399</v>
      </c>
      <c r="K114" s="238" t="s">
        <v>25</v>
      </c>
      <c r="L114" s="240" t="n">
        <v>6399</v>
      </c>
      <c r="M114" s="238" t="n">
        <v>18.82</v>
      </c>
      <c r="N114" s="241" t="n">
        <v>0</v>
      </c>
      <c r="O114" s="238" t="n">
        <f aca="false">'INPUT DEBT'!$M114-'INPUT DEBT'!$N114</f>
        <v>18.82</v>
      </c>
      <c r="P114" s="239" t="str">
        <f aca="false">IF(N114=0, "NOT DELIVERED", IF(O114=0, "CLEARED", "PARTIALLY DELIVERED"))</f>
        <v>NOT DELIVERED</v>
      </c>
    </row>
    <row r="115" customFormat="false" ht="14.25" hidden="false" customHeight="true" outlineLevel="0" collapsed="false">
      <c r="A115" s="242" t="n">
        <v>110</v>
      </c>
      <c r="B115" s="243" t="s">
        <v>174</v>
      </c>
      <c r="C115" s="243" t="s">
        <v>2370</v>
      </c>
      <c r="D115" s="243" t="s">
        <v>2378</v>
      </c>
      <c r="E115" s="243" t="s">
        <v>2379</v>
      </c>
      <c r="F115" s="243" t="s">
        <v>1808</v>
      </c>
      <c r="G115" s="243" t="n">
        <v>15</v>
      </c>
      <c r="H115" s="244" t="n">
        <v>5989</v>
      </c>
      <c r="I115" s="243" t="n">
        <v>422</v>
      </c>
      <c r="J115" s="244" t="n">
        <v>5567</v>
      </c>
      <c r="K115" s="243" t="s">
        <v>25</v>
      </c>
      <c r="L115" s="244" t="n">
        <v>5567</v>
      </c>
      <c r="M115" s="243" t="n">
        <v>17.61</v>
      </c>
      <c r="N115" s="246" t="n">
        <v>1.16</v>
      </c>
      <c r="O115" s="238" t="n">
        <f aca="false">'INPUT DEBT'!$M115-'INPUT DEBT'!$N115</f>
        <v>16.45</v>
      </c>
      <c r="P115" s="239" t="str">
        <f aca="false">IF(N115=0, "NOT DELIVERED", IF(O115=0, "CLEARED", "PARTIALLY DELIVERED"))</f>
        <v>PARTIALLY DELIVERED</v>
      </c>
    </row>
    <row r="116" customFormat="false" ht="14.25" hidden="false" customHeight="true" outlineLevel="0" collapsed="false">
      <c r="A116" s="237" t="n">
        <v>111</v>
      </c>
      <c r="B116" s="238" t="s">
        <v>174</v>
      </c>
      <c r="C116" s="238" t="s">
        <v>2380</v>
      </c>
      <c r="D116" s="238" t="s">
        <v>2381</v>
      </c>
      <c r="E116" s="238" t="s">
        <v>2382</v>
      </c>
      <c r="F116" s="238" t="s">
        <v>1808</v>
      </c>
      <c r="G116" s="238" t="n">
        <v>60</v>
      </c>
      <c r="H116" s="240" t="n">
        <v>15705</v>
      </c>
      <c r="I116" s="238" t="s">
        <v>176</v>
      </c>
      <c r="J116" s="240" t="n">
        <v>15705</v>
      </c>
      <c r="K116" s="238" t="s">
        <v>25</v>
      </c>
      <c r="L116" s="240" t="n">
        <v>15705</v>
      </c>
      <c r="M116" s="238" t="n">
        <v>46.19</v>
      </c>
      <c r="N116" s="241" t="n">
        <v>0</v>
      </c>
      <c r="O116" s="238" t="n">
        <f aca="false">'INPUT DEBT'!$M116-'INPUT DEBT'!$N116</f>
        <v>46.19</v>
      </c>
      <c r="P116" s="239" t="str">
        <f aca="false">IF(N116=0, "NOT DELIVERED", IF(O116=0, "CLEARED", "PARTIALLY DELIVERED"))</f>
        <v>NOT DELIVERED</v>
      </c>
    </row>
    <row r="117" customFormat="false" ht="14.25" hidden="false" customHeight="true" outlineLevel="0" collapsed="false">
      <c r="A117" s="242" t="n">
        <v>112</v>
      </c>
      <c r="B117" s="243" t="s">
        <v>174</v>
      </c>
      <c r="C117" s="243" t="s">
        <v>2383</v>
      </c>
      <c r="D117" s="243" t="s">
        <v>2384</v>
      </c>
      <c r="E117" s="243" t="s">
        <v>2385</v>
      </c>
      <c r="F117" s="243" t="s">
        <v>1808</v>
      </c>
      <c r="G117" s="243" t="n">
        <v>20</v>
      </c>
      <c r="H117" s="244" t="n">
        <v>6071</v>
      </c>
      <c r="I117" s="243" t="s">
        <v>176</v>
      </c>
      <c r="J117" s="244" t="n">
        <v>6071</v>
      </c>
      <c r="K117" s="243" t="s">
        <v>25</v>
      </c>
      <c r="L117" s="244" t="n">
        <v>6071</v>
      </c>
      <c r="M117" s="243" t="n">
        <v>17.85</v>
      </c>
      <c r="N117" s="246" t="n">
        <v>0</v>
      </c>
      <c r="O117" s="238" t="n">
        <f aca="false">'INPUT DEBT'!$M117-'INPUT DEBT'!$N117</f>
        <v>17.85</v>
      </c>
      <c r="P117" s="239" t="str">
        <f aca="false">IF(N117=0, "NOT DELIVERED", IF(O117=0, "CLEARED", "PARTIALLY DELIVERED"))</f>
        <v>NOT DELIVERED</v>
      </c>
    </row>
    <row r="118" customFormat="false" ht="14.25" hidden="false" customHeight="true" outlineLevel="0" collapsed="false">
      <c r="A118" s="237" t="n">
        <v>113</v>
      </c>
      <c r="B118" s="238" t="s">
        <v>174</v>
      </c>
      <c r="C118" s="238" t="s">
        <v>2386</v>
      </c>
      <c r="D118" s="238" t="s">
        <v>2387</v>
      </c>
      <c r="E118" s="238" t="s">
        <v>2388</v>
      </c>
      <c r="F118" s="238" t="s">
        <v>1808</v>
      </c>
      <c r="G118" s="238" t="n">
        <v>10</v>
      </c>
      <c r="H118" s="240" t="n">
        <v>2522</v>
      </c>
      <c r="I118" s="238" t="s">
        <v>176</v>
      </c>
      <c r="J118" s="240" t="n">
        <v>2522</v>
      </c>
      <c r="K118" s="238" t="s">
        <v>25</v>
      </c>
      <c r="L118" s="240" t="n">
        <v>2522</v>
      </c>
      <c r="M118" s="238" t="n">
        <v>7.42</v>
      </c>
      <c r="N118" s="241" t="n">
        <v>0</v>
      </c>
      <c r="O118" s="238" t="n">
        <f aca="false">'INPUT DEBT'!$M118-'INPUT DEBT'!$N118</f>
        <v>7.42</v>
      </c>
      <c r="P118" s="239" t="str">
        <f aca="false">IF(N118=0, "NOT DELIVERED", IF(O118=0, "CLEARED", "PARTIALLY DELIVERED"))</f>
        <v>NOT DELIVERED</v>
      </c>
    </row>
    <row r="119" customFormat="false" ht="14.25" hidden="false" customHeight="true" outlineLevel="0" collapsed="false">
      <c r="A119" s="242" t="n">
        <v>114</v>
      </c>
      <c r="B119" s="243" t="s">
        <v>174</v>
      </c>
      <c r="C119" s="243" t="s">
        <v>2389</v>
      </c>
      <c r="D119" s="243" t="s">
        <v>2390</v>
      </c>
      <c r="E119" s="243" t="s">
        <v>2391</v>
      </c>
      <c r="F119" s="243" t="s">
        <v>1808</v>
      </c>
      <c r="G119" s="243" t="n">
        <v>30</v>
      </c>
      <c r="H119" s="244" t="n">
        <v>6414</v>
      </c>
      <c r="I119" s="244" t="n">
        <v>6717</v>
      </c>
      <c r="J119" s="243" t="n">
        <v>-303</v>
      </c>
      <c r="K119" s="243" t="s">
        <v>25</v>
      </c>
      <c r="L119" s="243" t="n">
        <v>-303</v>
      </c>
      <c r="M119" s="243" t="n">
        <v>18.86</v>
      </c>
      <c r="N119" s="246" t="n">
        <v>18.42</v>
      </c>
      <c r="O119" s="238" t="n">
        <f aca="false">'INPUT DEBT'!$M119-'INPUT DEBT'!$N119</f>
        <v>0.439999999999998</v>
      </c>
      <c r="P119" s="239" t="s">
        <v>2117</v>
      </c>
    </row>
    <row r="120" customFormat="false" ht="14.25" hidden="false" customHeight="true" outlineLevel="0" collapsed="false">
      <c r="A120" s="237" t="n">
        <v>115</v>
      </c>
      <c r="B120" s="238" t="s">
        <v>174</v>
      </c>
      <c r="C120" s="238" t="s">
        <v>2392</v>
      </c>
      <c r="D120" s="238" t="s">
        <v>2393</v>
      </c>
      <c r="E120" s="238" t="s">
        <v>2394</v>
      </c>
      <c r="F120" s="238" t="s">
        <v>1808</v>
      </c>
      <c r="G120" s="238" t="n">
        <v>10</v>
      </c>
      <c r="H120" s="240" t="n">
        <v>4051</v>
      </c>
      <c r="I120" s="238" t="s">
        <v>176</v>
      </c>
      <c r="J120" s="240" t="n">
        <v>4051</v>
      </c>
      <c r="K120" s="238" t="s">
        <v>25</v>
      </c>
      <c r="L120" s="240" t="n">
        <v>4051</v>
      </c>
      <c r="M120" s="238" t="n">
        <v>11.91</v>
      </c>
      <c r="N120" s="241" t="n">
        <v>0</v>
      </c>
      <c r="O120" s="238" t="n">
        <f aca="false">'INPUT DEBT'!$M120-'INPUT DEBT'!$N120</f>
        <v>11.91</v>
      </c>
      <c r="P120" s="239" t="str">
        <f aca="false">IF(N120=0, "NOT DELIVERED", IF(O120=0, "CLEARED", "PARTIALLY DELIVERED"))</f>
        <v>NOT DELIVERED</v>
      </c>
    </row>
    <row r="121" customFormat="false" ht="14.25" hidden="false" customHeight="true" outlineLevel="0" collapsed="false">
      <c r="A121" s="242" t="n">
        <v>116</v>
      </c>
      <c r="B121" s="243" t="s">
        <v>174</v>
      </c>
      <c r="C121" s="243" t="s">
        <v>2395</v>
      </c>
      <c r="D121" s="243" t="s">
        <v>2396</v>
      </c>
      <c r="E121" s="243" t="s">
        <v>2397</v>
      </c>
      <c r="F121" s="243" t="s">
        <v>1808</v>
      </c>
      <c r="G121" s="243" t="n">
        <v>10</v>
      </c>
      <c r="H121" s="244" t="n">
        <v>3053</v>
      </c>
      <c r="I121" s="243" t="s">
        <v>176</v>
      </c>
      <c r="J121" s="244" t="n">
        <v>3053</v>
      </c>
      <c r="K121" s="243" t="s">
        <v>25</v>
      </c>
      <c r="L121" s="244" t="n">
        <v>3053</v>
      </c>
      <c r="M121" s="243" t="n">
        <v>8.98</v>
      </c>
      <c r="N121" s="246" t="n">
        <v>0</v>
      </c>
      <c r="O121" s="238" t="n">
        <f aca="false">'INPUT DEBT'!$M121-'INPUT DEBT'!$N121</f>
        <v>8.98</v>
      </c>
      <c r="P121" s="239" t="str">
        <f aca="false">IF(N121=0, "NOT DELIVERED", IF(O121=0, "CLEARED", "PARTIALLY DELIVERED"))</f>
        <v>NOT DELIVERED</v>
      </c>
    </row>
    <row r="122" customFormat="false" ht="14.25" hidden="false" customHeight="true" outlineLevel="0" collapsed="false">
      <c r="A122" s="237" t="n">
        <v>117</v>
      </c>
      <c r="B122" s="238" t="s">
        <v>174</v>
      </c>
      <c r="C122" s="238" t="s">
        <v>2398</v>
      </c>
      <c r="D122" s="238" t="s">
        <v>2399</v>
      </c>
      <c r="E122" s="238" t="s">
        <v>2400</v>
      </c>
      <c r="F122" s="238" t="s">
        <v>1808</v>
      </c>
      <c r="G122" s="238" t="n">
        <v>10</v>
      </c>
      <c r="H122" s="240" t="n">
        <v>3053</v>
      </c>
      <c r="I122" s="240" t="n">
        <v>1166</v>
      </c>
      <c r="J122" s="240" t="n">
        <v>1887</v>
      </c>
      <c r="K122" s="238" t="s">
        <v>25</v>
      </c>
      <c r="L122" s="240" t="n">
        <v>1887</v>
      </c>
      <c r="M122" s="238" t="n">
        <v>8.98</v>
      </c>
      <c r="N122" s="241" t="n">
        <v>3.2</v>
      </c>
      <c r="O122" s="238" t="n">
        <f aca="false">'INPUT DEBT'!$M122-'INPUT DEBT'!$N122</f>
        <v>5.78</v>
      </c>
      <c r="P122" s="239" t="str">
        <f aca="false">IF(N122=0, "NOT DELIVERED", IF(O122=0, "CLEARED", "PARTIALLY DELIVERED"))</f>
        <v>PARTIALLY DELIVERED</v>
      </c>
    </row>
    <row r="123" customFormat="false" ht="14.25" hidden="false" customHeight="true" outlineLevel="0" collapsed="false">
      <c r="A123" s="242" t="n">
        <v>118</v>
      </c>
      <c r="B123" s="243" t="s">
        <v>174</v>
      </c>
      <c r="C123" s="243" t="s">
        <v>2401</v>
      </c>
      <c r="D123" s="243" t="s">
        <v>2402</v>
      </c>
      <c r="E123" s="243" t="s">
        <v>2403</v>
      </c>
      <c r="F123" s="243" t="s">
        <v>1808</v>
      </c>
      <c r="G123" s="243" t="n">
        <v>10</v>
      </c>
      <c r="H123" s="244" t="n">
        <v>2355</v>
      </c>
      <c r="I123" s="243" t="s">
        <v>176</v>
      </c>
      <c r="J123" s="244" t="n">
        <v>2355</v>
      </c>
      <c r="K123" s="243" t="s">
        <v>25</v>
      </c>
      <c r="L123" s="244" t="n">
        <v>2355</v>
      </c>
      <c r="M123" s="243" t="n">
        <v>6.93</v>
      </c>
      <c r="N123" s="246" t="n">
        <v>0</v>
      </c>
      <c r="O123" s="238" t="n">
        <f aca="false">'INPUT DEBT'!$M123-'INPUT DEBT'!$N123</f>
        <v>6.93</v>
      </c>
      <c r="P123" s="239" t="str">
        <f aca="false">IF(N123=0, "NOT DELIVERED", IF(O123=0, "CLEARED", "PARTIALLY DELIVERED"))</f>
        <v>NOT DELIVERED</v>
      </c>
    </row>
    <row r="124" customFormat="false" ht="14.25" hidden="false" customHeight="true" outlineLevel="0" collapsed="false">
      <c r="A124" s="237" t="n">
        <v>119</v>
      </c>
      <c r="B124" s="238" t="s">
        <v>174</v>
      </c>
      <c r="C124" s="239" t="s">
        <v>170</v>
      </c>
      <c r="D124" s="238" t="s">
        <v>2404</v>
      </c>
      <c r="E124" s="238" t="s">
        <v>2405</v>
      </c>
      <c r="F124" s="238" t="s">
        <v>1808</v>
      </c>
      <c r="G124" s="238" t="n">
        <v>30</v>
      </c>
      <c r="H124" s="240" t="n">
        <v>4778</v>
      </c>
      <c r="I124" s="238" t="s">
        <v>176</v>
      </c>
      <c r="J124" s="240" t="n">
        <v>4778</v>
      </c>
      <c r="K124" s="238" t="s">
        <v>25</v>
      </c>
      <c r="L124" s="240" t="n">
        <v>4778</v>
      </c>
      <c r="M124" s="238" t="n">
        <v>14.05</v>
      </c>
      <c r="N124" s="241" t="n">
        <v>0</v>
      </c>
      <c r="O124" s="238" t="n">
        <f aca="false">'INPUT DEBT'!$M124-'INPUT DEBT'!$N124</f>
        <v>14.05</v>
      </c>
      <c r="P124" s="239" t="str">
        <f aca="false">IF(N124=0, "NOT DELIVERED", IF(O124=0, "CLEARED", "PARTIALLY DELIVERED"))</f>
        <v>NOT DELIVERED</v>
      </c>
    </row>
    <row r="125" customFormat="false" ht="14.25" hidden="false" customHeight="true" outlineLevel="0" collapsed="false">
      <c r="A125" s="242" t="n">
        <v>120</v>
      </c>
      <c r="B125" s="243" t="s">
        <v>174</v>
      </c>
      <c r="C125" s="243" t="s">
        <v>2406</v>
      </c>
      <c r="D125" s="243" t="s">
        <v>2407</v>
      </c>
      <c r="E125" s="243" t="s">
        <v>2408</v>
      </c>
      <c r="F125" s="243" t="s">
        <v>1808</v>
      </c>
      <c r="G125" s="243" t="n">
        <v>10</v>
      </c>
      <c r="H125" s="244" t="n">
        <v>2654</v>
      </c>
      <c r="I125" s="243" t="s">
        <v>176</v>
      </c>
      <c r="J125" s="244" t="n">
        <v>2654</v>
      </c>
      <c r="K125" s="243" t="s">
        <v>25</v>
      </c>
      <c r="L125" s="244" t="n">
        <v>2654</v>
      </c>
      <c r="M125" s="243" t="n">
        <v>7.81</v>
      </c>
      <c r="N125" s="246" t="n">
        <v>0</v>
      </c>
      <c r="O125" s="238" t="n">
        <f aca="false">'INPUT DEBT'!$M125-'INPUT DEBT'!$N125</f>
        <v>7.81</v>
      </c>
      <c r="P125" s="239" t="str">
        <f aca="false">IF(N125=0, "NOT DELIVERED", IF(O125=0, "CLEARED", "PARTIALLY DELIVERED"))</f>
        <v>NOT DELIVERED</v>
      </c>
    </row>
    <row r="126" customFormat="false" ht="14.25" hidden="false" customHeight="true" outlineLevel="0" collapsed="false">
      <c r="A126" s="237" t="n">
        <v>121</v>
      </c>
      <c r="B126" s="238" t="s">
        <v>174</v>
      </c>
      <c r="C126" s="239" t="s">
        <v>170</v>
      </c>
      <c r="D126" s="238" t="s">
        <v>2409</v>
      </c>
      <c r="E126" s="238" t="s">
        <v>2410</v>
      </c>
      <c r="F126" s="238" t="s">
        <v>25</v>
      </c>
      <c r="G126" s="238" t="n">
        <v>20</v>
      </c>
      <c r="H126" s="240" t="n">
        <v>5766</v>
      </c>
      <c r="I126" s="238" t="s">
        <v>176</v>
      </c>
      <c r="J126" s="240" t="n">
        <v>5766</v>
      </c>
      <c r="K126" s="238" t="s">
        <v>25</v>
      </c>
      <c r="L126" s="240" t="n">
        <v>5766</v>
      </c>
      <c r="M126" s="238" t="n">
        <v>16.96</v>
      </c>
      <c r="N126" s="241" t="n">
        <v>0</v>
      </c>
      <c r="O126" s="238" t="n">
        <f aca="false">'INPUT DEBT'!$M126-'INPUT DEBT'!$N126</f>
        <v>16.96</v>
      </c>
      <c r="P126" s="239" t="str">
        <f aca="false">IF(N126=0, "NOT DELIVERED", IF(O126=0, "CLEARED", "PARTIALLY DELIVERED"))</f>
        <v>NOT DELIVERED</v>
      </c>
    </row>
    <row r="127" customFormat="false" ht="14.25" hidden="false" customHeight="true" outlineLevel="0" collapsed="false">
      <c r="A127" s="242" t="n">
        <v>122</v>
      </c>
      <c r="B127" s="243" t="s">
        <v>174</v>
      </c>
      <c r="C127" s="243" t="s">
        <v>2411</v>
      </c>
      <c r="D127" s="243" t="s">
        <v>2412</v>
      </c>
      <c r="E127" s="243" t="s">
        <v>2413</v>
      </c>
      <c r="F127" s="243" t="s">
        <v>1808</v>
      </c>
      <c r="G127" s="243" t="n">
        <v>10</v>
      </c>
      <c r="H127" s="244" t="n">
        <v>2545</v>
      </c>
      <c r="I127" s="243" t="s">
        <v>176</v>
      </c>
      <c r="J127" s="244" t="n">
        <v>2545</v>
      </c>
      <c r="K127" s="243" t="s">
        <v>25</v>
      </c>
      <c r="L127" s="244" t="n">
        <v>2545</v>
      </c>
      <c r="M127" s="243" t="n">
        <v>7.49</v>
      </c>
      <c r="N127" s="246" t="n">
        <v>0</v>
      </c>
      <c r="O127" s="238" t="n">
        <f aca="false">'INPUT DEBT'!$M127-'INPUT DEBT'!$N127</f>
        <v>7.49</v>
      </c>
      <c r="P127" s="239" t="str">
        <f aca="false">IF(N127=0, "NOT DELIVERED", IF(O127=0, "CLEARED", "PARTIALLY DELIVERED"))</f>
        <v>NOT DELIVERED</v>
      </c>
    </row>
    <row r="128" customFormat="false" ht="14.25" hidden="false" customHeight="true" outlineLevel="0" collapsed="false">
      <c r="A128" s="237" t="n">
        <v>123</v>
      </c>
      <c r="B128" s="238" t="s">
        <v>174</v>
      </c>
      <c r="C128" s="238" t="s">
        <v>2406</v>
      </c>
      <c r="D128" s="238" t="s">
        <v>2414</v>
      </c>
      <c r="E128" s="238" t="s">
        <v>2415</v>
      </c>
      <c r="F128" s="238" t="s">
        <v>1808</v>
      </c>
      <c r="G128" s="238" t="n">
        <v>10</v>
      </c>
      <c r="H128" s="240" t="n">
        <v>3905</v>
      </c>
      <c r="I128" s="238" t="s">
        <v>176</v>
      </c>
      <c r="J128" s="240" t="n">
        <v>3905</v>
      </c>
      <c r="K128" s="238" t="s">
        <v>25</v>
      </c>
      <c r="L128" s="240" t="n">
        <v>3905</v>
      </c>
      <c r="M128" s="238" t="n">
        <v>11.48</v>
      </c>
      <c r="N128" s="241" t="n">
        <v>0</v>
      </c>
      <c r="O128" s="238" t="n">
        <f aca="false">'INPUT DEBT'!$M128-'INPUT DEBT'!$N128</f>
        <v>11.48</v>
      </c>
      <c r="P128" s="239" t="str">
        <f aca="false">IF(N128=0, "NOT DELIVERED", IF(O128=0, "CLEARED", "PARTIALLY DELIVERED"))</f>
        <v>NOT DELIVERED</v>
      </c>
    </row>
    <row r="129" customFormat="false" ht="14.25" hidden="false" customHeight="true" outlineLevel="0" collapsed="false">
      <c r="A129" s="242" t="n">
        <v>124</v>
      </c>
      <c r="B129" s="243" t="s">
        <v>174</v>
      </c>
      <c r="C129" s="243" t="s">
        <v>2406</v>
      </c>
      <c r="D129" s="243" t="s">
        <v>2416</v>
      </c>
      <c r="E129" s="243" t="s">
        <v>2417</v>
      </c>
      <c r="F129" s="243" t="s">
        <v>1808</v>
      </c>
      <c r="G129" s="243" t="n">
        <v>10</v>
      </c>
      <c r="H129" s="244" t="n">
        <v>4051</v>
      </c>
      <c r="I129" s="243" t="s">
        <v>176</v>
      </c>
      <c r="J129" s="244" t="n">
        <v>4051</v>
      </c>
      <c r="K129" s="243" t="s">
        <v>25</v>
      </c>
      <c r="L129" s="244" t="n">
        <v>4051</v>
      </c>
      <c r="M129" s="243" t="n">
        <v>11.91</v>
      </c>
      <c r="N129" s="246" t="n">
        <v>1.63</v>
      </c>
      <c r="O129" s="238" t="n">
        <f aca="false">'INPUT DEBT'!$M129-'INPUT DEBT'!$N129</f>
        <v>10.28</v>
      </c>
      <c r="P129" s="239" t="str">
        <f aca="false">IF(N129=0, "NOT DELIVERED", IF(O129=0, "CLEARED", "PARTIALLY DELIVERED"))</f>
        <v>PARTIALLY DELIVERED</v>
      </c>
    </row>
    <row r="130" customFormat="false" ht="14.25" hidden="false" customHeight="true" outlineLevel="0" collapsed="false">
      <c r="A130" s="237" t="n">
        <v>125</v>
      </c>
      <c r="B130" s="238" t="s">
        <v>174</v>
      </c>
      <c r="C130" s="238" t="s">
        <v>2406</v>
      </c>
      <c r="D130" s="238" t="s">
        <v>2418</v>
      </c>
      <c r="E130" s="238" t="s">
        <v>2419</v>
      </c>
      <c r="F130" s="238" t="s">
        <v>1808</v>
      </c>
      <c r="G130" s="238" t="n">
        <v>10</v>
      </c>
      <c r="H130" s="240" t="n">
        <v>1226</v>
      </c>
      <c r="I130" s="238" t="s">
        <v>176</v>
      </c>
      <c r="J130" s="240" t="n">
        <v>1226</v>
      </c>
      <c r="K130" s="238" t="s">
        <v>25</v>
      </c>
      <c r="L130" s="240" t="n">
        <v>1226</v>
      </c>
      <c r="M130" s="238" t="n">
        <v>3.61</v>
      </c>
      <c r="N130" s="241" t="n">
        <v>0</v>
      </c>
      <c r="O130" s="238" t="n">
        <f aca="false">'INPUT DEBT'!$M130-'INPUT DEBT'!$N130</f>
        <v>3.61</v>
      </c>
      <c r="P130" s="239" t="str">
        <f aca="false">IF(N130=0, "NOT DELIVERED", IF(O130=0, "CLEARED", "PARTIALLY DELIVERED"))</f>
        <v>NOT DELIVERED</v>
      </c>
    </row>
    <row r="131" customFormat="false" ht="14.25" hidden="false" customHeight="true" outlineLevel="0" collapsed="false">
      <c r="A131" s="242" t="n">
        <v>126</v>
      </c>
      <c r="B131" s="243" t="s">
        <v>174</v>
      </c>
      <c r="C131" s="243" t="s">
        <v>2406</v>
      </c>
      <c r="D131" s="243" t="s">
        <v>2420</v>
      </c>
      <c r="E131" s="243" t="s">
        <v>2421</v>
      </c>
      <c r="F131" s="243" t="s">
        <v>1808</v>
      </c>
      <c r="G131" s="243" t="n">
        <v>10</v>
      </c>
      <c r="H131" s="244" t="n">
        <v>1226</v>
      </c>
      <c r="I131" s="243" t="s">
        <v>176</v>
      </c>
      <c r="J131" s="244" t="n">
        <v>1226</v>
      </c>
      <c r="K131" s="243" t="s">
        <v>25</v>
      </c>
      <c r="L131" s="244" t="n">
        <v>1226</v>
      </c>
      <c r="M131" s="243" t="n">
        <v>3.61</v>
      </c>
      <c r="N131" s="246" t="n">
        <v>1.02</v>
      </c>
      <c r="O131" s="238" t="n">
        <f aca="false">'INPUT DEBT'!$M131-'INPUT DEBT'!$N131</f>
        <v>2.59</v>
      </c>
      <c r="P131" s="239" t="str">
        <f aca="false">IF(N131=0, "NOT DELIVERED", IF(O131=0, "CLEARED", "PARTIALLY DELIVERED"))</f>
        <v>PARTIALLY DELIVERED</v>
      </c>
    </row>
    <row r="132" customFormat="false" ht="14.25" hidden="false" customHeight="true" outlineLevel="0" collapsed="false">
      <c r="A132" s="237" t="n">
        <v>127</v>
      </c>
      <c r="B132" s="238" t="s">
        <v>174</v>
      </c>
      <c r="C132" s="238" t="s">
        <v>2422</v>
      </c>
      <c r="D132" s="238" t="s">
        <v>2423</v>
      </c>
      <c r="E132" s="238" t="s">
        <v>2424</v>
      </c>
      <c r="F132" s="238" t="s">
        <v>1808</v>
      </c>
      <c r="G132" s="238" t="n">
        <v>10</v>
      </c>
      <c r="H132" s="240" t="n">
        <v>2653</v>
      </c>
      <c r="I132" s="240" t="n">
        <v>1109</v>
      </c>
      <c r="J132" s="240" t="n">
        <v>1544</v>
      </c>
      <c r="K132" s="247" t="n">
        <f aca="false">'INPUT DEBT'!$J132+1146.6</f>
        <v>2690.6</v>
      </c>
      <c r="L132" s="240" t="n">
        <v>1544</v>
      </c>
      <c r="M132" s="238" t="n">
        <v>7.8</v>
      </c>
      <c r="N132" s="241" t="n">
        <v>3.04</v>
      </c>
      <c r="O132" s="238" t="n">
        <f aca="false">'INPUT DEBT'!$M132-'INPUT DEBT'!$N132</f>
        <v>4.76</v>
      </c>
      <c r="P132" s="239" t="str">
        <f aca="false">IF(N132=0, "NOT DELIVERED", IF(O132=0, "CLEARED", "PARTIALLY DELIVERED"))</f>
        <v>PARTIALLY DELIVERED</v>
      </c>
    </row>
    <row r="133" customFormat="false" ht="14.25" hidden="false" customHeight="true" outlineLevel="0" collapsed="false">
      <c r="A133" s="242" t="n">
        <v>128</v>
      </c>
      <c r="B133" s="243" t="s">
        <v>174</v>
      </c>
      <c r="C133" s="243" t="s">
        <v>2425</v>
      </c>
      <c r="D133" s="243" t="s">
        <v>2426</v>
      </c>
      <c r="E133" s="243" t="s">
        <v>2427</v>
      </c>
      <c r="F133" s="243" t="s">
        <v>1808</v>
      </c>
      <c r="G133" s="243" t="n">
        <v>10</v>
      </c>
      <c r="H133" s="244" t="n">
        <v>4051</v>
      </c>
      <c r="I133" s="243" t="s">
        <v>176</v>
      </c>
      <c r="J133" s="244" t="n">
        <v>4051</v>
      </c>
      <c r="K133" s="243" t="s">
        <v>25</v>
      </c>
      <c r="L133" s="244" t="n">
        <v>4051</v>
      </c>
      <c r="M133" s="243" t="n">
        <v>11.91</v>
      </c>
      <c r="N133" s="246" t="n">
        <v>2.08</v>
      </c>
      <c r="O133" s="238" t="n">
        <f aca="false">'INPUT DEBT'!$M133-'INPUT DEBT'!$N133</f>
        <v>9.83</v>
      </c>
      <c r="P133" s="239" t="str">
        <f aca="false">IF(N133=0, "NOT DELIVERED", IF(O133=0, "CLEARED", "PARTIALLY DELIVERED"))</f>
        <v>PARTIALLY DELIVERED</v>
      </c>
    </row>
    <row r="134" customFormat="false" ht="14.25" hidden="false" customHeight="true" outlineLevel="0" collapsed="false">
      <c r="A134" s="237" t="n">
        <v>129</v>
      </c>
      <c r="B134" s="238" t="s">
        <v>174</v>
      </c>
      <c r="C134" s="238" t="s">
        <v>2428</v>
      </c>
      <c r="D134" s="238" t="s">
        <v>2429</v>
      </c>
      <c r="E134" s="238" t="s">
        <v>2430</v>
      </c>
      <c r="F134" s="238" t="s">
        <v>1808</v>
      </c>
      <c r="G134" s="238" t="n">
        <v>10</v>
      </c>
      <c r="H134" s="240" t="n">
        <v>2123</v>
      </c>
      <c r="I134" s="238" t="s">
        <v>176</v>
      </c>
      <c r="J134" s="240" t="n">
        <v>2123</v>
      </c>
      <c r="K134" s="238" t="s">
        <v>25</v>
      </c>
      <c r="L134" s="240" t="n">
        <v>2123</v>
      </c>
      <c r="M134" s="238" t="n">
        <v>6.25</v>
      </c>
      <c r="N134" s="241" t="n">
        <v>7.76</v>
      </c>
      <c r="O134" s="238" t="n">
        <f aca="false">'INPUT DEBT'!$M134-'INPUT DEBT'!$N134</f>
        <v>-1.51</v>
      </c>
      <c r="P134" s="239" t="s">
        <v>2117</v>
      </c>
    </row>
    <row r="135" customFormat="false" ht="14.25" hidden="false" customHeight="true" outlineLevel="0" collapsed="false">
      <c r="A135" s="242" t="n">
        <v>130</v>
      </c>
      <c r="B135" s="243" t="s">
        <v>174</v>
      </c>
      <c r="C135" s="243" t="s">
        <v>2431</v>
      </c>
      <c r="D135" s="243" t="s">
        <v>2432</v>
      </c>
      <c r="E135" s="243" t="s">
        <v>2433</v>
      </c>
      <c r="F135" s="243" t="s">
        <v>1808</v>
      </c>
      <c r="G135" s="243" t="n">
        <v>10</v>
      </c>
      <c r="H135" s="244" t="n">
        <v>4051</v>
      </c>
      <c r="I135" s="243" t="n">
        <v>188</v>
      </c>
      <c r="J135" s="244" t="n">
        <v>3863</v>
      </c>
      <c r="K135" s="243" t="s">
        <v>25</v>
      </c>
      <c r="L135" s="244" t="n">
        <v>3863</v>
      </c>
      <c r="M135" s="243" t="n">
        <v>11.91</v>
      </c>
      <c r="N135" s="246" t="n">
        <v>0.52</v>
      </c>
      <c r="O135" s="238" t="n">
        <f aca="false">'INPUT DEBT'!$M135-'INPUT DEBT'!$N135</f>
        <v>11.39</v>
      </c>
      <c r="P135" s="239" t="str">
        <f aca="false">IF(N135=0, "NOT DELIVERED", IF(O135=0, "CLEARED", "PARTIALLY DELIVERED"))</f>
        <v>PARTIALLY DELIVERED</v>
      </c>
    </row>
    <row r="136" customFormat="false" ht="14.25" hidden="false" customHeight="true" outlineLevel="0" collapsed="false">
      <c r="A136" s="237" t="n">
        <v>131</v>
      </c>
      <c r="B136" s="238" t="s">
        <v>174</v>
      </c>
      <c r="C136" s="238" t="s">
        <v>2422</v>
      </c>
      <c r="D136" s="238" t="s">
        <v>2434</v>
      </c>
      <c r="E136" s="238" t="s">
        <v>2435</v>
      </c>
      <c r="F136" s="238" t="s">
        <v>1808</v>
      </c>
      <c r="G136" s="238" t="n">
        <v>10</v>
      </c>
      <c r="H136" s="240" t="n">
        <v>2014</v>
      </c>
      <c r="I136" s="238" t="s">
        <v>176</v>
      </c>
      <c r="J136" s="240" t="n">
        <v>2014</v>
      </c>
      <c r="K136" s="238" t="s">
        <v>25</v>
      </c>
      <c r="L136" s="240" t="n">
        <v>2014</v>
      </c>
      <c r="M136" s="238" t="n">
        <v>5.92</v>
      </c>
      <c r="N136" s="241" t="n">
        <v>0</v>
      </c>
      <c r="O136" s="238" t="n">
        <f aca="false">'INPUT DEBT'!$M136-'INPUT DEBT'!$N136</f>
        <v>5.92</v>
      </c>
      <c r="P136" s="239" t="str">
        <f aca="false">IF(N136=0, "NOT DELIVERED", IF(O136=0, "CLEARED", "PARTIALLY DELIVERED"))</f>
        <v>NOT DELIVERED</v>
      </c>
    </row>
    <row r="137" customFormat="false" ht="14.25" hidden="false" customHeight="true" outlineLevel="0" collapsed="false">
      <c r="A137" s="242" t="n">
        <v>132</v>
      </c>
      <c r="B137" s="243" t="s">
        <v>174</v>
      </c>
      <c r="C137" s="243" t="s">
        <v>2436</v>
      </c>
      <c r="D137" s="243" t="s">
        <v>2437</v>
      </c>
      <c r="E137" s="243" t="s">
        <v>2438</v>
      </c>
      <c r="F137" s="243" t="s">
        <v>1808</v>
      </c>
      <c r="G137" s="243" t="n">
        <v>10</v>
      </c>
      <c r="H137" s="244" t="n">
        <v>2288</v>
      </c>
      <c r="I137" s="243" t="s">
        <v>176</v>
      </c>
      <c r="J137" s="244" t="n">
        <v>2288</v>
      </c>
      <c r="K137" s="243" t="s">
        <v>25</v>
      </c>
      <c r="L137" s="244" t="n">
        <v>2288</v>
      </c>
      <c r="M137" s="243" t="n">
        <v>6.73</v>
      </c>
      <c r="N137" s="246" t="n">
        <v>0</v>
      </c>
      <c r="O137" s="238" t="n">
        <f aca="false">'INPUT DEBT'!$M137-'INPUT DEBT'!$N137</f>
        <v>6.73</v>
      </c>
      <c r="P137" s="239" t="str">
        <f aca="false">IF(N137=0, "NOT DELIVERED", IF(O137=0, "CLEARED", "PARTIALLY DELIVERED"))</f>
        <v>NOT DELIVERED</v>
      </c>
    </row>
    <row r="138" customFormat="false" ht="14.25" hidden="false" customHeight="true" outlineLevel="0" collapsed="false">
      <c r="A138" s="237" t="n">
        <v>133</v>
      </c>
      <c r="B138" s="238" t="s">
        <v>174</v>
      </c>
      <c r="C138" s="238" t="s">
        <v>2439</v>
      </c>
      <c r="D138" s="238" t="s">
        <v>2440</v>
      </c>
      <c r="E138" s="238" t="s">
        <v>2441</v>
      </c>
      <c r="F138" s="238" t="s">
        <v>1808</v>
      </c>
      <c r="G138" s="238" t="n">
        <v>50</v>
      </c>
      <c r="H138" s="240" t="n">
        <v>6120</v>
      </c>
      <c r="I138" s="238" t="s">
        <v>176</v>
      </c>
      <c r="J138" s="240" t="n">
        <v>6120</v>
      </c>
      <c r="K138" s="238" t="s">
        <v>25</v>
      </c>
      <c r="L138" s="240" t="n">
        <v>6120</v>
      </c>
      <c r="M138" s="238" t="n">
        <v>18</v>
      </c>
      <c r="N138" s="241" t="n">
        <v>0</v>
      </c>
      <c r="O138" s="238" t="n">
        <f aca="false">'INPUT DEBT'!$M138-'INPUT DEBT'!$N138</f>
        <v>18</v>
      </c>
      <c r="P138" s="239" t="str">
        <f aca="false">IF(N138=0, "NOT DELIVERED", IF(O138=0, "CLEARED", "PARTIALLY DELIVERED"))</f>
        <v>NOT DELIVERED</v>
      </c>
    </row>
    <row r="139" customFormat="false" ht="14.25" hidden="false" customHeight="true" outlineLevel="0" collapsed="false">
      <c r="A139" s="242" t="n">
        <v>134</v>
      </c>
      <c r="B139" s="243" t="s">
        <v>174</v>
      </c>
      <c r="C139" s="243" t="s">
        <v>2442</v>
      </c>
      <c r="D139" s="243" t="s">
        <v>2443</v>
      </c>
      <c r="E139" s="243" t="s">
        <v>2444</v>
      </c>
      <c r="F139" s="243" t="s">
        <v>1808</v>
      </c>
      <c r="G139" s="243" t="n">
        <v>10</v>
      </c>
      <c r="H139" s="244" t="n">
        <v>2743</v>
      </c>
      <c r="I139" s="243" t="s">
        <v>176</v>
      </c>
      <c r="J139" s="244" t="n">
        <v>2743</v>
      </c>
      <c r="K139" s="243" t="s">
        <v>25</v>
      </c>
      <c r="L139" s="244" t="n">
        <v>2743</v>
      </c>
      <c r="M139" s="243" t="n">
        <v>8.07</v>
      </c>
      <c r="N139" s="246" t="n">
        <v>0</v>
      </c>
      <c r="O139" s="238" t="n">
        <f aca="false">'INPUT DEBT'!$M139-'INPUT DEBT'!$N139</f>
        <v>8.07</v>
      </c>
      <c r="P139" s="239" t="str">
        <f aca="false">IF(N139=0, "NOT DELIVERED", IF(O139=0, "CLEARED", "PARTIALLY DELIVERED"))</f>
        <v>NOT DELIVERED</v>
      </c>
    </row>
    <row r="140" customFormat="false" ht="14.25" hidden="false" customHeight="true" outlineLevel="0" collapsed="false">
      <c r="A140" s="237" t="n">
        <v>135</v>
      </c>
      <c r="B140" s="238" t="s">
        <v>174</v>
      </c>
      <c r="C140" s="238" t="s">
        <v>2445</v>
      </c>
      <c r="D140" s="238" t="s">
        <v>2368</v>
      </c>
      <c r="E140" s="238" t="s">
        <v>2446</v>
      </c>
      <c r="F140" s="238" t="s">
        <v>1808</v>
      </c>
      <c r="G140" s="238" t="n">
        <v>20</v>
      </c>
      <c r="H140" s="238" t="n">
        <v>546</v>
      </c>
      <c r="I140" s="238" t="s">
        <v>176</v>
      </c>
      <c r="J140" s="238" t="n">
        <v>546</v>
      </c>
      <c r="K140" s="238" t="s">
        <v>25</v>
      </c>
      <c r="L140" s="238" t="n">
        <v>546</v>
      </c>
      <c r="M140" s="238" t="n">
        <v>1.61</v>
      </c>
      <c r="N140" s="241" t="n">
        <v>0</v>
      </c>
      <c r="O140" s="238" t="n">
        <f aca="false">'INPUT DEBT'!$M140-'INPUT DEBT'!$N140</f>
        <v>1.61</v>
      </c>
      <c r="P140" s="239" t="str">
        <f aca="false">IF(N140=0, "NOT DELIVERED", IF(O140=0, "CLEARED", "PARTIALLY DELIVERED"))</f>
        <v>NOT DELIVERED</v>
      </c>
    </row>
    <row r="141" customFormat="false" ht="14.25" hidden="false" customHeight="true" outlineLevel="0" collapsed="false">
      <c r="A141" s="242" t="n">
        <v>136</v>
      </c>
      <c r="B141" s="243" t="s">
        <v>174</v>
      </c>
      <c r="C141" s="243" t="s">
        <v>1591</v>
      </c>
      <c r="D141" s="243" t="s">
        <v>2447</v>
      </c>
      <c r="E141" s="243" t="s">
        <v>2448</v>
      </c>
      <c r="F141" s="243" t="s">
        <v>1808</v>
      </c>
      <c r="G141" s="243" t="n">
        <v>20</v>
      </c>
      <c r="H141" s="244" t="n">
        <v>5972</v>
      </c>
      <c r="I141" s="243" t="s">
        <v>176</v>
      </c>
      <c r="J141" s="244" t="n">
        <v>5972</v>
      </c>
      <c r="K141" s="243" t="s">
        <v>25</v>
      </c>
      <c r="L141" s="244" t="n">
        <v>5972</v>
      </c>
      <c r="M141" s="243" t="n">
        <v>17.57</v>
      </c>
      <c r="N141" s="246" t="n">
        <v>0</v>
      </c>
      <c r="O141" s="238" t="n">
        <f aca="false">'INPUT DEBT'!$M141-'INPUT DEBT'!$N141</f>
        <v>17.57</v>
      </c>
      <c r="P141" s="239" t="str">
        <f aca="false">IF(N141=0, "NOT DELIVERED", IF(O141=0, "CLEARED", "PARTIALLY DELIVERED"))</f>
        <v>NOT DELIVERED</v>
      </c>
    </row>
    <row r="142" customFormat="false" ht="14.25" hidden="false" customHeight="true" outlineLevel="0" collapsed="false">
      <c r="A142" s="237" t="n">
        <v>137</v>
      </c>
      <c r="B142" s="238" t="s">
        <v>174</v>
      </c>
      <c r="C142" s="238" t="s">
        <v>1591</v>
      </c>
      <c r="D142" s="238" t="s">
        <v>2449</v>
      </c>
      <c r="E142" s="238" t="s">
        <v>2450</v>
      </c>
      <c r="F142" s="238" t="s">
        <v>1808</v>
      </c>
      <c r="G142" s="238" t="n">
        <v>20</v>
      </c>
      <c r="H142" s="240" t="n">
        <v>6358</v>
      </c>
      <c r="I142" s="238" t="s">
        <v>176</v>
      </c>
      <c r="J142" s="240" t="n">
        <v>6358</v>
      </c>
      <c r="K142" s="238" t="s">
        <v>25</v>
      </c>
      <c r="L142" s="240" t="n">
        <v>6358</v>
      </c>
      <c r="M142" s="238" t="n">
        <v>18.7</v>
      </c>
      <c r="N142" s="241" t="n">
        <v>0</v>
      </c>
      <c r="O142" s="238" t="n">
        <f aca="false">'INPUT DEBT'!$M142-'INPUT DEBT'!$N142</f>
        <v>18.7</v>
      </c>
      <c r="P142" s="239" t="str">
        <f aca="false">IF(N142=0, "NOT DELIVERED", IF(O142=0, "CLEARED", "PARTIALLY DELIVERED"))</f>
        <v>NOT DELIVERED</v>
      </c>
    </row>
    <row r="143" customFormat="false" ht="14.25" hidden="false" customHeight="true" outlineLevel="0" collapsed="false">
      <c r="A143" s="242" t="n">
        <v>138</v>
      </c>
      <c r="B143" s="243" t="s">
        <v>174</v>
      </c>
      <c r="C143" s="243" t="s">
        <v>2451</v>
      </c>
      <c r="D143" s="243" t="s">
        <v>2452</v>
      </c>
      <c r="E143" s="243" t="s">
        <v>2453</v>
      </c>
      <c r="F143" s="243" t="s">
        <v>1808</v>
      </c>
      <c r="G143" s="243" t="n">
        <v>40</v>
      </c>
      <c r="H143" s="244" t="n">
        <v>8303</v>
      </c>
      <c r="I143" s="243" t="s">
        <v>176</v>
      </c>
      <c r="J143" s="244" t="n">
        <v>8303</v>
      </c>
      <c r="K143" s="243" t="s">
        <v>25</v>
      </c>
      <c r="L143" s="244" t="n">
        <v>8303</v>
      </c>
      <c r="M143" s="243" t="n">
        <v>24.42</v>
      </c>
      <c r="N143" s="246" t="n">
        <v>0</v>
      </c>
      <c r="O143" s="238" t="n">
        <f aca="false">'INPUT DEBT'!$M143-'INPUT DEBT'!$N143</f>
        <v>24.42</v>
      </c>
      <c r="P143" s="239" t="str">
        <f aca="false">IF(N143=0, "NOT DELIVERED", IF(O143=0, "CLEARED", "PARTIALLY DELIVERED"))</f>
        <v>NOT DELIVERED</v>
      </c>
    </row>
    <row r="144" customFormat="false" ht="14.25" hidden="false" customHeight="true" outlineLevel="0" collapsed="false">
      <c r="A144" s="237" t="n">
        <v>139</v>
      </c>
      <c r="B144" s="238" t="s">
        <v>174</v>
      </c>
      <c r="C144" s="238" t="s">
        <v>2454</v>
      </c>
      <c r="D144" s="238" t="s">
        <v>2455</v>
      </c>
      <c r="E144" s="238" t="s">
        <v>2345</v>
      </c>
      <c r="F144" s="238" t="s">
        <v>1808</v>
      </c>
      <c r="G144" s="238" t="n">
        <v>80</v>
      </c>
      <c r="H144" s="240" t="n">
        <v>13963</v>
      </c>
      <c r="I144" s="238" t="s">
        <v>176</v>
      </c>
      <c r="J144" s="240" t="n">
        <v>13963</v>
      </c>
      <c r="K144" s="238" t="s">
        <v>25</v>
      </c>
      <c r="L144" s="240" t="n">
        <v>13963</v>
      </c>
      <c r="M144" s="238" t="n">
        <v>41.07</v>
      </c>
      <c r="N144" s="241" t="n">
        <v>0</v>
      </c>
      <c r="O144" s="238" t="n">
        <f aca="false">'INPUT DEBT'!$M144-'INPUT DEBT'!$N144</f>
        <v>41.07</v>
      </c>
      <c r="P144" s="239" t="str">
        <f aca="false">IF(N144=0, "NOT DELIVERED", IF(O144=0, "CLEARED", "PARTIALLY DELIVERED"))</f>
        <v>NOT DELIVERED</v>
      </c>
    </row>
    <row r="145" customFormat="false" ht="14.25" hidden="false" customHeight="true" outlineLevel="0" collapsed="false">
      <c r="A145" s="242" t="n">
        <v>140</v>
      </c>
      <c r="B145" s="243" t="s">
        <v>174</v>
      </c>
      <c r="C145" s="243" t="s">
        <v>2456</v>
      </c>
      <c r="D145" s="243" t="s">
        <v>2457</v>
      </c>
      <c r="E145" s="243" t="s">
        <v>2458</v>
      </c>
      <c r="F145" s="243" t="s">
        <v>1808</v>
      </c>
      <c r="G145" s="243" t="n">
        <v>20</v>
      </c>
      <c r="H145" s="244" t="n">
        <v>4422</v>
      </c>
      <c r="I145" s="243" t="s">
        <v>176</v>
      </c>
      <c r="J145" s="244" t="n">
        <v>4422</v>
      </c>
      <c r="K145" s="248" t="n">
        <f aca="false">'INPUT DEBT'!$J145-1146.6</f>
        <v>3275.4</v>
      </c>
      <c r="L145" s="244" t="n">
        <v>4422</v>
      </c>
      <c r="M145" s="243" t="n">
        <v>13</v>
      </c>
      <c r="N145" s="246" t="n">
        <v>0</v>
      </c>
      <c r="O145" s="238" t="n">
        <f aca="false">'INPUT DEBT'!$M145-'INPUT DEBT'!$N145</f>
        <v>13</v>
      </c>
      <c r="P145" s="239" t="str">
        <f aca="false">IF(N145=0, "NOT DELIVERED", IF(O145=0, "CLEARED", "PARTIALLY DELIVERED"))</f>
        <v>NOT DELIVERED</v>
      </c>
    </row>
    <row r="146" customFormat="false" ht="14.25" hidden="false" customHeight="true" outlineLevel="0" collapsed="false">
      <c r="A146" s="237" t="n">
        <v>141</v>
      </c>
      <c r="B146" s="238" t="s">
        <v>174</v>
      </c>
      <c r="C146" s="238" t="s">
        <v>2459</v>
      </c>
      <c r="D146" s="238" t="s">
        <v>2460</v>
      </c>
      <c r="E146" s="238" t="s">
        <v>2461</v>
      </c>
      <c r="F146" s="238" t="s">
        <v>1808</v>
      </c>
      <c r="G146" s="238" t="n">
        <v>20</v>
      </c>
      <c r="H146" s="240" t="n">
        <v>4875</v>
      </c>
      <c r="I146" s="238" t="s">
        <v>176</v>
      </c>
      <c r="J146" s="240" t="n">
        <v>4875</v>
      </c>
      <c r="K146" s="238" t="s">
        <v>25</v>
      </c>
      <c r="L146" s="240" t="n">
        <v>4875</v>
      </c>
      <c r="M146" s="238" t="n">
        <v>14.34</v>
      </c>
      <c r="N146" s="241" t="n">
        <v>0</v>
      </c>
      <c r="O146" s="238" t="n">
        <f aca="false">'INPUT DEBT'!$M146-'INPUT DEBT'!$N146</f>
        <v>14.34</v>
      </c>
      <c r="P146" s="239" t="str">
        <f aca="false">IF(N146=0, "NOT DELIVERED", IF(O146=0, "CLEARED", "PARTIALLY DELIVERED"))</f>
        <v>NOT DELIVERED</v>
      </c>
    </row>
    <row r="147" customFormat="false" ht="14.25" hidden="false" customHeight="true" outlineLevel="0" collapsed="false">
      <c r="A147" s="242" t="n">
        <v>142</v>
      </c>
      <c r="B147" s="243" t="s">
        <v>174</v>
      </c>
      <c r="C147" s="243" t="s">
        <v>2462</v>
      </c>
      <c r="D147" s="243" t="s">
        <v>2463</v>
      </c>
      <c r="E147" s="243" t="s">
        <v>2464</v>
      </c>
      <c r="F147" s="243" t="s">
        <v>1808</v>
      </c>
      <c r="G147" s="243" t="n">
        <v>10</v>
      </c>
      <c r="H147" s="244" t="n">
        <v>2588</v>
      </c>
      <c r="I147" s="243" t="s">
        <v>176</v>
      </c>
      <c r="J147" s="244" t="n">
        <v>2588</v>
      </c>
      <c r="K147" s="243" t="s">
        <v>25</v>
      </c>
      <c r="L147" s="244" t="n">
        <v>2588</v>
      </c>
      <c r="M147" s="243" t="n">
        <v>7.61</v>
      </c>
      <c r="N147" s="246" t="n">
        <v>0</v>
      </c>
      <c r="O147" s="238" t="n">
        <f aca="false">'INPUT DEBT'!$M147-'INPUT DEBT'!$N147</f>
        <v>7.61</v>
      </c>
      <c r="P147" s="239" t="str">
        <f aca="false">IF(N147=0, "NOT DELIVERED", IF(O147=0, "CLEARED", "PARTIALLY DELIVERED"))</f>
        <v>NOT DELIVERED</v>
      </c>
    </row>
    <row r="148" customFormat="false" ht="14.25" hidden="false" customHeight="true" outlineLevel="0" collapsed="false">
      <c r="A148" s="237" t="n">
        <v>143</v>
      </c>
      <c r="B148" s="238" t="s">
        <v>174</v>
      </c>
      <c r="C148" s="238" t="s">
        <v>2465</v>
      </c>
      <c r="D148" s="238" t="s">
        <v>2466</v>
      </c>
      <c r="E148" s="238" t="s">
        <v>2467</v>
      </c>
      <c r="F148" s="238" t="s">
        <v>1808</v>
      </c>
      <c r="G148" s="238" t="n">
        <v>40</v>
      </c>
      <c r="H148" s="240" t="n">
        <v>7959</v>
      </c>
      <c r="I148" s="240" t="n">
        <v>3739</v>
      </c>
      <c r="J148" s="240" t="n">
        <v>4219</v>
      </c>
      <c r="K148" s="238" t="s">
        <v>25</v>
      </c>
      <c r="L148" s="240" t="n">
        <v>4219</v>
      </c>
      <c r="M148" s="238" t="n">
        <v>23.41</v>
      </c>
      <c r="N148" s="241" t="n">
        <v>0</v>
      </c>
      <c r="O148" s="238" t="n">
        <f aca="false">'INPUT DEBT'!$M148-'INPUT DEBT'!$N148</f>
        <v>23.41</v>
      </c>
      <c r="P148" s="239" t="str">
        <f aca="false">IF(N148=0, "NOT DELIVERED", IF(O148=0, "CLEARED", "PARTIALLY DELIVERED"))</f>
        <v>NOT DELIVERED</v>
      </c>
    </row>
    <row r="149" customFormat="false" ht="14.25" hidden="false" customHeight="true" outlineLevel="0" collapsed="false">
      <c r="A149" s="242" t="n">
        <v>144</v>
      </c>
      <c r="B149" s="243" t="s">
        <v>174</v>
      </c>
      <c r="C149" s="243" t="s">
        <v>2468</v>
      </c>
      <c r="D149" s="243" t="s">
        <v>2469</v>
      </c>
      <c r="E149" s="243" t="s">
        <v>2470</v>
      </c>
      <c r="F149" s="243" t="s">
        <v>1808</v>
      </c>
      <c r="G149" s="243" t="n">
        <v>40</v>
      </c>
      <c r="H149" s="244" t="n">
        <v>15492</v>
      </c>
      <c r="I149" s="243" t="s">
        <v>176</v>
      </c>
      <c r="J149" s="244" t="n">
        <v>15492</v>
      </c>
      <c r="K149" s="243" t="s">
        <v>25</v>
      </c>
      <c r="L149" s="244" t="n">
        <v>15492</v>
      </c>
      <c r="M149" s="243" t="n">
        <v>45.56</v>
      </c>
      <c r="N149" s="246" t="n">
        <v>2.57</v>
      </c>
      <c r="O149" s="238" t="n">
        <f aca="false">'INPUT DEBT'!$M149-'INPUT DEBT'!$N149</f>
        <v>42.99</v>
      </c>
      <c r="P149" s="239" t="str">
        <f aca="false">IF(N149=0, "NOT DELIVERED", IF(O149=0, "CLEARED", "PARTIALLY DELIVERED"))</f>
        <v>PARTIALLY DELIVERED</v>
      </c>
    </row>
    <row r="150" customFormat="false" ht="14.25" hidden="false" customHeight="true" outlineLevel="0" collapsed="false">
      <c r="A150" s="237" t="n">
        <v>145</v>
      </c>
      <c r="B150" s="238" t="s">
        <v>174</v>
      </c>
      <c r="C150" s="238" t="s">
        <v>2471</v>
      </c>
      <c r="D150" s="238" t="s">
        <v>2472</v>
      </c>
      <c r="E150" s="238" t="s">
        <v>2473</v>
      </c>
      <c r="F150" s="238" t="s">
        <v>1808</v>
      </c>
      <c r="G150" s="238" t="n">
        <v>100</v>
      </c>
      <c r="H150" s="240" t="n">
        <v>29509</v>
      </c>
      <c r="I150" s="238" t="s">
        <v>176</v>
      </c>
      <c r="J150" s="240" t="n">
        <v>29509</v>
      </c>
      <c r="K150" s="238" t="s">
        <v>25</v>
      </c>
      <c r="L150" s="240" t="n">
        <v>29509</v>
      </c>
      <c r="M150" s="238" t="n">
        <v>86.79</v>
      </c>
      <c r="N150" s="241" t="n">
        <v>0</v>
      </c>
      <c r="O150" s="238" t="n">
        <f aca="false">'INPUT DEBT'!$M150-'INPUT DEBT'!$N150</f>
        <v>86.79</v>
      </c>
      <c r="P150" s="239" t="str">
        <f aca="false">IF(N150=0, "NOT DELIVERED", IF(O150=0, "CLEARED", "PARTIALLY DELIVERED"))</f>
        <v>NOT DELIVERED</v>
      </c>
    </row>
    <row r="151" customFormat="false" ht="14.25" hidden="false" customHeight="true" outlineLevel="0" collapsed="false">
      <c r="A151" s="242" t="n">
        <v>146</v>
      </c>
      <c r="B151" s="243" t="s">
        <v>174</v>
      </c>
      <c r="C151" s="243" t="s">
        <v>2474</v>
      </c>
      <c r="D151" s="243" t="s">
        <v>2475</v>
      </c>
      <c r="E151" s="243" t="s">
        <v>2476</v>
      </c>
      <c r="F151" s="243" t="s">
        <v>1808</v>
      </c>
      <c r="G151" s="243" t="n">
        <v>30</v>
      </c>
      <c r="H151" s="244" t="n">
        <v>8295</v>
      </c>
      <c r="I151" s="243" t="s">
        <v>176</v>
      </c>
      <c r="J151" s="244" t="n">
        <v>8295</v>
      </c>
      <c r="K151" s="243" t="s">
        <v>25</v>
      </c>
      <c r="L151" s="244" t="n">
        <v>8295</v>
      </c>
      <c r="M151" s="243" t="n">
        <v>24.4</v>
      </c>
      <c r="N151" s="246" t="n">
        <v>0</v>
      </c>
      <c r="O151" s="238" t="n">
        <f aca="false">'INPUT DEBT'!$M151-'INPUT DEBT'!$N151</f>
        <v>24.4</v>
      </c>
      <c r="P151" s="239" t="str">
        <f aca="false">IF(N151=0, "NOT DELIVERED", IF(O151=0, "CLEARED", "PARTIALLY DELIVERED"))</f>
        <v>NOT DELIVERED</v>
      </c>
    </row>
    <row r="152" customFormat="false" ht="14.25" hidden="false" customHeight="true" outlineLevel="0" collapsed="false">
      <c r="A152" s="237" t="n">
        <v>147</v>
      </c>
      <c r="B152" s="238" t="s">
        <v>174</v>
      </c>
      <c r="C152" s="238" t="s">
        <v>2477</v>
      </c>
      <c r="D152" s="238" t="s">
        <v>2478</v>
      </c>
      <c r="E152" s="238" t="s">
        <v>2479</v>
      </c>
      <c r="F152" s="238" t="s">
        <v>1808</v>
      </c>
      <c r="G152" s="238" t="n">
        <v>20</v>
      </c>
      <c r="H152" s="240" t="n">
        <v>3384</v>
      </c>
      <c r="I152" s="238" t="s">
        <v>176</v>
      </c>
      <c r="J152" s="240" t="n">
        <v>3384</v>
      </c>
      <c r="K152" s="238" t="s">
        <v>25</v>
      </c>
      <c r="L152" s="240" t="n">
        <v>3384</v>
      </c>
      <c r="M152" s="238" t="n">
        <v>9.95</v>
      </c>
      <c r="N152" s="241" t="n">
        <v>0</v>
      </c>
      <c r="O152" s="238" t="n">
        <f aca="false">'INPUT DEBT'!$M152-'INPUT DEBT'!$N152</f>
        <v>9.95</v>
      </c>
      <c r="P152" s="239" t="str">
        <f aca="false">IF(N152=0, "NOT DELIVERED", IF(O152=0, "CLEARED", "PARTIALLY DELIVERED"))</f>
        <v>NOT DELIVERED</v>
      </c>
    </row>
    <row r="153" customFormat="false" ht="14.25" hidden="false" customHeight="true" outlineLevel="0" collapsed="false">
      <c r="A153" s="242" t="n">
        <v>148</v>
      </c>
      <c r="B153" s="243" t="s">
        <v>174</v>
      </c>
      <c r="C153" s="243" t="s">
        <v>2480</v>
      </c>
      <c r="D153" s="243" t="s">
        <v>2481</v>
      </c>
      <c r="E153" s="243" t="s">
        <v>2482</v>
      </c>
      <c r="F153" s="243" t="s">
        <v>1808</v>
      </c>
      <c r="G153" s="243" t="n">
        <v>10</v>
      </c>
      <c r="H153" s="244" t="n">
        <v>1368</v>
      </c>
      <c r="I153" s="243" t="s">
        <v>176</v>
      </c>
      <c r="J153" s="244" t="n">
        <v>1368</v>
      </c>
      <c r="K153" s="243" t="s">
        <v>25</v>
      </c>
      <c r="L153" s="244" t="n">
        <v>1368</v>
      </c>
      <c r="M153" s="243" t="n">
        <v>4.02</v>
      </c>
      <c r="N153" s="246" t="n">
        <v>0</v>
      </c>
      <c r="O153" s="238" t="n">
        <f aca="false">'INPUT DEBT'!$M153-'INPUT DEBT'!$N153</f>
        <v>4.02</v>
      </c>
      <c r="P153" s="239" t="str">
        <f aca="false">IF(N153=0, "NOT DELIVERED", IF(O153=0, "CLEARED", "PARTIALLY DELIVERED"))</f>
        <v>NOT DELIVERED</v>
      </c>
    </row>
    <row r="154" customFormat="false" ht="14.25" hidden="false" customHeight="true" outlineLevel="0" collapsed="false">
      <c r="A154" s="237" t="n">
        <v>149</v>
      </c>
      <c r="B154" s="238" t="s">
        <v>174</v>
      </c>
      <c r="C154" s="238" t="s">
        <v>2483</v>
      </c>
      <c r="D154" s="238" t="s">
        <v>2484</v>
      </c>
      <c r="E154" s="238" t="s">
        <v>2485</v>
      </c>
      <c r="F154" s="238" t="s">
        <v>1808</v>
      </c>
      <c r="G154" s="238" t="n">
        <v>20</v>
      </c>
      <c r="H154" s="240" t="n">
        <v>7069</v>
      </c>
      <c r="I154" s="240" t="n">
        <v>2108</v>
      </c>
      <c r="J154" s="240" t="n">
        <v>4960</v>
      </c>
      <c r="K154" s="238" t="s">
        <v>25</v>
      </c>
      <c r="L154" s="240" t="n">
        <v>4960</v>
      </c>
      <c r="M154" s="238" t="n">
        <v>20.79</v>
      </c>
      <c r="N154" s="241" t="n">
        <v>5.78</v>
      </c>
      <c r="O154" s="238" t="n">
        <f aca="false">'INPUT DEBT'!$M154-'INPUT DEBT'!$N154</f>
        <v>15.01</v>
      </c>
      <c r="P154" s="239" t="str">
        <f aca="false">IF(N154=0, "NOT DELIVERED", IF(O154=0, "CLEARED", "PARTIALLY DELIVERED"))</f>
        <v>PARTIALLY DELIVERED</v>
      </c>
    </row>
    <row r="155" customFormat="false" ht="14.25" hidden="false" customHeight="true" outlineLevel="0" collapsed="false">
      <c r="A155" s="242" t="n">
        <v>150</v>
      </c>
      <c r="B155" s="243" t="s">
        <v>174</v>
      </c>
      <c r="C155" s="243" t="s">
        <v>2486</v>
      </c>
      <c r="D155" s="243" t="s">
        <v>2487</v>
      </c>
      <c r="E155" s="243" t="s">
        <v>2488</v>
      </c>
      <c r="F155" s="243" t="s">
        <v>1808</v>
      </c>
      <c r="G155" s="243" t="n">
        <v>40</v>
      </c>
      <c r="H155" s="244" t="n">
        <v>7770</v>
      </c>
      <c r="I155" s="243" t="s">
        <v>176</v>
      </c>
      <c r="J155" s="244" t="n">
        <v>7770</v>
      </c>
      <c r="K155" s="243" t="s">
        <v>25</v>
      </c>
      <c r="L155" s="244" t="n">
        <v>7770</v>
      </c>
      <c r="M155" s="243" t="n">
        <v>22.85</v>
      </c>
      <c r="N155" s="246" t="n">
        <v>2.02</v>
      </c>
      <c r="O155" s="238" t="n">
        <f aca="false">'INPUT DEBT'!$M155-'INPUT DEBT'!$N155</f>
        <v>20.83</v>
      </c>
      <c r="P155" s="239" t="str">
        <f aca="false">IF(N155=0, "NOT DELIVERED", IF(O155=0, "CLEARED", "PARTIALLY DELIVERED"))</f>
        <v>PARTIALLY DELIVERED</v>
      </c>
    </row>
    <row r="156" customFormat="false" ht="14.25" hidden="false" customHeight="true" outlineLevel="0" collapsed="false">
      <c r="A156" s="237" t="n">
        <v>151</v>
      </c>
      <c r="B156" s="238" t="s">
        <v>174</v>
      </c>
      <c r="C156" s="238" t="s">
        <v>2489</v>
      </c>
      <c r="D156" s="238" t="s">
        <v>2490</v>
      </c>
      <c r="E156" s="238" t="s">
        <v>2491</v>
      </c>
      <c r="F156" s="238" t="s">
        <v>1808</v>
      </c>
      <c r="G156" s="238" t="n">
        <v>10</v>
      </c>
      <c r="H156" s="240" t="n">
        <v>3085</v>
      </c>
      <c r="I156" s="238" t="s">
        <v>176</v>
      </c>
      <c r="J156" s="240" t="n">
        <v>3085</v>
      </c>
      <c r="K156" s="238" t="s">
        <v>25</v>
      </c>
      <c r="L156" s="240" t="n">
        <v>3085</v>
      </c>
      <c r="M156" s="238" t="n">
        <v>9.07</v>
      </c>
      <c r="N156" s="241" t="n">
        <v>0</v>
      </c>
      <c r="O156" s="238" t="n">
        <f aca="false">'INPUT DEBT'!$M156-'INPUT DEBT'!$N156</f>
        <v>9.07</v>
      </c>
      <c r="P156" s="239" t="str">
        <f aca="false">IF(N156=0, "NOT DELIVERED", IF(O156=0, "CLEARED", "PARTIALLY DELIVERED"))</f>
        <v>NOT DELIVERED</v>
      </c>
    </row>
    <row r="157" customFormat="false" ht="14.25" hidden="false" customHeight="true" outlineLevel="0" collapsed="false">
      <c r="A157" s="242" t="n">
        <v>152</v>
      </c>
      <c r="B157" s="243" t="s">
        <v>174</v>
      </c>
      <c r="C157" s="243" t="s">
        <v>2492</v>
      </c>
      <c r="D157" s="243" t="s">
        <v>2493</v>
      </c>
      <c r="E157" s="243" t="s">
        <v>2494</v>
      </c>
      <c r="F157" s="243" t="s">
        <v>1808</v>
      </c>
      <c r="G157" s="243" t="n">
        <v>30</v>
      </c>
      <c r="H157" s="244" t="n">
        <v>7661</v>
      </c>
      <c r="I157" s="243" t="s">
        <v>176</v>
      </c>
      <c r="J157" s="244" t="n">
        <v>7661</v>
      </c>
      <c r="K157" s="243" t="s">
        <v>25</v>
      </c>
      <c r="L157" s="244" t="n">
        <v>7661</v>
      </c>
      <c r="M157" s="243" t="n">
        <v>22.53</v>
      </c>
      <c r="N157" s="246" t="n">
        <v>10.25</v>
      </c>
      <c r="O157" s="238" t="n">
        <f aca="false">'INPUT DEBT'!$M157-'INPUT DEBT'!$N157</f>
        <v>12.28</v>
      </c>
      <c r="P157" s="239" t="str">
        <f aca="false">IF(N157=0, "NOT DELIVERED", IF(O157=0, "CLEARED", "PARTIALLY DELIVERED"))</f>
        <v>PARTIALLY DELIVERED</v>
      </c>
    </row>
    <row r="158" customFormat="false" ht="14.25" hidden="false" customHeight="true" outlineLevel="0" collapsed="false">
      <c r="A158" s="237" t="n">
        <v>153</v>
      </c>
      <c r="B158" s="238" t="s">
        <v>174</v>
      </c>
      <c r="C158" s="238" t="s">
        <v>2495</v>
      </c>
      <c r="D158" s="238" t="s">
        <v>2496</v>
      </c>
      <c r="E158" s="238" t="s">
        <v>2497</v>
      </c>
      <c r="F158" s="238" t="s">
        <v>1808</v>
      </c>
      <c r="G158" s="238" t="n">
        <v>30</v>
      </c>
      <c r="H158" s="240" t="n">
        <v>8025</v>
      </c>
      <c r="I158" s="238" t="s">
        <v>176</v>
      </c>
      <c r="J158" s="240" t="n">
        <v>8025</v>
      </c>
      <c r="K158" s="240" t="n">
        <v>8450</v>
      </c>
      <c r="L158" s="238" t="n">
        <v>-424</v>
      </c>
      <c r="M158" s="238" t="n">
        <v>23.6</v>
      </c>
      <c r="N158" s="241" t="n">
        <v>3.33</v>
      </c>
      <c r="O158" s="238" t="n">
        <f aca="false">'INPUT DEBT'!$M158-'INPUT DEBT'!$N158</f>
        <v>20.27</v>
      </c>
      <c r="P158" s="239" t="str">
        <f aca="false">IF(N158=0, "NOT DELIVERED", IF(O158=0, "CLEARED", "PARTIALLY DELIVERED"))</f>
        <v>PARTIALLY DELIVERED</v>
      </c>
    </row>
    <row r="159" customFormat="false" ht="14.25" hidden="false" customHeight="true" outlineLevel="0" collapsed="false">
      <c r="A159" s="242" t="n">
        <v>154</v>
      </c>
      <c r="B159" s="243" t="s">
        <v>174</v>
      </c>
      <c r="C159" s="243" t="s">
        <v>2498</v>
      </c>
      <c r="D159" s="243" t="s">
        <v>2499</v>
      </c>
      <c r="E159" s="243" t="s">
        <v>2500</v>
      </c>
      <c r="F159" s="243" t="s">
        <v>1808</v>
      </c>
      <c r="G159" s="243" t="n">
        <v>10</v>
      </c>
      <c r="H159" s="244" t="n">
        <v>3719</v>
      </c>
      <c r="I159" s="243" t="s">
        <v>176</v>
      </c>
      <c r="J159" s="244" t="n">
        <v>3719</v>
      </c>
      <c r="K159" s="243" t="s">
        <v>25</v>
      </c>
      <c r="L159" s="244" t="n">
        <v>3719</v>
      </c>
      <c r="M159" s="243" t="n">
        <v>10.94</v>
      </c>
      <c r="N159" s="246" t="n">
        <v>0</v>
      </c>
      <c r="O159" s="238" t="n">
        <f aca="false">'INPUT DEBT'!$M159-'INPUT DEBT'!$N159</f>
        <v>10.94</v>
      </c>
      <c r="P159" s="239" t="str">
        <f aca="false">IF(N159=0, "NOT DELIVERED", IF(O159=0, "CLEARED", "PARTIALLY DELIVERED"))</f>
        <v>NOT DELIVERED</v>
      </c>
    </row>
    <row r="160" customFormat="false" ht="14.25" hidden="false" customHeight="true" outlineLevel="0" collapsed="false">
      <c r="A160" s="237" t="n">
        <v>155</v>
      </c>
      <c r="B160" s="238" t="s">
        <v>174</v>
      </c>
      <c r="C160" s="238" t="s">
        <v>2501</v>
      </c>
      <c r="D160" s="238" t="s">
        <v>2502</v>
      </c>
      <c r="E160" s="238" t="s">
        <v>2503</v>
      </c>
      <c r="F160" s="238" t="s">
        <v>1808</v>
      </c>
      <c r="G160" s="238" t="n">
        <v>25</v>
      </c>
      <c r="H160" s="240" t="n">
        <v>1712</v>
      </c>
      <c r="I160" s="238" t="s">
        <v>176</v>
      </c>
      <c r="J160" s="240" t="n">
        <v>1712</v>
      </c>
      <c r="K160" s="238" t="s">
        <v>25</v>
      </c>
      <c r="L160" s="240" t="n">
        <v>1712</v>
      </c>
      <c r="M160" s="238" t="n">
        <v>5.03</v>
      </c>
      <c r="N160" s="241" t="n">
        <v>0</v>
      </c>
      <c r="O160" s="238" t="n">
        <f aca="false">'INPUT DEBT'!$M160-'INPUT DEBT'!$N160</f>
        <v>5.03</v>
      </c>
      <c r="P160" s="239" t="str">
        <f aca="false">IF(N160=0, "NOT DELIVERED", IF(O160=0, "CLEARED", "PARTIALLY DELIVERED"))</f>
        <v>NOT DELIVERED</v>
      </c>
    </row>
    <row r="161" customFormat="false" ht="14.25" hidden="false" customHeight="true" outlineLevel="0" collapsed="false">
      <c r="A161" s="242" t="n">
        <v>156</v>
      </c>
      <c r="B161" s="243" t="s">
        <v>174</v>
      </c>
      <c r="C161" s="243" t="s">
        <v>2504</v>
      </c>
      <c r="D161" s="243" t="s">
        <v>2505</v>
      </c>
      <c r="E161" s="243" t="s">
        <v>2506</v>
      </c>
      <c r="F161" s="243" t="s">
        <v>1808</v>
      </c>
      <c r="G161" s="243" t="n">
        <v>50</v>
      </c>
      <c r="H161" s="244" t="n">
        <v>11454</v>
      </c>
      <c r="I161" s="243" t="s">
        <v>176</v>
      </c>
      <c r="J161" s="244" t="n">
        <v>11454</v>
      </c>
      <c r="K161" s="243" t="s">
        <v>25</v>
      </c>
      <c r="L161" s="244" t="n">
        <v>11454</v>
      </c>
      <c r="M161" s="243" t="n">
        <v>33.69</v>
      </c>
      <c r="N161" s="246" t="n">
        <v>26.72</v>
      </c>
      <c r="O161" s="238" t="n">
        <f aca="false">'INPUT DEBT'!$M161-'INPUT DEBT'!$N161</f>
        <v>6.97</v>
      </c>
      <c r="P161" s="239" t="str">
        <f aca="false">IF(N161=0, "NOT DELIVERED", IF(O161=0, "CLEARED", "PARTIALLY DELIVERED"))</f>
        <v>PARTIALLY DELIVERED</v>
      </c>
    </row>
    <row r="162" customFormat="false" ht="14.25" hidden="false" customHeight="true" outlineLevel="0" collapsed="false">
      <c r="A162" s="237" t="n">
        <v>157</v>
      </c>
      <c r="B162" s="238" t="s">
        <v>174</v>
      </c>
      <c r="C162" s="238" t="s">
        <v>2507</v>
      </c>
      <c r="D162" s="238" t="s">
        <v>2508</v>
      </c>
      <c r="E162" s="238" t="s">
        <v>2509</v>
      </c>
      <c r="F162" s="238" t="s">
        <v>1808</v>
      </c>
      <c r="G162" s="238" t="n">
        <v>20</v>
      </c>
      <c r="H162" s="240" t="n">
        <v>7874</v>
      </c>
      <c r="I162" s="238" t="n">
        <v>934</v>
      </c>
      <c r="J162" s="240" t="n">
        <v>6940</v>
      </c>
      <c r="K162" s="238" t="s">
        <v>25</v>
      </c>
      <c r="L162" s="240" t="n">
        <v>6940</v>
      </c>
      <c r="M162" s="238" t="n">
        <v>23.16</v>
      </c>
      <c r="N162" s="241" t="n">
        <v>2.56</v>
      </c>
      <c r="O162" s="238" t="n">
        <f aca="false">'INPUT DEBT'!$M162-'INPUT DEBT'!$N162</f>
        <v>20.6</v>
      </c>
      <c r="P162" s="239" t="str">
        <f aca="false">IF(N162=0, "NOT DELIVERED", IF(O162=0, "CLEARED", "PARTIALLY DELIVERED"))</f>
        <v>PARTIALLY DELIVERED</v>
      </c>
    </row>
    <row r="163" customFormat="false" ht="14.25" hidden="false" customHeight="true" outlineLevel="0" collapsed="false">
      <c r="A163" s="242" t="n">
        <v>158</v>
      </c>
      <c r="B163" s="243" t="s">
        <v>174</v>
      </c>
      <c r="C163" s="243" t="s">
        <v>2510</v>
      </c>
      <c r="D163" s="243" t="s">
        <v>2511</v>
      </c>
      <c r="E163" s="243" t="s">
        <v>2512</v>
      </c>
      <c r="F163" s="243" t="s">
        <v>1808</v>
      </c>
      <c r="G163" s="243" t="n">
        <v>20</v>
      </c>
      <c r="H163" s="244" t="n">
        <v>7215</v>
      </c>
      <c r="I163" s="244" t="n">
        <v>4579</v>
      </c>
      <c r="J163" s="244" t="n">
        <v>2636</v>
      </c>
      <c r="K163" s="243" t="s">
        <v>25</v>
      </c>
      <c r="L163" s="244" t="n">
        <v>2636</v>
      </c>
      <c r="M163" s="243" t="n">
        <v>21.22</v>
      </c>
      <c r="N163" s="246" t="n">
        <v>12.56</v>
      </c>
      <c r="O163" s="238" t="n">
        <f aca="false">'INPUT DEBT'!$M163-'INPUT DEBT'!$N163</f>
        <v>8.66</v>
      </c>
      <c r="P163" s="239" t="str">
        <f aca="false">IF(N163=0, "NOT DELIVERED", IF(O163=0, "CLEARED", "PARTIALLY DELIVERED"))</f>
        <v>PARTIALLY DELIVERED</v>
      </c>
    </row>
    <row r="164" customFormat="false" ht="14.25" hidden="false" customHeight="true" outlineLevel="0" collapsed="false">
      <c r="A164" s="237" t="n">
        <v>159</v>
      </c>
      <c r="B164" s="238" t="s">
        <v>174</v>
      </c>
      <c r="C164" s="238" t="s">
        <v>2510</v>
      </c>
      <c r="D164" s="238" t="s">
        <v>2513</v>
      </c>
      <c r="E164" s="238" t="s">
        <v>2514</v>
      </c>
      <c r="F164" s="238" t="s">
        <v>1808</v>
      </c>
      <c r="G164" s="238" t="n">
        <v>10</v>
      </c>
      <c r="H164" s="240" t="n">
        <v>4051</v>
      </c>
      <c r="I164" s="240" t="n">
        <v>2176</v>
      </c>
      <c r="J164" s="240" t="n">
        <v>1875</v>
      </c>
      <c r="K164" s="238" t="s">
        <v>25</v>
      </c>
      <c r="L164" s="240" t="n">
        <v>1875</v>
      </c>
      <c r="M164" s="238" t="n">
        <v>11.91</v>
      </c>
      <c r="N164" s="241" t="n">
        <v>5.97</v>
      </c>
      <c r="O164" s="238" t="n">
        <f aca="false">'INPUT DEBT'!$M164-'INPUT DEBT'!$N164</f>
        <v>5.94</v>
      </c>
      <c r="P164" s="239" t="str">
        <f aca="false">IF(N164=0, "NOT DELIVERED", IF(O164=0, "CLEARED", "PARTIALLY DELIVERED"))</f>
        <v>PARTIALLY DELIVERED</v>
      </c>
    </row>
    <row r="165" customFormat="false" ht="14.25" hidden="false" customHeight="true" outlineLevel="0" collapsed="false">
      <c r="A165" s="242" t="n">
        <v>160</v>
      </c>
      <c r="B165" s="243" t="s">
        <v>174</v>
      </c>
      <c r="C165" s="243" t="s">
        <v>1543</v>
      </c>
      <c r="D165" s="243" t="s">
        <v>2515</v>
      </c>
      <c r="E165" s="243" t="s">
        <v>2516</v>
      </c>
      <c r="F165" s="243" t="s">
        <v>1808</v>
      </c>
      <c r="G165" s="243" t="n">
        <v>20</v>
      </c>
      <c r="H165" s="244" t="n">
        <v>5657</v>
      </c>
      <c r="I165" s="244" t="n">
        <v>3892</v>
      </c>
      <c r="J165" s="244" t="n">
        <v>1765</v>
      </c>
      <c r="K165" s="243" t="s">
        <v>25</v>
      </c>
      <c r="L165" s="244" t="n">
        <v>1765</v>
      </c>
      <c r="M165" s="243" t="n">
        <v>16.64</v>
      </c>
      <c r="N165" s="246" t="n">
        <v>10.67</v>
      </c>
      <c r="O165" s="238" t="n">
        <f aca="false">'INPUT DEBT'!$M165-'INPUT DEBT'!$N165</f>
        <v>5.97</v>
      </c>
      <c r="P165" s="239" t="str">
        <f aca="false">IF(N165=0, "NOT DELIVERED", IF(O165=0, "CLEARED", "PARTIALLY DELIVERED"))</f>
        <v>PARTIALLY DELIVERED</v>
      </c>
    </row>
    <row r="166" customFormat="false" ht="14.25" hidden="false" customHeight="true" outlineLevel="0" collapsed="false">
      <c r="A166" s="237" t="n">
        <v>161</v>
      </c>
      <c r="B166" s="238" t="s">
        <v>174</v>
      </c>
      <c r="C166" s="238" t="s">
        <v>2456</v>
      </c>
      <c r="D166" s="238" t="s">
        <v>2517</v>
      </c>
      <c r="E166" s="238" t="s">
        <v>2458</v>
      </c>
      <c r="F166" s="238" t="s">
        <v>1808</v>
      </c>
      <c r="G166" s="238" t="n">
        <v>20</v>
      </c>
      <c r="H166" s="240" t="n">
        <v>3051</v>
      </c>
      <c r="I166" s="238" t="s">
        <v>176</v>
      </c>
      <c r="J166" s="240" t="n">
        <v>3051</v>
      </c>
      <c r="K166" s="238" t="s">
        <v>25</v>
      </c>
      <c r="L166" s="240" t="n">
        <v>3051</v>
      </c>
      <c r="M166" s="238" t="n">
        <v>8.97</v>
      </c>
      <c r="N166" s="241" t="n">
        <v>0</v>
      </c>
      <c r="O166" s="238" t="n">
        <f aca="false">'INPUT DEBT'!$M166-'INPUT DEBT'!$N166</f>
        <v>8.97</v>
      </c>
      <c r="P166" s="239" t="str">
        <f aca="false">IF(N166=0, "NOT DELIVERED", IF(O166=0, "CLEARED", "PARTIALLY DELIVERED"))</f>
        <v>NOT DELIVERED</v>
      </c>
    </row>
    <row r="167" customFormat="false" ht="14.25" hidden="false" customHeight="true" outlineLevel="0" collapsed="false">
      <c r="A167" s="242" t="n">
        <v>162</v>
      </c>
      <c r="B167" s="243" t="s">
        <v>174</v>
      </c>
      <c r="C167" s="243" t="s">
        <v>2518</v>
      </c>
      <c r="D167" s="243" t="s">
        <v>2519</v>
      </c>
      <c r="E167" s="243" t="s">
        <v>2520</v>
      </c>
      <c r="F167" s="243" t="s">
        <v>1808</v>
      </c>
      <c r="G167" s="243" t="n">
        <v>20</v>
      </c>
      <c r="H167" s="244" t="n">
        <v>4957</v>
      </c>
      <c r="I167" s="244" t="n">
        <v>2087</v>
      </c>
      <c r="J167" s="244" t="n">
        <v>2870</v>
      </c>
      <c r="K167" s="243" t="s">
        <v>25</v>
      </c>
      <c r="L167" s="244" t="n">
        <v>2870</v>
      </c>
      <c r="M167" s="243" t="n">
        <v>14.58</v>
      </c>
      <c r="N167" s="246" t="n">
        <v>5.72</v>
      </c>
      <c r="O167" s="238" t="n">
        <f aca="false">'INPUT DEBT'!$M167-'INPUT DEBT'!$N167</f>
        <v>8.86</v>
      </c>
      <c r="P167" s="239" t="str">
        <f aca="false">IF(N167=0, "NOT DELIVERED", IF(O167=0, "CLEARED", "PARTIALLY DELIVERED"))</f>
        <v>PARTIALLY DELIVERED</v>
      </c>
    </row>
    <row r="168" customFormat="false" ht="14.25" hidden="false" customHeight="true" outlineLevel="0" collapsed="false">
      <c r="A168" s="237" t="n">
        <v>163</v>
      </c>
      <c r="B168" s="238" t="s">
        <v>174</v>
      </c>
      <c r="C168" s="238" t="s">
        <v>2521</v>
      </c>
      <c r="D168" s="238" t="s">
        <v>2522</v>
      </c>
      <c r="E168" s="238" t="s">
        <v>2523</v>
      </c>
      <c r="F168" s="238" t="s">
        <v>1808</v>
      </c>
      <c r="G168" s="238" t="n">
        <v>60</v>
      </c>
      <c r="H168" s="240" t="n">
        <v>10813</v>
      </c>
      <c r="I168" s="238" t="s">
        <v>176</v>
      </c>
      <c r="J168" s="240" t="n">
        <v>10813</v>
      </c>
      <c r="K168" s="238" t="s">
        <v>25</v>
      </c>
      <c r="L168" s="240" t="n">
        <v>10813</v>
      </c>
      <c r="M168" s="238" t="n">
        <v>31.8</v>
      </c>
      <c r="N168" s="241" t="n">
        <v>0</v>
      </c>
      <c r="O168" s="238" t="n">
        <f aca="false">'INPUT DEBT'!$M168-'INPUT DEBT'!$N168</f>
        <v>31.8</v>
      </c>
      <c r="P168" s="239" t="str">
        <f aca="false">IF(N168=0, "NOT DELIVERED", IF(O168=0, "CLEARED", "PARTIALLY DELIVERED"))</f>
        <v>NOT DELIVERED</v>
      </c>
    </row>
    <row r="169" customFormat="false" ht="14.25" hidden="false" customHeight="true" outlineLevel="0" collapsed="false">
      <c r="A169" s="242" t="n">
        <v>164</v>
      </c>
      <c r="B169" s="243" t="s">
        <v>174</v>
      </c>
      <c r="C169" s="243" t="s">
        <v>2524</v>
      </c>
      <c r="D169" s="243" t="s">
        <v>2525</v>
      </c>
      <c r="E169" s="243" t="s">
        <v>2526</v>
      </c>
      <c r="F169" s="243" t="s">
        <v>1808</v>
      </c>
      <c r="G169" s="243" t="n">
        <v>30</v>
      </c>
      <c r="H169" s="244" t="n">
        <v>3628</v>
      </c>
      <c r="I169" s="244" t="n">
        <v>1109</v>
      </c>
      <c r="J169" s="244" t="n">
        <v>2519</v>
      </c>
      <c r="K169" s="243" t="s">
        <v>25</v>
      </c>
      <c r="L169" s="244" t="n">
        <v>2519</v>
      </c>
      <c r="M169" s="243" t="n">
        <v>10.67</v>
      </c>
      <c r="N169" s="246" t="n">
        <v>3.04</v>
      </c>
      <c r="O169" s="238" t="n">
        <f aca="false">'INPUT DEBT'!$M169-'INPUT DEBT'!$N169</f>
        <v>7.63</v>
      </c>
      <c r="P169" s="239" t="str">
        <f aca="false">IF(N169=0, "NOT DELIVERED", IF(O169=0, "CLEARED", "PARTIALLY DELIVERED"))</f>
        <v>PARTIALLY DELIVERED</v>
      </c>
    </row>
    <row r="170" customFormat="false" ht="14.25" hidden="false" customHeight="true" outlineLevel="0" collapsed="false">
      <c r="A170" s="237" t="n">
        <v>165</v>
      </c>
      <c r="B170" s="238" t="s">
        <v>174</v>
      </c>
      <c r="C170" s="238" t="s">
        <v>2527</v>
      </c>
      <c r="D170" s="238" t="s">
        <v>2528</v>
      </c>
      <c r="E170" s="238" t="s">
        <v>2529</v>
      </c>
      <c r="F170" s="238" t="s">
        <v>1808</v>
      </c>
      <c r="G170" s="238" t="n">
        <v>35</v>
      </c>
      <c r="H170" s="240" t="n">
        <v>6985</v>
      </c>
      <c r="I170" s="238" t="s">
        <v>176</v>
      </c>
      <c r="J170" s="240" t="n">
        <v>6985</v>
      </c>
      <c r="K170" s="238" t="s">
        <v>25</v>
      </c>
      <c r="L170" s="240" t="n">
        <v>6985</v>
      </c>
      <c r="M170" s="238" t="n">
        <v>20.54</v>
      </c>
      <c r="N170" s="241" t="n">
        <v>0</v>
      </c>
      <c r="O170" s="238" t="n">
        <f aca="false">'INPUT DEBT'!$M170-'INPUT DEBT'!$N170</f>
        <v>20.54</v>
      </c>
      <c r="P170" s="239" t="str">
        <f aca="false">IF(N170=0, "NOT DELIVERED", IF(O170=0, "CLEARED", "PARTIALLY DELIVERED"))</f>
        <v>NOT DELIVERED</v>
      </c>
    </row>
    <row r="171" customFormat="false" ht="14.25" hidden="false" customHeight="true" outlineLevel="0" collapsed="false">
      <c r="A171" s="242" t="n">
        <v>166</v>
      </c>
      <c r="B171" s="243" t="s">
        <v>174</v>
      </c>
      <c r="C171" s="243" t="s">
        <v>2530</v>
      </c>
      <c r="D171" s="243" t="s">
        <v>1638</v>
      </c>
      <c r="E171" s="243" t="s">
        <v>2531</v>
      </c>
      <c r="F171" s="243" t="s">
        <v>1808</v>
      </c>
      <c r="G171" s="243" t="n">
        <v>15</v>
      </c>
      <c r="H171" s="243" t="s">
        <v>2116</v>
      </c>
      <c r="I171" s="243" t="s">
        <v>176</v>
      </c>
      <c r="J171" s="243" t="s">
        <v>176</v>
      </c>
      <c r="K171" s="243" t="s">
        <v>25</v>
      </c>
      <c r="L171" s="243" t="s">
        <v>176</v>
      </c>
      <c r="M171" s="243" t="n">
        <v>0</v>
      </c>
      <c r="N171" s="246" t="n">
        <v>0</v>
      </c>
      <c r="O171" s="238" t="n">
        <f aca="false">'INPUT DEBT'!$M171-'INPUT DEBT'!$N171</f>
        <v>0</v>
      </c>
      <c r="P171" s="239" t="s">
        <v>2117</v>
      </c>
    </row>
    <row r="172" customFormat="false" ht="14.25" hidden="false" customHeight="true" outlineLevel="0" collapsed="false">
      <c r="A172" s="237" t="n">
        <v>167</v>
      </c>
      <c r="B172" s="238" t="s">
        <v>174</v>
      </c>
      <c r="C172" s="238" t="s">
        <v>2530</v>
      </c>
      <c r="D172" s="238" t="s">
        <v>2532</v>
      </c>
      <c r="E172" s="238" t="s">
        <v>2533</v>
      </c>
      <c r="F172" s="238" t="s">
        <v>1808</v>
      </c>
      <c r="G172" s="238" t="n">
        <v>35</v>
      </c>
      <c r="H172" s="240" t="n">
        <v>6445</v>
      </c>
      <c r="I172" s="238" t="s">
        <v>176</v>
      </c>
      <c r="J172" s="240" t="n">
        <v>6445</v>
      </c>
      <c r="K172" s="238" t="s">
        <v>25</v>
      </c>
      <c r="L172" s="240" t="n">
        <v>6445</v>
      </c>
      <c r="M172" s="238" t="n">
        <v>18.95</v>
      </c>
      <c r="N172" s="241" t="n">
        <v>0</v>
      </c>
      <c r="O172" s="238" t="n">
        <f aca="false">'INPUT DEBT'!$M172-'INPUT DEBT'!$N172</f>
        <v>18.95</v>
      </c>
      <c r="P172" s="239" t="str">
        <f aca="false">IF(N172=0, "NOT DELIVERED", IF(O172=0, "CLEARED", "PARTIALLY DELIVERED"))</f>
        <v>NOT DELIVERED</v>
      </c>
    </row>
    <row r="173" customFormat="false" ht="14.25" hidden="false" customHeight="true" outlineLevel="0" collapsed="false">
      <c r="A173" s="242" t="n">
        <v>168</v>
      </c>
      <c r="B173" s="243" t="s">
        <v>174</v>
      </c>
      <c r="C173" s="243" t="s">
        <v>2315</v>
      </c>
      <c r="D173" s="243" t="s">
        <v>2534</v>
      </c>
      <c r="E173" s="243" t="s">
        <v>2535</v>
      </c>
      <c r="F173" s="243" t="s">
        <v>1808</v>
      </c>
      <c r="G173" s="243" t="n">
        <v>20</v>
      </c>
      <c r="H173" s="244" t="n">
        <v>6193</v>
      </c>
      <c r="I173" s="244" t="n">
        <v>3678</v>
      </c>
      <c r="J173" s="244" t="n">
        <v>2515</v>
      </c>
      <c r="K173" s="243" t="s">
        <v>25</v>
      </c>
      <c r="L173" s="244" t="n">
        <v>2515</v>
      </c>
      <c r="M173" s="243" t="n">
        <v>18.21</v>
      </c>
      <c r="N173" s="246" t="n">
        <v>10.08</v>
      </c>
      <c r="O173" s="238" t="n">
        <f aca="false">'INPUT DEBT'!$M173-'INPUT DEBT'!$N173</f>
        <v>8.13</v>
      </c>
      <c r="P173" s="239" t="str">
        <f aca="false">IF(N173=0, "NOT DELIVERED", IF(O173=0, "CLEARED", "PARTIALLY DELIVERED"))</f>
        <v>PARTIALLY DELIVERED</v>
      </c>
    </row>
    <row r="174" customFormat="false" ht="14.25" hidden="false" customHeight="true" outlineLevel="0" collapsed="false">
      <c r="A174" s="237" t="n">
        <v>169</v>
      </c>
      <c r="B174" s="238" t="s">
        <v>174</v>
      </c>
      <c r="C174" s="238" t="s">
        <v>2536</v>
      </c>
      <c r="D174" s="238" t="s">
        <v>2537</v>
      </c>
      <c r="E174" s="238" t="s">
        <v>2538</v>
      </c>
      <c r="F174" s="238" t="s">
        <v>1808</v>
      </c>
      <c r="G174" s="238" t="n">
        <v>20</v>
      </c>
      <c r="H174" s="240" t="n">
        <v>5461</v>
      </c>
      <c r="I174" s="238" t="s">
        <v>176</v>
      </c>
      <c r="J174" s="240" t="n">
        <v>5461</v>
      </c>
      <c r="K174" s="238" t="s">
        <v>25</v>
      </c>
      <c r="L174" s="240" t="n">
        <v>5461</v>
      </c>
      <c r="M174" s="238" t="n">
        <v>16.06</v>
      </c>
      <c r="N174" s="241" t="n">
        <v>0</v>
      </c>
      <c r="O174" s="238" t="n">
        <f aca="false">'INPUT DEBT'!$M174-'INPUT DEBT'!$N174</f>
        <v>16.06</v>
      </c>
      <c r="P174" s="239" t="str">
        <f aca="false">IF(N174=0, "NOT DELIVERED", IF(O174=0, "CLEARED", "PARTIALLY DELIVERED"))</f>
        <v>NOT DELIVERED</v>
      </c>
    </row>
    <row r="175" customFormat="false" ht="14.25" hidden="false" customHeight="true" outlineLevel="0" collapsed="false">
      <c r="A175" s="242" t="n">
        <v>170</v>
      </c>
      <c r="B175" s="243" t="s">
        <v>174</v>
      </c>
      <c r="C175" s="243" t="s">
        <v>2530</v>
      </c>
      <c r="D175" s="243" t="s">
        <v>2539</v>
      </c>
      <c r="E175" s="243" t="s">
        <v>2540</v>
      </c>
      <c r="F175" s="243" t="s">
        <v>1808</v>
      </c>
      <c r="G175" s="243" t="n">
        <v>10</v>
      </c>
      <c r="H175" s="244" t="n">
        <v>2492</v>
      </c>
      <c r="I175" s="243" t="n">
        <v>65</v>
      </c>
      <c r="J175" s="244" t="n">
        <v>2427</v>
      </c>
      <c r="K175" s="243" t="s">
        <v>25</v>
      </c>
      <c r="L175" s="244" t="n">
        <v>2427</v>
      </c>
      <c r="M175" s="243" t="n">
        <v>7.33</v>
      </c>
      <c r="N175" s="246" t="n">
        <v>0.18</v>
      </c>
      <c r="O175" s="238" t="n">
        <f aca="false">'INPUT DEBT'!$M175-'INPUT DEBT'!$N175</f>
        <v>7.15</v>
      </c>
      <c r="P175" s="239" t="str">
        <f aca="false">IF(N175=0, "NOT DELIVERED", IF(O175=0, "CLEARED", "PARTIALLY DELIVERED"))</f>
        <v>PARTIALLY DELIVERED</v>
      </c>
    </row>
    <row r="176" customFormat="false" ht="14.25" hidden="false" customHeight="true" outlineLevel="0" collapsed="false">
      <c r="A176" s="237" t="n">
        <v>171</v>
      </c>
      <c r="B176" s="238" t="s">
        <v>174</v>
      </c>
      <c r="C176" s="238" t="s">
        <v>2530</v>
      </c>
      <c r="D176" s="238" t="s">
        <v>2541</v>
      </c>
      <c r="E176" s="238" t="s">
        <v>2542</v>
      </c>
      <c r="F176" s="238" t="s">
        <v>1808</v>
      </c>
      <c r="G176" s="238" t="n">
        <v>10</v>
      </c>
      <c r="H176" s="240" t="n">
        <v>3431</v>
      </c>
      <c r="I176" s="238" t="n">
        <v>87</v>
      </c>
      <c r="J176" s="240" t="n">
        <v>3343</v>
      </c>
      <c r="K176" s="238" t="s">
        <v>25</v>
      </c>
      <c r="L176" s="240" t="n">
        <v>3343</v>
      </c>
      <c r="M176" s="238" t="n">
        <v>10.09</v>
      </c>
      <c r="N176" s="241" t="n">
        <v>0.24</v>
      </c>
      <c r="O176" s="238" t="n">
        <f aca="false">'INPUT DEBT'!$M176-'INPUT DEBT'!$N176</f>
        <v>9.85</v>
      </c>
      <c r="P176" s="239" t="str">
        <f aca="false">IF(N176=0, "NOT DELIVERED", IF(O176=0, "CLEARED", "PARTIALLY DELIVERED"))</f>
        <v>PARTIALLY DELIVERED</v>
      </c>
    </row>
    <row r="177" customFormat="false" ht="14.25" hidden="false" customHeight="true" outlineLevel="0" collapsed="false">
      <c r="A177" s="242" t="n">
        <v>172</v>
      </c>
      <c r="B177" s="243" t="s">
        <v>174</v>
      </c>
      <c r="C177" s="243" t="s">
        <v>2543</v>
      </c>
      <c r="D177" s="243" t="s">
        <v>2544</v>
      </c>
      <c r="E177" s="243" t="s">
        <v>2545</v>
      </c>
      <c r="F177" s="243" t="s">
        <v>1808</v>
      </c>
      <c r="G177" s="243" t="n">
        <v>20</v>
      </c>
      <c r="H177" s="244" t="n">
        <v>5299</v>
      </c>
      <c r="I177" s="243" t="s">
        <v>176</v>
      </c>
      <c r="J177" s="244" t="n">
        <v>5299</v>
      </c>
      <c r="K177" s="243" t="s">
        <v>25</v>
      </c>
      <c r="L177" s="244" t="n">
        <v>5299</v>
      </c>
      <c r="M177" s="243" t="n">
        <v>15.59</v>
      </c>
      <c r="N177" s="246" t="n">
        <v>0</v>
      </c>
      <c r="O177" s="238" t="n">
        <f aca="false">'INPUT DEBT'!$M177-'INPUT DEBT'!$N177</f>
        <v>15.59</v>
      </c>
      <c r="P177" s="239" t="str">
        <f aca="false">IF(N177=0, "NOT DELIVERED", IF(O177=0, "CLEARED", "PARTIALLY DELIVERED"))</f>
        <v>NOT DELIVERED</v>
      </c>
    </row>
    <row r="178" customFormat="false" ht="14.25" hidden="false" customHeight="true" outlineLevel="0" collapsed="false">
      <c r="A178" s="237" t="n">
        <v>173</v>
      </c>
      <c r="B178" s="238" t="s">
        <v>174</v>
      </c>
      <c r="C178" s="238" t="s">
        <v>2546</v>
      </c>
      <c r="D178" s="238" t="s">
        <v>2547</v>
      </c>
      <c r="E178" s="238" t="s">
        <v>2548</v>
      </c>
      <c r="F178" s="238" t="s">
        <v>1808</v>
      </c>
      <c r="G178" s="238" t="n">
        <v>20</v>
      </c>
      <c r="H178" s="240" t="n">
        <v>3477</v>
      </c>
      <c r="I178" s="238" t="s">
        <v>176</v>
      </c>
      <c r="J178" s="240" t="n">
        <v>3477</v>
      </c>
      <c r="K178" s="238" t="s">
        <v>25</v>
      </c>
      <c r="L178" s="240" t="n">
        <v>3477</v>
      </c>
      <c r="M178" s="238" t="n">
        <v>10.23</v>
      </c>
      <c r="N178" s="241" t="n">
        <v>0</v>
      </c>
      <c r="O178" s="238" t="n">
        <f aca="false">'INPUT DEBT'!$M178-'INPUT DEBT'!$N178</f>
        <v>10.23</v>
      </c>
      <c r="P178" s="239" t="str">
        <f aca="false">IF(N178=0, "NOT DELIVERED", IF(O178=0, "CLEARED", "PARTIALLY DELIVERED"))</f>
        <v>NOT DELIVERED</v>
      </c>
    </row>
    <row r="179" customFormat="false" ht="14.25" hidden="false" customHeight="true" outlineLevel="0" collapsed="false">
      <c r="A179" s="242" t="n">
        <v>174</v>
      </c>
      <c r="B179" s="243" t="s">
        <v>174</v>
      </c>
      <c r="C179" s="243" t="s">
        <v>2214</v>
      </c>
      <c r="D179" s="243" t="s">
        <v>1639</v>
      </c>
      <c r="E179" s="243" t="s">
        <v>2549</v>
      </c>
      <c r="F179" s="243" t="s">
        <v>1808</v>
      </c>
      <c r="G179" s="243" t="n">
        <v>10</v>
      </c>
      <c r="H179" s="243" t="s">
        <v>2116</v>
      </c>
      <c r="I179" s="243" t="s">
        <v>176</v>
      </c>
      <c r="J179" s="243" t="s">
        <v>176</v>
      </c>
      <c r="K179" s="243" t="s">
        <v>25</v>
      </c>
      <c r="L179" s="243" t="s">
        <v>176</v>
      </c>
      <c r="M179" s="243" t="n">
        <v>0</v>
      </c>
      <c r="N179" s="246" t="n">
        <v>0</v>
      </c>
      <c r="O179" s="238" t="n">
        <f aca="false">'INPUT DEBT'!$M179-'INPUT DEBT'!$N179</f>
        <v>0</v>
      </c>
      <c r="P179" s="239" t="s">
        <v>2117</v>
      </c>
    </row>
    <row r="180" customFormat="false" ht="14.25" hidden="false" customHeight="true" outlineLevel="0" collapsed="false">
      <c r="A180" s="237" t="n">
        <v>175</v>
      </c>
      <c r="B180" s="238" t="s">
        <v>174</v>
      </c>
      <c r="C180" s="238" t="s">
        <v>2550</v>
      </c>
      <c r="D180" s="238" t="s">
        <v>2551</v>
      </c>
      <c r="E180" s="238" t="s">
        <v>2552</v>
      </c>
      <c r="F180" s="238" t="s">
        <v>1808</v>
      </c>
      <c r="G180" s="238" t="n">
        <v>10</v>
      </c>
      <c r="H180" s="240" t="n">
        <v>2338</v>
      </c>
      <c r="I180" s="238" t="s">
        <v>176</v>
      </c>
      <c r="J180" s="240" t="n">
        <v>2338</v>
      </c>
      <c r="K180" s="238" t="s">
        <v>25</v>
      </c>
      <c r="L180" s="240" t="n">
        <v>2338</v>
      </c>
      <c r="M180" s="238" t="n">
        <v>6.88</v>
      </c>
      <c r="N180" s="241" t="n">
        <v>0</v>
      </c>
      <c r="O180" s="238" t="n">
        <f aca="false">'INPUT DEBT'!$M180-'INPUT DEBT'!$N180</f>
        <v>6.88</v>
      </c>
      <c r="P180" s="239" t="str">
        <f aca="false">IF(N180=0, "NOT DELIVERED", IF(O180=0, "CLEARED", "PARTIALLY DELIVERED"))</f>
        <v>NOT DELIVERED</v>
      </c>
    </row>
    <row r="181" customFormat="false" ht="14.25" hidden="false" customHeight="true" outlineLevel="0" collapsed="false">
      <c r="A181" s="242" t="n">
        <v>176</v>
      </c>
      <c r="B181" s="243" t="s">
        <v>174</v>
      </c>
      <c r="C181" s="243" t="s">
        <v>2553</v>
      </c>
      <c r="D181" s="243" t="s">
        <v>2554</v>
      </c>
      <c r="E181" s="243" t="s">
        <v>2555</v>
      </c>
      <c r="F181" s="243" t="s">
        <v>1808</v>
      </c>
      <c r="G181" s="243" t="n">
        <v>10</v>
      </c>
      <c r="H181" s="244" t="n">
        <v>2504</v>
      </c>
      <c r="I181" s="243" t="s">
        <v>176</v>
      </c>
      <c r="J181" s="244" t="n">
        <v>2504</v>
      </c>
      <c r="K181" s="243" t="s">
        <v>25</v>
      </c>
      <c r="L181" s="244" t="n">
        <v>2504</v>
      </c>
      <c r="M181" s="243" t="n">
        <v>7.36</v>
      </c>
      <c r="N181" s="246" t="n">
        <v>0.92</v>
      </c>
      <c r="O181" s="238" t="n">
        <f aca="false">'INPUT DEBT'!$M181-'INPUT DEBT'!$N181</f>
        <v>6.44</v>
      </c>
      <c r="P181" s="239" t="str">
        <f aca="false">IF(N181=0, "NOT DELIVERED", IF(O181=0, "CLEARED", "PARTIALLY DELIVERED"))</f>
        <v>PARTIALLY DELIVERED</v>
      </c>
    </row>
    <row r="182" customFormat="false" ht="14.25" hidden="false" customHeight="true" outlineLevel="0" collapsed="false">
      <c r="A182" s="237" t="n">
        <v>177</v>
      </c>
      <c r="B182" s="238" t="s">
        <v>174</v>
      </c>
      <c r="C182" s="238" t="s">
        <v>2556</v>
      </c>
      <c r="D182" s="238" t="s">
        <v>2557</v>
      </c>
      <c r="E182" s="238" t="s">
        <v>2558</v>
      </c>
      <c r="F182" s="238" t="s">
        <v>1808</v>
      </c>
      <c r="G182" s="238" t="n">
        <v>40</v>
      </c>
      <c r="H182" s="240" t="n">
        <v>1092</v>
      </c>
      <c r="I182" s="238" t="s">
        <v>176</v>
      </c>
      <c r="J182" s="240" t="n">
        <v>1092</v>
      </c>
      <c r="K182" s="238" t="s">
        <v>25</v>
      </c>
      <c r="L182" s="240" t="n">
        <v>1092</v>
      </c>
      <c r="M182" s="238" t="n">
        <v>3.21</v>
      </c>
      <c r="N182" s="241" t="n">
        <v>0</v>
      </c>
      <c r="O182" s="238" t="n">
        <f aca="false">'INPUT DEBT'!$M182-'INPUT DEBT'!$N182</f>
        <v>3.21</v>
      </c>
      <c r="P182" s="239" t="str">
        <f aca="false">IF(N182=0, "NOT DELIVERED", IF(O182=0, "CLEARED", "PARTIALLY DELIVERED"))</f>
        <v>NOT DELIVERED</v>
      </c>
    </row>
    <row r="183" customFormat="false" ht="14.25" hidden="false" customHeight="true" outlineLevel="0" collapsed="false">
      <c r="A183" s="242" t="n">
        <v>178</v>
      </c>
      <c r="B183" s="243" t="s">
        <v>174</v>
      </c>
      <c r="C183" s="243" t="s">
        <v>2553</v>
      </c>
      <c r="D183" s="243" t="s">
        <v>2559</v>
      </c>
      <c r="E183" s="243" t="s">
        <v>2560</v>
      </c>
      <c r="F183" s="243" t="s">
        <v>1808</v>
      </c>
      <c r="G183" s="243" t="n">
        <v>10</v>
      </c>
      <c r="H183" s="244" t="n">
        <v>1960</v>
      </c>
      <c r="I183" s="243" t="s">
        <v>176</v>
      </c>
      <c r="J183" s="244" t="n">
        <v>1960</v>
      </c>
      <c r="K183" s="243" t="s">
        <v>25</v>
      </c>
      <c r="L183" s="244" t="n">
        <v>1960</v>
      </c>
      <c r="M183" s="243" t="n">
        <v>5.77</v>
      </c>
      <c r="N183" s="246" t="n">
        <v>0</v>
      </c>
      <c r="O183" s="238" t="n">
        <f aca="false">'INPUT DEBT'!$M183-'INPUT DEBT'!$N183</f>
        <v>5.77</v>
      </c>
      <c r="P183" s="239" t="str">
        <f aca="false">IF(N183=0, "NOT DELIVERED", IF(O183=0, "CLEARED", "PARTIALLY DELIVERED"))</f>
        <v>NOT DELIVERED</v>
      </c>
    </row>
    <row r="184" customFormat="false" ht="14.25" hidden="false" customHeight="true" outlineLevel="0" collapsed="false">
      <c r="A184" s="237" t="n">
        <v>179</v>
      </c>
      <c r="B184" s="238" t="s">
        <v>174</v>
      </c>
      <c r="C184" s="238" t="s">
        <v>2561</v>
      </c>
      <c r="D184" s="238" t="s">
        <v>2562</v>
      </c>
      <c r="E184" s="238" t="s">
        <v>2563</v>
      </c>
      <c r="F184" s="238" t="s">
        <v>1808</v>
      </c>
      <c r="G184" s="238" t="n">
        <v>10</v>
      </c>
      <c r="H184" s="240" t="n">
        <v>1641</v>
      </c>
      <c r="I184" s="238" t="s">
        <v>176</v>
      </c>
      <c r="J184" s="240" t="n">
        <v>1641</v>
      </c>
      <c r="K184" s="238" t="s">
        <v>25</v>
      </c>
      <c r="L184" s="240" t="n">
        <v>1641</v>
      </c>
      <c r="M184" s="238" t="n">
        <v>4.83</v>
      </c>
      <c r="N184" s="241" t="n">
        <v>0</v>
      </c>
      <c r="O184" s="238" t="n">
        <f aca="false">'INPUT DEBT'!$M184-'INPUT DEBT'!$N184</f>
        <v>4.83</v>
      </c>
      <c r="P184" s="239" t="str">
        <f aca="false">IF(N184=0, "NOT DELIVERED", IF(O184=0, "CLEARED", "PARTIALLY DELIVERED"))</f>
        <v>NOT DELIVERED</v>
      </c>
    </row>
    <row r="185" customFormat="false" ht="14.25" hidden="false" customHeight="true" outlineLevel="0" collapsed="false">
      <c r="A185" s="242" t="n">
        <v>180</v>
      </c>
      <c r="B185" s="243" t="s">
        <v>174</v>
      </c>
      <c r="C185" s="243" t="s">
        <v>2564</v>
      </c>
      <c r="D185" s="243" t="s">
        <v>1739</v>
      </c>
      <c r="E185" s="243" t="s">
        <v>2565</v>
      </c>
      <c r="F185" s="243" t="s">
        <v>1808</v>
      </c>
      <c r="G185" s="243" t="n">
        <v>10</v>
      </c>
      <c r="H185" s="244" t="n">
        <v>2484</v>
      </c>
      <c r="I185" s="243" t="s">
        <v>176</v>
      </c>
      <c r="J185" s="244" t="n">
        <v>2484</v>
      </c>
      <c r="K185" s="243" t="s">
        <v>25</v>
      </c>
      <c r="L185" s="244" t="n">
        <v>2484</v>
      </c>
      <c r="M185" s="243" t="n">
        <v>7.31</v>
      </c>
      <c r="N185" s="246" t="n">
        <v>0</v>
      </c>
      <c r="O185" s="238" t="n">
        <f aca="false">'INPUT DEBT'!$M185-'INPUT DEBT'!$N185</f>
        <v>7.31</v>
      </c>
      <c r="P185" s="239" t="str">
        <f aca="false">IF(N185=0, "NOT DELIVERED", IF(O185=0, "CLEARED", "PARTIALLY DELIVERED"))</f>
        <v>NOT DELIVERED</v>
      </c>
    </row>
    <row r="186" customFormat="false" ht="14.25" hidden="false" customHeight="true" outlineLevel="0" collapsed="false">
      <c r="A186" s="237" t="n">
        <v>181</v>
      </c>
      <c r="B186" s="238" t="s">
        <v>174</v>
      </c>
      <c r="C186" s="238" t="s">
        <v>2521</v>
      </c>
      <c r="D186" s="238" t="s">
        <v>2566</v>
      </c>
      <c r="E186" s="238" t="s">
        <v>2567</v>
      </c>
      <c r="F186" s="238" t="s">
        <v>1808</v>
      </c>
      <c r="G186" s="238" t="n">
        <v>30</v>
      </c>
      <c r="H186" s="240" t="n">
        <v>8969</v>
      </c>
      <c r="I186" s="240" t="n">
        <v>9995</v>
      </c>
      <c r="J186" s="240" t="n">
        <v>-1026</v>
      </c>
      <c r="K186" s="238" t="s">
        <v>25</v>
      </c>
      <c r="L186" s="240" t="n">
        <v>-1026</v>
      </c>
      <c r="M186" s="238" t="n">
        <v>26.38</v>
      </c>
      <c r="N186" s="241" t="n">
        <v>27.4</v>
      </c>
      <c r="O186" s="238" t="n">
        <f aca="false">'INPUT DEBT'!$M186-'INPUT DEBT'!$N186</f>
        <v>-1.02</v>
      </c>
      <c r="P186" s="239" t="s">
        <v>2117</v>
      </c>
    </row>
    <row r="187" customFormat="false" ht="14.25" hidden="false" customHeight="true" outlineLevel="0" collapsed="false">
      <c r="A187" s="242" t="n">
        <v>182</v>
      </c>
      <c r="B187" s="243" t="s">
        <v>174</v>
      </c>
      <c r="C187" s="243" t="s">
        <v>2556</v>
      </c>
      <c r="D187" s="243" t="s">
        <v>1640</v>
      </c>
      <c r="E187" s="243" t="s">
        <v>2568</v>
      </c>
      <c r="F187" s="243" t="s">
        <v>1808</v>
      </c>
      <c r="G187" s="243" t="n">
        <v>20</v>
      </c>
      <c r="H187" s="243" t="s">
        <v>2116</v>
      </c>
      <c r="I187" s="243" t="s">
        <v>176</v>
      </c>
      <c r="J187" s="243" t="s">
        <v>176</v>
      </c>
      <c r="K187" s="243" t="s">
        <v>25</v>
      </c>
      <c r="L187" s="243" t="s">
        <v>176</v>
      </c>
      <c r="M187" s="243" t="n">
        <v>0</v>
      </c>
      <c r="N187" s="246" t="n">
        <v>0</v>
      </c>
      <c r="O187" s="238" t="n">
        <f aca="false">'INPUT DEBT'!$M187-'INPUT DEBT'!$N187</f>
        <v>0</v>
      </c>
      <c r="P187" s="239" t="s">
        <v>2117</v>
      </c>
    </row>
    <row r="188" customFormat="false" ht="14.25" hidden="false" customHeight="true" outlineLevel="0" collapsed="false">
      <c r="A188" s="237" t="n">
        <v>183</v>
      </c>
      <c r="B188" s="238" t="s">
        <v>174</v>
      </c>
      <c r="C188" s="238" t="s">
        <v>2569</v>
      </c>
      <c r="D188" s="238" t="s">
        <v>2570</v>
      </c>
      <c r="E188" s="238" t="s">
        <v>2571</v>
      </c>
      <c r="F188" s="238" t="s">
        <v>1808</v>
      </c>
      <c r="G188" s="238" t="n">
        <v>10</v>
      </c>
      <c r="H188" s="240" t="n">
        <v>3675</v>
      </c>
      <c r="I188" s="238" t="s">
        <v>176</v>
      </c>
      <c r="J188" s="240" t="n">
        <v>3675</v>
      </c>
      <c r="K188" s="238" t="s">
        <v>25</v>
      </c>
      <c r="L188" s="240" t="n">
        <v>3675</v>
      </c>
      <c r="M188" s="238" t="n">
        <v>10.81</v>
      </c>
      <c r="N188" s="241" t="n">
        <v>0</v>
      </c>
      <c r="O188" s="238" t="n">
        <f aca="false">'INPUT DEBT'!$M188-'INPUT DEBT'!$N188</f>
        <v>10.81</v>
      </c>
      <c r="P188" s="239" t="str">
        <f aca="false">IF(N188=0, "NOT DELIVERED", IF(O188=0, "CLEARED", "PARTIALLY DELIVERED"))</f>
        <v>NOT DELIVERED</v>
      </c>
    </row>
    <row r="189" customFormat="false" ht="14.25" hidden="false" customHeight="true" outlineLevel="0" collapsed="false">
      <c r="A189" s="242" t="n">
        <v>184</v>
      </c>
      <c r="B189" s="243" t="s">
        <v>174</v>
      </c>
      <c r="C189" s="243" t="s">
        <v>2572</v>
      </c>
      <c r="D189" s="243" t="s">
        <v>2573</v>
      </c>
      <c r="E189" s="243" t="s">
        <v>2574</v>
      </c>
      <c r="F189" s="243" t="s">
        <v>1808</v>
      </c>
      <c r="G189" s="243" t="n">
        <v>50</v>
      </c>
      <c r="H189" s="244" t="n">
        <v>10355</v>
      </c>
      <c r="I189" s="243" t="s">
        <v>176</v>
      </c>
      <c r="J189" s="244" t="n">
        <v>10355</v>
      </c>
      <c r="K189" s="243" t="s">
        <v>25</v>
      </c>
      <c r="L189" s="244" t="n">
        <v>10355</v>
      </c>
      <c r="M189" s="243" t="n">
        <v>30.46</v>
      </c>
      <c r="N189" s="246" t="n">
        <v>0</v>
      </c>
      <c r="O189" s="238" t="n">
        <f aca="false">'INPUT DEBT'!$M189-'INPUT DEBT'!$N189</f>
        <v>30.46</v>
      </c>
      <c r="P189" s="239" t="str">
        <f aca="false">IF(N189=0, "NOT DELIVERED", IF(O189=0, "CLEARED", "PARTIALLY DELIVERED"))</f>
        <v>NOT DELIVERED</v>
      </c>
    </row>
    <row r="190" customFormat="false" ht="14.25" hidden="false" customHeight="true" outlineLevel="0" collapsed="false">
      <c r="A190" s="237" t="n">
        <v>185</v>
      </c>
      <c r="B190" s="238" t="s">
        <v>174</v>
      </c>
      <c r="C190" s="238" t="s">
        <v>2575</v>
      </c>
      <c r="D190" s="238" t="s">
        <v>2576</v>
      </c>
      <c r="E190" s="238" t="s">
        <v>2577</v>
      </c>
      <c r="F190" s="238" t="s">
        <v>1808</v>
      </c>
      <c r="G190" s="238" t="n">
        <v>40</v>
      </c>
      <c r="H190" s="240" t="n">
        <v>8655</v>
      </c>
      <c r="I190" s="240" t="n">
        <v>2794</v>
      </c>
      <c r="J190" s="240" t="n">
        <v>5861</v>
      </c>
      <c r="K190" s="238" t="s">
        <v>25</v>
      </c>
      <c r="L190" s="240" t="n">
        <v>5861</v>
      </c>
      <c r="M190" s="238" t="n">
        <v>25.46</v>
      </c>
      <c r="N190" s="241" t="n">
        <v>7.66</v>
      </c>
      <c r="O190" s="238" t="n">
        <f aca="false">'INPUT DEBT'!$M190-'INPUT DEBT'!$N190</f>
        <v>17.8</v>
      </c>
      <c r="P190" s="239" t="str">
        <f aca="false">IF(N190=0, "NOT DELIVERED", IF(O190=0, "CLEARED", "PARTIALLY DELIVERED"))</f>
        <v>PARTIALLY DELIVERED</v>
      </c>
    </row>
    <row r="191" customFormat="false" ht="14.25" hidden="false" customHeight="true" outlineLevel="0" collapsed="false">
      <c r="A191" s="242" t="n">
        <v>186</v>
      </c>
      <c r="B191" s="243" t="s">
        <v>174</v>
      </c>
      <c r="C191" s="243" t="s">
        <v>2578</v>
      </c>
      <c r="D191" s="243" t="s">
        <v>2579</v>
      </c>
      <c r="E191" s="243" t="s">
        <v>2580</v>
      </c>
      <c r="F191" s="243" t="s">
        <v>1808</v>
      </c>
      <c r="G191" s="243" t="n">
        <v>25</v>
      </c>
      <c r="H191" s="244" t="n">
        <v>7917</v>
      </c>
      <c r="I191" s="244" t="n">
        <v>6570</v>
      </c>
      <c r="J191" s="244" t="n">
        <v>1347</v>
      </c>
      <c r="K191" s="243" t="s">
        <v>25</v>
      </c>
      <c r="L191" s="244" t="n">
        <v>1347</v>
      </c>
      <c r="M191" s="243" t="n">
        <v>23.29</v>
      </c>
      <c r="N191" s="246" t="n">
        <v>18.01</v>
      </c>
      <c r="O191" s="238" t="n">
        <f aca="false">'INPUT DEBT'!$M191-'INPUT DEBT'!$N191</f>
        <v>5.28</v>
      </c>
      <c r="P191" s="239" t="str">
        <f aca="false">IF(N191=0, "NOT DELIVERED", IF(O191=0, "CLEARED", "PARTIALLY DELIVERED"))</f>
        <v>PARTIALLY DELIVERED</v>
      </c>
    </row>
    <row r="192" customFormat="false" ht="14.25" hidden="false" customHeight="true" outlineLevel="0" collapsed="false">
      <c r="A192" s="237" t="n">
        <v>187</v>
      </c>
      <c r="B192" s="238" t="s">
        <v>174</v>
      </c>
      <c r="C192" s="238" t="s">
        <v>2386</v>
      </c>
      <c r="D192" s="238" t="s">
        <v>2581</v>
      </c>
      <c r="E192" s="238" t="s">
        <v>2582</v>
      </c>
      <c r="F192" s="238" t="s">
        <v>1808</v>
      </c>
      <c r="G192" s="238" t="n">
        <v>10</v>
      </c>
      <c r="H192" s="240" t="n">
        <v>2205</v>
      </c>
      <c r="I192" s="238" t="s">
        <v>176</v>
      </c>
      <c r="J192" s="240" t="n">
        <v>2205</v>
      </c>
      <c r="K192" s="238" t="s">
        <v>25</v>
      </c>
      <c r="L192" s="240" t="n">
        <v>2205</v>
      </c>
      <c r="M192" s="238" t="n">
        <v>6.48</v>
      </c>
      <c r="N192" s="241" t="n">
        <v>0</v>
      </c>
      <c r="O192" s="238" t="n">
        <f aca="false">'INPUT DEBT'!$M192-'INPUT DEBT'!$N192</f>
        <v>6.48</v>
      </c>
      <c r="P192" s="239" t="str">
        <f aca="false">IF(N192=0, "NOT DELIVERED", IF(O192=0, "CLEARED", "PARTIALLY DELIVERED"))</f>
        <v>NOT DELIVERED</v>
      </c>
    </row>
    <row r="193" customFormat="false" ht="14.25" hidden="false" customHeight="true" outlineLevel="0" collapsed="false">
      <c r="A193" s="242" t="n">
        <v>188</v>
      </c>
      <c r="B193" s="243" t="s">
        <v>174</v>
      </c>
      <c r="C193" s="243" t="s">
        <v>2583</v>
      </c>
      <c r="D193" s="243" t="s">
        <v>2584</v>
      </c>
      <c r="E193" s="243" t="s">
        <v>2585</v>
      </c>
      <c r="F193" s="243" t="s">
        <v>1808</v>
      </c>
      <c r="G193" s="243" t="n">
        <v>10</v>
      </c>
      <c r="H193" s="244" t="n">
        <v>3708</v>
      </c>
      <c r="I193" s="243" t="s">
        <v>176</v>
      </c>
      <c r="J193" s="244" t="n">
        <v>3708</v>
      </c>
      <c r="K193" s="243" t="s">
        <v>25</v>
      </c>
      <c r="L193" s="244" t="n">
        <v>3708</v>
      </c>
      <c r="M193" s="243" t="n">
        <v>10.91</v>
      </c>
      <c r="N193" s="246" t="n">
        <v>0</v>
      </c>
      <c r="O193" s="238" t="n">
        <f aca="false">'INPUT DEBT'!$M193-'INPUT DEBT'!$N193</f>
        <v>10.91</v>
      </c>
      <c r="P193" s="239" t="str">
        <f aca="false">IF(N193=0, "NOT DELIVERED", IF(O193=0, "CLEARED", "PARTIALLY DELIVERED"))</f>
        <v>NOT DELIVERED</v>
      </c>
    </row>
    <row r="194" customFormat="false" ht="14.25" hidden="false" customHeight="true" outlineLevel="0" collapsed="false">
      <c r="A194" s="237" t="n">
        <v>189</v>
      </c>
      <c r="B194" s="238" t="s">
        <v>174</v>
      </c>
      <c r="C194" s="238" t="s">
        <v>2586</v>
      </c>
      <c r="D194" s="238" t="s">
        <v>2587</v>
      </c>
      <c r="E194" s="238" t="s">
        <v>2588</v>
      </c>
      <c r="F194" s="238" t="s">
        <v>1808</v>
      </c>
      <c r="G194" s="238" t="n">
        <v>20</v>
      </c>
      <c r="H194" s="240" t="n">
        <v>5426</v>
      </c>
      <c r="I194" s="238" t="s">
        <v>176</v>
      </c>
      <c r="J194" s="240" t="n">
        <v>5426</v>
      </c>
      <c r="K194" s="238" t="s">
        <v>25</v>
      </c>
      <c r="L194" s="240" t="n">
        <v>5426</v>
      </c>
      <c r="M194" s="238" t="n">
        <v>15.96</v>
      </c>
      <c r="N194" s="241" t="n">
        <v>0</v>
      </c>
      <c r="O194" s="238" t="n">
        <f aca="false">'INPUT DEBT'!$M194-'INPUT DEBT'!$N194</f>
        <v>15.96</v>
      </c>
      <c r="P194" s="239" t="str">
        <f aca="false">IF(N194=0, "NOT DELIVERED", IF(O194=0, "CLEARED", "PARTIALLY DELIVERED"))</f>
        <v>NOT DELIVERED</v>
      </c>
    </row>
    <row r="195" customFormat="false" ht="14.25" hidden="false" customHeight="true" outlineLevel="0" collapsed="false">
      <c r="A195" s="242" t="n">
        <v>190</v>
      </c>
      <c r="B195" s="243" t="s">
        <v>174</v>
      </c>
      <c r="C195" s="18" t="s">
        <v>170</v>
      </c>
      <c r="D195" s="243" t="s">
        <v>2589</v>
      </c>
      <c r="E195" s="243" t="s">
        <v>2590</v>
      </c>
      <c r="F195" s="243" t="s">
        <v>1808</v>
      </c>
      <c r="G195" s="243" t="n">
        <v>40</v>
      </c>
      <c r="H195" s="244" t="n">
        <v>5491</v>
      </c>
      <c r="I195" s="243" t="s">
        <v>176</v>
      </c>
      <c r="J195" s="244" t="n">
        <v>5491</v>
      </c>
      <c r="K195" s="243" t="s">
        <v>25</v>
      </c>
      <c r="L195" s="244" t="n">
        <v>5491</v>
      </c>
      <c r="M195" s="243" t="n">
        <v>16.15</v>
      </c>
      <c r="N195" s="246" t="n">
        <v>0</v>
      </c>
      <c r="O195" s="238" t="n">
        <f aca="false">'INPUT DEBT'!$M195-'INPUT DEBT'!$N195</f>
        <v>16.15</v>
      </c>
      <c r="P195" s="239" t="str">
        <f aca="false">IF(N195=0, "NOT DELIVERED", IF(O195=0, "CLEARED", "PARTIALLY DELIVERED"))</f>
        <v>NOT DELIVERED</v>
      </c>
    </row>
    <row r="196" customFormat="false" ht="14.25" hidden="false" customHeight="true" outlineLevel="0" collapsed="false">
      <c r="A196" s="237" t="n">
        <v>191</v>
      </c>
      <c r="B196" s="238" t="s">
        <v>174</v>
      </c>
      <c r="C196" s="238" t="s">
        <v>2591</v>
      </c>
      <c r="D196" s="238" t="s">
        <v>2592</v>
      </c>
      <c r="E196" s="238" t="s">
        <v>2593</v>
      </c>
      <c r="F196" s="238" t="s">
        <v>1808</v>
      </c>
      <c r="G196" s="238" t="n">
        <v>10</v>
      </c>
      <c r="H196" s="240" t="n">
        <v>2488</v>
      </c>
      <c r="I196" s="238" t="s">
        <v>176</v>
      </c>
      <c r="J196" s="240" t="n">
        <v>2488</v>
      </c>
      <c r="K196" s="238" t="s">
        <v>25</v>
      </c>
      <c r="L196" s="240" t="n">
        <v>2488</v>
      </c>
      <c r="M196" s="238" t="n">
        <v>7.32</v>
      </c>
      <c r="N196" s="241" t="n">
        <v>0</v>
      </c>
      <c r="O196" s="238" t="n">
        <f aca="false">'INPUT DEBT'!$M196-'INPUT DEBT'!$N196</f>
        <v>7.32</v>
      </c>
      <c r="P196" s="239" t="str">
        <f aca="false">IF(N196=0, "NOT DELIVERED", IF(O196=0, "CLEARED", "PARTIALLY DELIVERED"))</f>
        <v>NOT DELIVERED</v>
      </c>
    </row>
    <row r="197" customFormat="false" ht="14.25" hidden="false" customHeight="true" outlineLevel="0" collapsed="false">
      <c r="A197" s="242" t="n">
        <v>192</v>
      </c>
      <c r="B197" s="243" t="s">
        <v>174</v>
      </c>
      <c r="C197" s="243" t="s">
        <v>2594</v>
      </c>
      <c r="D197" s="243" t="s">
        <v>2595</v>
      </c>
      <c r="E197" s="243" t="s">
        <v>2596</v>
      </c>
      <c r="F197" s="243" t="s">
        <v>1808</v>
      </c>
      <c r="G197" s="243" t="n">
        <v>10</v>
      </c>
      <c r="H197" s="244" t="n">
        <v>3710</v>
      </c>
      <c r="I197" s="243" t="s">
        <v>176</v>
      </c>
      <c r="J197" s="244" t="n">
        <v>3710</v>
      </c>
      <c r="K197" s="243" t="s">
        <v>25</v>
      </c>
      <c r="L197" s="244" t="n">
        <v>3710</v>
      </c>
      <c r="M197" s="243" t="n">
        <v>10.91</v>
      </c>
      <c r="N197" s="246" t="n">
        <v>0</v>
      </c>
      <c r="O197" s="238" t="n">
        <f aca="false">'INPUT DEBT'!$M197-'INPUT DEBT'!$N197</f>
        <v>10.91</v>
      </c>
      <c r="P197" s="239" t="str">
        <f aca="false">IF(N197=0, "NOT DELIVERED", IF(O197=0, "CLEARED", "PARTIALLY DELIVERED"))</f>
        <v>NOT DELIVERED</v>
      </c>
    </row>
    <row r="198" customFormat="false" ht="14.25" hidden="false" customHeight="true" outlineLevel="0" collapsed="false">
      <c r="A198" s="237" t="n">
        <v>193</v>
      </c>
      <c r="B198" s="238" t="s">
        <v>174</v>
      </c>
      <c r="C198" s="238" t="s">
        <v>2597</v>
      </c>
      <c r="D198" s="238" t="s">
        <v>2598</v>
      </c>
      <c r="E198" s="238" t="s">
        <v>2599</v>
      </c>
      <c r="F198" s="238" t="s">
        <v>1808</v>
      </c>
      <c r="G198" s="238" t="n">
        <v>30</v>
      </c>
      <c r="H198" s="240" t="n">
        <v>7304</v>
      </c>
      <c r="I198" s="238" t="s">
        <v>176</v>
      </c>
      <c r="J198" s="240" t="n">
        <v>7304</v>
      </c>
      <c r="K198" s="238" t="s">
        <v>25</v>
      </c>
      <c r="L198" s="240" t="n">
        <v>7304</v>
      </c>
      <c r="M198" s="238" t="n">
        <v>21.48</v>
      </c>
      <c r="N198" s="241" t="n">
        <v>0</v>
      </c>
      <c r="O198" s="238" t="n">
        <f aca="false">'INPUT DEBT'!$M198-'INPUT DEBT'!$N198</f>
        <v>21.48</v>
      </c>
      <c r="P198" s="239" t="str">
        <f aca="false">IF(N198=0, "NOT DELIVERED", IF(O198=0, "CLEARED", "PARTIALLY DELIVERED"))</f>
        <v>NOT DELIVERED</v>
      </c>
    </row>
    <row r="199" customFormat="false" ht="14.25" hidden="false" customHeight="true" outlineLevel="0" collapsed="false">
      <c r="A199" s="242" t="n">
        <v>194</v>
      </c>
      <c r="B199" s="243" t="s">
        <v>174</v>
      </c>
      <c r="C199" s="243" t="s">
        <v>2600</v>
      </c>
      <c r="D199" s="243" t="s">
        <v>2601</v>
      </c>
      <c r="E199" s="243" t="s">
        <v>2602</v>
      </c>
      <c r="F199" s="243" t="s">
        <v>1808</v>
      </c>
      <c r="G199" s="243" t="n">
        <v>10</v>
      </c>
      <c r="H199" s="244" t="n">
        <v>1667</v>
      </c>
      <c r="I199" s="243" t="s">
        <v>176</v>
      </c>
      <c r="J199" s="244" t="n">
        <v>1667</v>
      </c>
      <c r="K199" s="243" t="s">
        <v>25</v>
      </c>
      <c r="L199" s="244" t="n">
        <v>1667</v>
      </c>
      <c r="M199" s="243" t="n">
        <v>4.9</v>
      </c>
      <c r="N199" s="246" t="n">
        <v>0</v>
      </c>
      <c r="O199" s="238" t="n">
        <f aca="false">'INPUT DEBT'!$M199-'INPUT DEBT'!$N199</f>
        <v>4.9</v>
      </c>
      <c r="P199" s="239" t="str">
        <f aca="false">IF(N199=0, "NOT DELIVERED", IF(O199=0, "CLEARED", "PARTIALLY DELIVERED"))</f>
        <v>NOT DELIVERED</v>
      </c>
    </row>
    <row r="200" customFormat="false" ht="14.25" hidden="false" customHeight="true" outlineLevel="0" collapsed="false">
      <c r="A200" s="237" t="n">
        <v>195</v>
      </c>
      <c r="B200" s="238" t="s">
        <v>174</v>
      </c>
      <c r="C200" s="238" t="s">
        <v>2603</v>
      </c>
      <c r="D200" s="238" t="s">
        <v>2604</v>
      </c>
      <c r="E200" s="238" t="s">
        <v>2605</v>
      </c>
      <c r="F200" s="238" t="s">
        <v>1808</v>
      </c>
      <c r="G200" s="238" t="n">
        <v>40</v>
      </c>
      <c r="H200" s="240" t="n">
        <v>8139</v>
      </c>
      <c r="I200" s="238" t="n">
        <v>397</v>
      </c>
      <c r="J200" s="240" t="n">
        <v>7742</v>
      </c>
      <c r="K200" s="238" t="s">
        <v>25</v>
      </c>
      <c r="L200" s="240" t="n">
        <v>7742</v>
      </c>
      <c r="M200" s="238" t="n">
        <v>23.94</v>
      </c>
      <c r="N200" s="241" t="n">
        <v>1.09</v>
      </c>
      <c r="O200" s="238" t="n">
        <f aca="false">'INPUT DEBT'!$M200-'INPUT DEBT'!$N200</f>
        <v>22.85</v>
      </c>
      <c r="P200" s="239" t="str">
        <f aca="false">IF(N200=0, "NOT DELIVERED", IF(O200=0, "CLEARED", "PARTIALLY DELIVERED"))</f>
        <v>PARTIALLY DELIVERED</v>
      </c>
    </row>
    <row r="201" customFormat="false" ht="14.25" hidden="false" customHeight="true" outlineLevel="0" collapsed="false">
      <c r="A201" s="242" t="n">
        <v>196</v>
      </c>
      <c r="B201" s="243" t="s">
        <v>174</v>
      </c>
      <c r="C201" s="243" t="s">
        <v>2606</v>
      </c>
      <c r="D201" s="243" t="s">
        <v>2607</v>
      </c>
      <c r="E201" s="243" t="s">
        <v>2608</v>
      </c>
      <c r="F201" s="243" t="s">
        <v>1808</v>
      </c>
      <c r="G201" s="243" t="n">
        <v>10</v>
      </c>
      <c r="H201" s="244" t="n">
        <v>2093</v>
      </c>
      <c r="I201" s="243" t="s">
        <v>176</v>
      </c>
      <c r="J201" s="244" t="n">
        <v>2093</v>
      </c>
      <c r="K201" s="243" t="s">
        <v>25</v>
      </c>
      <c r="L201" s="244" t="n">
        <v>2093</v>
      </c>
      <c r="M201" s="243" t="n">
        <v>6.16</v>
      </c>
      <c r="N201" s="246" t="n">
        <v>1.78</v>
      </c>
      <c r="O201" s="238" t="n">
        <f aca="false">'INPUT DEBT'!$M201-'INPUT DEBT'!$N201</f>
        <v>4.38</v>
      </c>
      <c r="P201" s="239" t="str">
        <f aca="false">IF(N201=0, "NOT DELIVERED", IF(O201=0, "CLEARED", "PARTIALLY DELIVERED"))</f>
        <v>PARTIALLY DELIVERED</v>
      </c>
    </row>
    <row r="202" customFormat="false" ht="14.25" hidden="false" customHeight="true" outlineLevel="0" collapsed="false">
      <c r="A202" s="237" t="n">
        <v>197</v>
      </c>
      <c r="B202" s="238" t="s">
        <v>174</v>
      </c>
      <c r="C202" s="238" t="s">
        <v>2609</v>
      </c>
      <c r="D202" s="238" t="s">
        <v>2610</v>
      </c>
      <c r="E202" s="238" t="s">
        <v>2611</v>
      </c>
      <c r="F202" s="238" t="s">
        <v>1808</v>
      </c>
      <c r="G202" s="238" t="n">
        <v>15</v>
      </c>
      <c r="H202" s="240" t="n">
        <v>3373</v>
      </c>
      <c r="I202" s="238" t="s">
        <v>176</v>
      </c>
      <c r="J202" s="240" t="n">
        <v>3373</v>
      </c>
      <c r="K202" s="238" t="s">
        <v>25</v>
      </c>
      <c r="L202" s="240" t="n">
        <v>3373</v>
      </c>
      <c r="M202" s="238" t="n">
        <v>9.92</v>
      </c>
      <c r="N202" s="241" t="n">
        <v>0</v>
      </c>
      <c r="O202" s="238" t="n">
        <f aca="false">'INPUT DEBT'!$M202-'INPUT DEBT'!$N202</f>
        <v>9.92</v>
      </c>
      <c r="P202" s="239" t="str">
        <f aca="false">IF(N202=0, "NOT DELIVERED", IF(O202=0, "CLEARED", "PARTIALLY DELIVERED"))</f>
        <v>NOT DELIVERED</v>
      </c>
    </row>
    <row r="203" customFormat="false" ht="14.25" hidden="false" customHeight="true" outlineLevel="0" collapsed="false">
      <c r="A203" s="242" t="n">
        <v>198</v>
      </c>
      <c r="B203" s="243" t="s">
        <v>174</v>
      </c>
      <c r="C203" s="243" t="s">
        <v>2612</v>
      </c>
      <c r="D203" s="243" t="s">
        <v>1641</v>
      </c>
      <c r="E203" s="243" t="s">
        <v>2613</v>
      </c>
      <c r="F203" s="243" t="s">
        <v>1808</v>
      </c>
      <c r="G203" s="243" t="n">
        <v>10</v>
      </c>
      <c r="H203" s="243" t="s">
        <v>2116</v>
      </c>
      <c r="I203" s="243" t="s">
        <v>176</v>
      </c>
      <c r="J203" s="243" t="s">
        <v>176</v>
      </c>
      <c r="K203" s="243" t="s">
        <v>25</v>
      </c>
      <c r="L203" s="243" t="s">
        <v>176</v>
      </c>
      <c r="M203" s="243" t="n">
        <v>0</v>
      </c>
      <c r="N203" s="246" t="n">
        <v>0</v>
      </c>
      <c r="O203" s="238" t="n">
        <f aca="false">'INPUT DEBT'!$M203-'INPUT DEBT'!$N203</f>
        <v>0</v>
      </c>
      <c r="P203" s="239" t="s">
        <v>2117</v>
      </c>
    </row>
    <row r="204" customFormat="false" ht="14.25" hidden="false" customHeight="true" outlineLevel="0" collapsed="false">
      <c r="A204" s="237" t="n">
        <v>199</v>
      </c>
      <c r="B204" s="238" t="s">
        <v>174</v>
      </c>
      <c r="C204" s="238" t="s">
        <v>2614</v>
      </c>
      <c r="D204" s="238" t="s">
        <v>2615</v>
      </c>
      <c r="E204" s="238" t="s">
        <v>2616</v>
      </c>
      <c r="F204" s="238" t="s">
        <v>1808</v>
      </c>
      <c r="G204" s="238" t="n">
        <v>10</v>
      </c>
      <c r="H204" s="240" t="n">
        <v>2504</v>
      </c>
      <c r="I204" s="238" t="s">
        <v>176</v>
      </c>
      <c r="J204" s="240" t="n">
        <v>2504</v>
      </c>
      <c r="K204" s="238" t="s">
        <v>25</v>
      </c>
      <c r="L204" s="240" t="n">
        <v>2504</v>
      </c>
      <c r="M204" s="238" t="n">
        <v>7.36</v>
      </c>
      <c r="N204" s="241" t="n">
        <v>0</v>
      </c>
      <c r="O204" s="238" t="n">
        <f aca="false">'INPUT DEBT'!$M204-'INPUT DEBT'!$N204</f>
        <v>7.36</v>
      </c>
      <c r="P204" s="239" t="str">
        <f aca="false">IF(N204=0, "NOT DELIVERED", IF(O204=0, "CLEARED", "PARTIALLY DELIVERED"))</f>
        <v>NOT DELIVERED</v>
      </c>
    </row>
    <row r="205" customFormat="false" ht="14.25" hidden="false" customHeight="true" outlineLevel="0" collapsed="false">
      <c r="A205" s="242" t="n">
        <v>200</v>
      </c>
      <c r="B205" s="243" t="s">
        <v>174</v>
      </c>
      <c r="C205" s="243" t="s">
        <v>2617</v>
      </c>
      <c r="D205" s="243" t="s">
        <v>2618</v>
      </c>
      <c r="E205" s="243" t="s">
        <v>2619</v>
      </c>
      <c r="F205" s="243" t="s">
        <v>1808</v>
      </c>
      <c r="G205" s="243" t="n">
        <v>20</v>
      </c>
      <c r="H205" s="244" t="n">
        <v>6826</v>
      </c>
      <c r="I205" s="243" t="s">
        <v>176</v>
      </c>
      <c r="J205" s="244" t="n">
        <v>6826</v>
      </c>
      <c r="K205" s="243" t="s">
        <v>25</v>
      </c>
      <c r="L205" s="244" t="n">
        <v>6826</v>
      </c>
      <c r="M205" s="243" t="n">
        <v>20.08</v>
      </c>
      <c r="N205" s="246" t="n">
        <v>0</v>
      </c>
      <c r="O205" s="238" t="n">
        <f aca="false">'INPUT DEBT'!$M205-'INPUT DEBT'!$N205</f>
        <v>20.08</v>
      </c>
      <c r="P205" s="239" t="str">
        <f aca="false">IF(N205=0, "NOT DELIVERED", IF(O205=0, "CLEARED", "PARTIALLY DELIVERED"))</f>
        <v>NOT DELIVERED</v>
      </c>
    </row>
    <row r="206" customFormat="false" ht="14.25" hidden="false" customHeight="true" outlineLevel="0" collapsed="false">
      <c r="A206" s="237" t="n">
        <v>201</v>
      </c>
      <c r="B206" s="238" t="s">
        <v>174</v>
      </c>
      <c r="C206" s="238" t="s">
        <v>2620</v>
      </c>
      <c r="D206" s="238" t="s">
        <v>2621</v>
      </c>
      <c r="E206" s="238" t="s">
        <v>2622</v>
      </c>
      <c r="F206" s="238" t="s">
        <v>1808</v>
      </c>
      <c r="G206" s="238" t="n">
        <v>10</v>
      </c>
      <c r="H206" s="240" t="n">
        <v>3446</v>
      </c>
      <c r="I206" s="238" t="s">
        <v>176</v>
      </c>
      <c r="J206" s="240" t="n">
        <v>3446</v>
      </c>
      <c r="K206" s="238" t="s">
        <v>25</v>
      </c>
      <c r="L206" s="240" t="n">
        <v>3446</v>
      </c>
      <c r="M206" s="238" t="n">
        <v>10.13</v>
      </c>
      <c r="N206" s="241" t="n">
        <v>0</v>
      </c>
      <c r="O206" s="238" t="n">
        <f aca="false">'INPUT DEBT'!$M206-'INPUT DEBT'!$N206</f>
        <v>10.13</v>
      </c>
      <c r="P206" s="239" t="str">
        <f aca="false">IF(N206=0, "NOT DELIVERED", IF(O206=0, "CLEARED", "PARTIALLY DELIVERED"))</f>
        <v>NOT DELIVERED</v>
      </c>
    </row>
    <row r="207" customFormat="false" ht="14.25" hidden="false" customHeight="true" outlineLevel="0" collapsed="false">
      <c r="A207" s="242" t="n">
        <v>202</v>
      </c>
      <c r="B207" s="243" t="s">
        <v>174</v>
      </c>
      <c r="C207" s="243" t="s">
        <v>2623</v>
      </c>
      <c r="D207" s="243" t="s">
        <v>2624</v>
      </c>
      <c r="E207" s="243" t="s">
        <v>2625</v>
      </c>
      <c r="F207" s="243" t="s">
        <v>1808</v>
      </c>
      <c r="G207" s="243" t="n">
        <v>20</v>
      </c>
      <c r="H207" s="244" t="n">
        <v>4149</v>
      </c>
      <c r="I207" s="243" t="s">
        <v>176</v>
      </c>
      <c r="J207" s="244" t="n">
        <v>4149</v>
      </c>
      <c r="K207" s="243" t="s">
        <v>25</v>
      </c>
      <c r="L207" s="244" t="n">
        <v>4149</v>
      </c>
      <c r="M207" s="243" t="n">
        <v>12.2</v>
      </c>
      <c r="N207" s="246" t="n">
        <v>0</v>
      </c>
      <c r="O207" s="238" t="n">
        <f aca="false">'INPUT DEBT'!$M207-'INPUT DEBT'!$N207</f>
        <v>12.2</v>
      </c>
      <c r="P207" s="239" t="str">
        <f aca="false">IF(N207=0, "NOT DELIVERED", IF(O207=0, "CLEARED", "PARTIALLY DELIVERED"))</f>
        <v>NOT DELIVERED</v>
      </c>
    </row>
    <row r="208" customFormat="false" ht="14.25" hidden="false" customHeight="true" outlineLevel="0" collapsed="false">
      <c r="A208" s="237" t="n">
        <v>203</v>
      </c>
      <c r="B208" s="238" t="s">
        <v>174</v>
      </c>
      <c r="C208" s="238" t="s">
        <v>2626</v>
      </c>
      <c r="D208" s="238" t="s">
        <v>1642</v>
      </c>
      <c r="E208" s="238" t="s">
        <v>2627</v>
      </c>
      <c r="F208" s="238" t="s">
        <v>1808</v>
      </c>
      <c r="G208" s="238" t="n">
        <v>20</v>
      </c>
      <c r="H208" s="238" t="s">
        <v>2116</v>
      </c>
      <c r="I208" s="238" t="s">
        <v>176</v>
      </c>
      <c r="J208" s="238" t="s">
        <v>176</v>
      </c>
      <c r="K208" s="238" t="s">
        <v>25</v>
      </c>
      <c r="L208" s="238" t="s">
        <v>176</v>
      </c>
      <c r="M208" s="238" t="n">
        <v>0</v>
      </c>
      <c r="N208" s="241" t="n">
        <v>0</v>
      </c>
      <c r="O208" s="238" t="n">
        <f aca="false">'INPUT DEBT'!$M208-'INPUT DEBT'!$N208</f>
        <v>0</v>
      </c>
      <c r="P208" s="239" t="s">
        <v>2117</v>
      </c>
    </row>
    <row r="209" customFormat="false" ht="14.25" hidden="false" customHeight="true" outlineLevel="0" collapsed="false">
      <c r="A209" s="242" t="n">
        <v>204</v>
      </c>
      <c r="B209" s="243" t="s">
        <v>174</v>
      </c>
      <c r="C209" s="243" t="s">
        <v>2628</v>
      </c>
      <c r="D209" s="243" t="s">
        <v>1743</v>
      </c>
      <c r="E209" s="243" t="s">
        <v>2629</v>
      </c>
      <c r="F209" s="243" t="s">
        <v>1808</v>
      </c>
      <c r="G209" s="243" t="n">
        <v>20</v>
      </c>
      <c r="H209" s="244" t="n">
        <v>6376</v>
      </c>
      <c r="I209" s="244" t="n">
        <v>4364</v>
      </c>
      <c r="J209" s="244" t="n">
        <v>2012</v>
      </c>
      <c r="K209" s="243" t="s">
        <v>25</v>
      </c>
      <c r="L209" s="244" t="n">
        <v>2012</v>
      </c>
      <c r="M209" s="243" t="n">
        <v>18.75</v>
      </c>
      <c r="N209" s="246" t="n">
        <v>11.96</v>
      </c>
      <c r="O209" s="238" t="n">
        <f aca="false">'INPUT DEBT'!$M209-'INPUT DEBT'!$N209</f>
        <v>6.79</v>
      </c>
      <c r="P209" s="239" t="str">
        <f aca="false">IF(N209=0, "NOT DELIVERED", IF(O209=0, "CLEARED", "PARTIALLY DELIVERED"))</f>
        <v>PARTIALLY DELIVERED</v>
      </c>
    </row>
    <row r="210" customFormat="false" ht="14.25" hidden="false" customHeight="true" outlineLevel="0" collapsed="false">
      <c r="A210" s="237" t="n">
        <v>205</v>
      </c>
      <c r="B210" s="238" t="s">
        <v>174</v>
      </c>
      <c r="C210" s="238" t="s">
        <v>2630</v>
      </c>
      <c r="D210" s="238" t="s">
        <v>2631</v>
      </c>
      <c r="E210" s="238" t="s">
        <v>2632</v>
      </c>
      <c r="F210" s="238" t="s">
        <v>1808</v>
      </c>
      <c r="G210" s="238" t="n">
        <v>20</v>
      </c>
      <c r="H210" s="240" t="n">
        <v>5034</v>
      </c>
      <c r="I210" s="238" t="s">
        <v>176</v>
      </c>
      <c r="J210" s="240" t="n">
        <v>5034</v>
      </c>
      <c r="K210" s="238" t="s">
        <v>25</v>
      </c>
      <c r="L210" s="240" t="n">
        <v>5034</v>
      </c>
      <c r="M210" s="238" t="n">
        <v>14.81</v>
      </c>
      <c r="N210" s="241" t="n">
        <v>2.09</v>
      </c>
      <c r="O210" s="238" t="n">
        <f aca="false">'INPUT DEBT'!$M210-'INPUT DEBT'!$N210</f>
        <v>12.72</v>
      </c>
      <c r="P210" s="239" t="str">
        <f aca="false">IF(N210=0, "NOT DELIVERED", IF(O210=0, "CLEARED", "PARTIALLY DELIVERED"))</f>
        <v>PARTIALLY DELIVERED</v>
      </c>
    </row>
    <row r="211" customFormat="false" ht="14.25" hidden="false" customHeight="true" outlineLevel="0" collapsed="false">
      <c r="A211" s="242" t="n">
        <v>206</v>
      </c>
      <c r="B211" s="243" t="s">
        <v>174</v>
      </c>
      <c r="C211" s="243" t="s">
        <v>2633</v>
      </c>
      <c r="D211" s="243" t="s">
        <v>2634</v>
      </c>
      <c r="E211" s="243" t="s">
        <v>2635</v>
      </c>
      <c r="F211" s="243" t="s">
        <v>1808</v>
      </c>
      <c r="G211" s="243" t="n">
        <v>20</v>
      </c>
      <c r="H211" s="244" t="n">
        <v>4226</v>
      </c>
      <c r="I211" s="243" t="s">
        <v>176</v>
      </c>
      <c r="J211" s="244" t="n">
        <v>4226</v>
      </c>
      <c r="K211" s="243" t="s">
        <v>25</v>
      </c>
      <c r="L211" s="244" t="n">
        <v>4226</v>
      </c>
      <c r="M211" s="243" t="n">
        <v>12.43</v>
      </c>
      <c r="N211" s="246" t="n">
        <v>2.93</v>
      </c>
      <c r="O211" s="238" t="n">
        <f aca="false">'INPUT DEBT'!$M211-'INPUT DEBT'!$N211</f>
        <v>9.5</v>
      </c>
      <c r="P211" s="239" t="str">
        <f aca="false">IF(N211=0, "NOT DELIVERED", IF(O211=0, "CLEARED", "PARTIALLY DELIVERED"))</f>
        <v>PARTIALLY DELIVERED</v>
      </c>
    </row>
    <row r="212" customFormat="false" ht="14.25" hidden="false" customHeight="true" outlineLevel="0" collapsed="false">
      <c r="A212" s="237" t="n">
        <v>207</v>
      </c>
      <c r="B212" s="238" t="s">
        <v>174</v>
      </c>
      <c r="C212" s="238" t="s">
        <v>2636</v>
      </c>
      <c r="D212" s="238" t="s">
        <v>2637</v>
      </c>
      <c r="E212" s="238" t="s">
        <v>2638</v>
      </c>
      <c r="F212" s="238" t="s">
        <v>1808</v>
      </c>
      <c r="G212" s="238" t="n">
        <v>20</v>
      </c>
      <c r="H212" s="240" t="n">
        <v>4479</v>
      </c>
      <c r="I212" s="238" t="s">
        <v>176</v>
      </c>
      <c r="J212" s="240" t="n">
        <v>4479</v>
      </c>
      <c r="K212" s="238" t="s">
        <v>25</v>
      </c>
      <c r="L212" s="240" t="n">
        <v>4479</v>
      </c>
      <c r="M212" s="238" t="n">
        <v>13.17</v>
      </c>
      <c r="N212" s="241" t="n">
        <v>0</v>
      </c>
      <c r="O212" s="238" t="n">
        <f aca="false">'INPUT DEBT'!$M212-'INPUT DEBT'!$N212</f>
        <v>13.17</v>
      </c>
      <c r="P212" s="239" t="str">
        <f aca="false">IF(N212=0, "NOT DELIVERED", IF(O212=0, "CLEARED", "PARTIALLY DELIVERED"))</f>
        <v>NOT DELIVERED</v>
      </c>
    </row>
    <row r="213" customFormat="false" ht="14.25" hidden="false" customHeight="true" outlineLevel="0" collapsed="false">
      <c r="A213" s="242" t="n">
        <v>208</v>
      </c>
      <c r="B213" s="243" t="s">
        <v>174</v>
      </c>
      <c r="C213" s="243" t="s">
        <v>2639</v>
      </c>
      <c r="D213" s="243" t="s">
        <v>2640</v>
      </c>
      <c r="E213" s="243" t="s">
        <v>2641</v>
      </c>
      <c r="F213" s="243" t="s">
        <v>1808</v>
      </c>
      <c r="G213" s="243" t="n">
        <v>10</v>
      </c>
      <c r="H213" s="244" t="n">
        <v>3109</v>
      </c>
      <c r="I213" s="243" t="s">
        <v>176</v>
      </c>
      <c r="J213" s="244" t="n">
        <v>3109</v>
      </c>
      <c r="K213" s="243" t="s">
        <v>25</v>
      </c>
      <c r="L213" s="244" t="n">
        <v>3109</v>
      </c>
      <c r="M213" s="243" t="n">
        <v>9.14</v>
      </c>
      <c r="N213" s="246" t="n">
        <v>0.94</v>
      </c>
      <c r="O213" s="238" t="n">
        <f aca="false">'INPUT DEBT'!$M213-'INPUT DEBT'!$N213</f>
        <v>8.2</v>
      </c>
      <c r="P213" s="239" t="str">
        <f aca="false">IF(N213=0, "NOT DELIVERED", IF(O213=0, "CLEARED", "PARTIALLY DELIVERED"))</f>
        <v>PARTIALLY DELIVERED</v>
      </c>
    </row>
    <row r="214" customFormat="false" ht="14.25" hidden="false" customHeight="true" outlineLevel="0" collapsed="false">
      <c r="A214" s="237" t="n">
        <v>209</v>
      </c>
      <c r="B214" s="238" t="s">
        <v>174</v>
      </c>
      <c r="C214" s="238" t="s">
        <v>2642</v>
      </c>
      <c r="D214" s="238" t="s">
        <v>2643</v>
      </c>
      <c r="E214" s="238" t="s">
        <v>2644</v>
      </c>
      <c r="F214" s="238" t="s">
        <v>1808</v>
      </c>
      <c r="G214" s="238" t="n">
        <v>30</v>
      </c>
      <c r="H214" s="240" t="n">
        <v>4367</v>
      </c>
      <c r="I214" s="238" t="s">
        <v>176</v>
      </c>
      <c r="J214" s="240" t="n">
        <v>4367</v>
      </c>
      <c r="K214" s="238" t="s">
        <v>25</v>
      </c>
      <c r="L214" s="240" t="n">
        <v>4367</v>
      </c>
      <c r="M214" s="238" t="n">
        <v>12.84</v>
      </c>
      <c r="N214" s="241" t="n">
        <v>0</v>
      </c>
      <c r="O214" s="238" t="n">
        <f aca="false">'INPUT DEBT'!$M214-'INPUT DEBT'!$N214</f>
        <v>12.84</v>
      </c>
      <c r="P214" s="239" t="str">
        <f aca="false">IF(N214=0, "NOT DELIVERED", IF(O214=0, "CLEARED", "PARTIALLY DELIVERED"))</f>
        <v>NOT DELIVERED</v>
      </c>
    </row>
    <row r="215" customFormat="false" ht="14.25" hidden="false" customHeight="true" outlineLevel="0" collapsed="false">
      <c r="A215" s="242" t="n">
        <v>210</v>
      </c>
      <c r="B215" s="243" t="s">
        <v>174</v>
      </c>
      <c r="C215" s="243" t="s">
        <v>2645</v>
      </c>
      <c r="D215" s="243" t="s">
        <v>1643</v>
      </c>
      <c r="E215" s="243" t="s">
        <v>2646</v>
      </c>
      <c r="F215" s="243" t="s">
        <v>1808</v>
      </c>
      <c r="G215" s="243" t="n">
        <v>10</v>
      </c>
      <c r="H215" s="243" t="s">
        <v>2116</v>
      </c>
      <c r="I215" s="243" t="s">
        <v>176</v>
      </c>
      <c r="J215" s="243" t="s">
        <v>176</v>
      </c>
      <c r="K215" s="243" t="s">
        <v>25</v>
      </c>
      <c r="L215" s="243" t="s">
        <v>176</v>
      </c>
      <c r="M215" s="243" t="n">
        <v>0</v>
      </c>
      <c r="N215" s="246" t="n">
        <v>0</v>
      </c>
      <c r="O215" s="238" t="n">
        <f aca="false">'INPUT DEBT'!$M215-'INPUT DEBT'!$N215</f>
        <v>0</v>
      </c>
      <c r="P215" s="239" t="s">
        <v>2117</v>
      </c>
    </row>
    <row r="216" customFormat="false" ht="14.25" hidden="false" customHeight="true" outlineLevel="0" collapsed="false">
      <c r="A216" s="237" t="n">
        <v>211</v>
      </c>
      <c r="B216" s="238" t="s">
        <v>174</v>
      </c>
      <c r="C216" s="238" t="s">
        <v>2647</v>
      </c>
      <c r="D216" s="238" t="s">
        <v>2648</v>
      </c>
      <c r="E216" s="238" t="s">
        <v>2649</v>
      </c>
      <c r="F216" s="238" t="s">
        <v>1808</v>
      </c>
      <c r="G216" s="238" t="n">
        <v>20</v>
      </c>
      <c r="H216" s="240" t="n">
        <v>3725</v>
      </c>
      <c r="I216" s="238" t="s">
        <v>176</v>
      </c>
      <c r="J216" s="240" t="n">
        <v>3725</v>
      </c>
      <c r="K216" s="238" t="s">
        <v>25</v>
      </c>
      <c r="L216" s="240" t="n">
        <v>3725</v>
      </c>
      <c r="M216" s="238" t="n">
        <v>10.96</v>
      </c>
      <c r="N216" s="241" t="n">
        <v>0</v>
      </c>
      <c r="O216" s="238" t="n">
        <f aca="false">'INPUT DEBT'!$M216-'INPUT DEBT'!$N216</f>
        <v>10.96</v>
      </c>
      <c r="P216" s="239" t="str">
        <f aca="false">IF(N216=0, "NOT DELIVERED", IF(O216=0, "CLEARED", "PARTIALLY DELIVERED"))</f>
        <v>NOT DELIVERED</v>
      </c>
    </row>
    <row r="217" customFormat="false" ht="14.25" hidden="false" customHeight="true" outlineLevel="0" collapsed="false">
      <c r="A217" s="242" t="n">
        <v>212</v>
      </c>
      <c r="B217" s="243" t="s">
        <v>174</v>
      </c>
      <c r="C217" s="243" t="s">
        <v>2650</v>
      </c>
      <c r="D217" s="243" t="s">
        <v>2651</v>
      </c>
      <c r="E217" s="243" t="s">
        <v>2652</v>
      </c>
      <c r="F217" s="243" t="s">
        <v>1808</v>
      </c>
      <c r="G217" s="243" t="n">
        <v>10</v>
      </c>
      <c r="H217" s="244" t="n">
        <v>1375</v>
      </c>
      <c r="I217" s="243" t="s">
        <v>176</v>
      </c>
      <c r="J217" s="244" t="n">
        <v>1375</v>
      </c>
      <c r="K217" s="243" t="s">
        <v>25</v>
      </c>
      <c r="L217" s="244" t="n">
        <v>1375</v>
      </c>
      <c r="M217" s="243" t="n">
        <v>4.05</v>
      </c>
      <c r="N217" s="246" t="n">
        <v>0</v>
      </c>
      <c r="O217" s="238" t="n">
        <f aca="false">'INPUT DEBT'!$M217-'INPUT DEBT'!$N217</f>
        <v>4.05</v>
      </c>
      <c r="P217" s="239" t="str">
        <f aca="false">IF(N217=0, "NOT DELIVERED", IF(O217=0, "CLEARED", "PARTIALLY DELIVERED"))</f>
        <v>NOT DELIVERED</v>
      </c>
    </row>
    <row r="218" customFormat="false" ht="14.25" hidden="false" customHeight="true" outlineLevel="0" collapsed="false">
      <c r="A218" s="237" t="n">
        <v>213</v>
      </c>
      <c r="B218" s="238" t="s">
        <v>174</v>
      </c>
      <c r="C218" s="238" t="s">
        <v>2653</v>
      </c>
      <c r="D218" s="238" t="s">
        <v>2654</v>
      </c>
      <c r="E218" s="238" t="s">
        <v>2655</v>
      </c>
      <c r="F218" s="238" t="s">
        <v>1808</v>
      </c>
      <c r="G218" s="238" t="n">
        <v>10</v>
      </c>
      <c r="H218" s="240" t="n">
        <v>3646</v>
      </c>
      <c r="I218" s="238" t="s">
        <v>176</v>
      </c>
      <c r="J218" s="240" t="n">
        <v>3646</v>
      </c>
      <c r="K218" s="238" t="s">
        <v>25</v>
      </c>
      <c r="L218" s="240" t="n">
        <v>3646</v>
      </c>
      <c r="M218" s="238" t="n">
        <v>10.72</v>
      </c>
      <c r="N218" s="241" t="n">
        <v>0</v>
      </c>
      <c r="O218" s="238" t="n">
        <f aca="false">'INPUT DEBT'!$M218-'INPUT DEBT'!$N218</f>
        <v>10.72</v>
      </c>
      <c r="P218" s="239" t="str">
        <f aca="false">IF(N218=0, "NOT DELIVERED", IF(O218=0, "CLEARED", "PARTIALLY DELIVERED"))</f>
        <v>NOT DELIVERED</v>
      </c>
    </row>
    <row r="219" customFormat="false" ht="14.25" hidden="false" customHeight="true" outlineLevel="0" collapsed="false">
      <c r="A219" s="242" t="n">
        <v>214</v>
      </c>
      <c r="B219" s="243" t="s">
        <v>174</v>
      </c>
      <c r="C219" s="243" t="s">
        <v>2656</v>
      </c>
      <c r="D219" s="243" t="s">
        <v>2657</v>
      </c>
      <c r="E219" s="243" t="s">
        <v>2658</v>
      </c>
      <c r="F219" s="243" t="s">
        <v>1808</v>
      </c>
      <c r="G219" s="243" t="n">
        <v>20</v>
      </c>
      <c r="H219" s="244" t="n">
        <v>3480</v>
      </c>
      <c r="I219" s="243" t="s">
        <v>176</v>
      </c>
      <c r="J219" s="244" t="n">
        <v>3480</v>
      </c>
      <c r="K219" s="243" t="s">
        <v>25</v>
      </c>
      <c r="L219" s="244" t="n">
        <v>3480</v>
      </c>
      <c r="M219" s="243" t="n">
        <v>10.24</v>
      </c>
      <c r="N219" s="246" t="n">
        <v>0</v>
      </c>
      <c r="O219" s="238" t="n">
        <f aca="false">'INPUT DEBT'!$M219-'INPUT DEBT'!$N219</f>
        <v>10.24</v>
      </c>
      <c r="P219" s="239" t="str">
        <f aca="false">IF(N219=0, "NOT DELIVERED", IF(O219=0, "CLEARED", "PARTIALLY DELIVERED"))</f>
        <v>NOT DELIVERED</v>
      </c>
    </row>
    <row r="220" customFormat="false" ht="14.25" hidden="false" customHeight="true" outlineLevel="0" collapsed="false">
      <c r="A220" s="237" t="n">
        <v>215</v>
      </c>
      <c r="B220" s="238" t="s">
        <v>174</v>
      </c>
      <c r="C220" s="238" t="s">
        <v>2659</v>
      </c>
      <c r="D220" s="238" t="s">
        <v>2660</v>
      </c>
      <c r="E220" s="238" t="s">
        <v>2661</v>
      </c>
      <c r="F220" s="238" t="s">
        <v>1808</v>
      </c>
      <c r="G220" s="238" t="n">
        <v>15</v>
      </c>
      <c r="H220" s="240" t="n">
        <v>5395</v>
      </c>
      <c r="I220" s="240" t="n">
        <v>5792</v>
      </c>
      <c r="J220" s="238" t="n">
        <v>-396</v>
      </c>
      <c r="K220" s="238" t="s">
        <v>25</v>
      </c>
      <c r="L220" s="238" t="n">
        <v>-396</v>
      </c>
      <c r="M220" s="238" t="n">
        <v>15.87</v>
      </c>
      <c r="N220" s="241" t="n">
        <v>15.88</v>
      </c>
      <c r="O220" s="238" t="n">
        <f aca="false">'INPUT DEBT'!$M220-'INPUT DEBT'!$N220</f>
        <v>-0.0100000000000016</v>
      </c>
      <c r="P220" s="239" t="s">
        <v>2117</v>
      </c>
    </row>
    <row r="221" customFormat="false" ht="14.25" hidden="false" customHeight="true" outlineLevel="0" collapsed="false">
      <c r="A221" s="242" t="n">
        <v>216</v>
      </c>
      <c r="B221" s="243" t="s">
        <v>174</v>
      </c>
      <c r="C221" s="243" t="s">
        <v>2662</v>
      </c>
      <c r="D221" s="243" t="s">
        <v>2663</v>
      </c>
      <c r="E221" s="243" t="s">
        <v>2664</v>
      </c>
      <c r="F221" s="243" t="s">
        <v>1808</v>
      </c>
      <c r="G221" s="243" t="n">
        <v>15</v>
      </c>
      <c r="H221" s="244" t="n">
        <v>1780</v>
      </c>
      <c r="I221" s="243" t="s">
        <v>176</v>
      </c>
      <c r="J221" s="244" t="n">
        <v>1780</v>
      </c>
      <c r="K221" s="243" t="s">
        <v>25</v>
      </c>
      <c r="L221" s="244" t="n">
        <v>1780</v>
      </c>
      <c r="M221" s="243" t="n">
        <v>5.24</v>
      </c>
      <c r="N221" s="246" t="n">
        <v>0</v>
      </c>
      <c r="O221" s="238" t="n">
        <f aca="false">'INPUT DEBT'!$M221-'INPUT DEBT'!$N221</f>
        <v>5.24</v>
      </c>
      <c r="P221" s="239" t="str">
        <f aca="false">IF(N221=0, "NOT DELIVERED", IF(O221=0, "CLEARED", "PARTIALLY DELIVERED"))</f>
        <v>NOT DELIVERED</v>
      </c>
    </row>
    <row r="222" customFormat="false" ht="14.25" hidden="false" customHeight="true" outlineLevel="0" collapsed="false">
      <c r="A222" s="237" t="n">
        <v>217</v>
      </c>
      <c r="B222" s="238" t="s">
        <v>174</v>
      </c>
      <c r="C222" s="18" t="s">
        <v>170</v>
      </c>
      <c r="D222" s="238" t="s">
        <v>1644</v>
      </c>
      <c r="E222" s="238" t="s">
        <v>2665</v>
      </c>
      <c r="F222" s="238" t="s">
        <v>1808</v>
      </c>
      <c r="G222" s="238" t="n">
        <v>40</v>
      </c>
      <c r="H222" s="238" t="s">
        <v>2116</v>
      </c>
      <c r="I222" s="238" t="s">
        <v>176</v>
      </c>
      <c r="J222" s="238" t="s">
        <v>176</v>
      </c>
      <c r="K222" s="238" t="s">
        <v>25</v>
      </c>
      <c r="L222" s="238" t="s">
        <v>176</v>
      </c>
      <c r="M222" s="238" t="n">
        <v>0</v>
      </c>
      <c r="N222" s="241" t="n">
        <v>0</v>
      </c>
      <c r="O222" s="238" t="n">
        <f aca="false">'INPUT DEBT'!$M222-'INPUT DEBT'!$N222</f>
        <v>0</v>
      </c>
      <c r="P222" s="239" t="s">
        <v>2117</v>
      </c>
    </row>
    <row r="223" customFormat="false" ht="14.25" hidden="false" customHeight="true" outlineLevel="0" collapsed="false">
      <c r="A223" s="242" t="n">
        <v>218</v>
      </c>
      <c r="B223" s="243" t="s">
        <v>174</v>
      </c>
      <c r="C223" s="243" t="s">
        <v>2666</v>
      </c>
      <c r="D223" s="243" t="s">
        <v>2412</v>
      </c>
      <c r="E223" s="243" t="s">
        <v>2667</v>
      </c>
      <c r="F223" s="243" t="s">
        <v>1808</v>
      </c>
      <c r="G223" s="243" t="n">
        <v>10</v>
      </c>
      <c r="H223" s="243" t="s">
        <v>2116</v>
      </c>
      <c r="I223" s="243" t="s">
        <v>176</v>
      </c>
      <c r="J223" s="243" t="s">
        <v>176</v>
      </c>
      <c r="K223" s="243" t="s">
        <v>25</v>
      </c>
      <c r="L223" s="243" t="s">
        <v>176</v>
      </c>
      <c r="M223" s="243" t="n">
        <v>0</v>
      </c>
      <c r="N223" s="246" t="n">
        <v>0</v>
      </c>
      <c r="O223" s="238" t="n">
        <f aca="false">'INPUT DEBT'!$M223-'INPUT DEBT'!$N223</f>
        <v>0</v>
      </c>
      <c r="P223" s="239" t="s">
        <v>2117</v>
      </c>
    </row>
    <row r="224" customFormat="false" ht="14.25" hidden="false" customHeight="true" outlineLevel="0" collapsed="false">
      <c r="A224" s="237" t="n">
        <v>219</v>
      </c>
      <c r="B224" s="238" t="s">
        <v>174</v>
      </c>
      <c r="C224" s="18" t="s">
        <v>170</v>
      </c>
      <c r="D224" s="238" t="s">
        <v>2668</v>
      </c>
      <c r="E224" s="238" t="s">
        <v>2669</v>
      </c>
      <c r="F224" s="238" t="s">
        <v>1808</v>
      </c>
      <c r="G224" s="238" t="n">
        <v>25</v>
      </c>
      <c r="H224" s="240" t="n">
        <v>6032</v>
      </c>
      <c r="I224" s="238" t="s">
        <v>176</v>
      </c>
      <c r="J224" s="240" t="n">
        <v>6032</v>
      </c>
      <c r="K224" s="238" t="s">
        <v>25</v>
      </c>
      <c r="L224" s="240" t="n">
        <v>6032</v>
      </c>
      <c r="M224" s="238" t="n">
        <v>17.74</v>
      </c>
      <c r="N224" s="241" t="n">
        <v>7.04</v>
      </c>
      <c r="O224" s="238" t="n">
        <f aca="false">'INPUT DEBT'!$M224-'INPUT DEBT'!$N224</f>
        <v>10.7</v>
      </c>
      <c r="P224" s="239" t="str">
        <f aca="false">IF(N224=0, "NOT DELIVERED", IF(O224=0, "CLEARED", "PARTIALLY DELIVERED"))</f>
        <v>PARTIALLY DELIVERED</v>
      </c>
    </row>
    <row r="225" customFormat="false" ht="14.25" hidden="false" customHeight="true" outlineLevel="0" collapsed="false">
      <c r="A225" s="242" t="n">
        <v>220</v>
      </c>
      <c r="B225" s="243" t="s">
        <v>174</v>
      </c>
      <c r="C225" s="243" t="s">
        <v>2670</v>
      </c>
      <c r="D225" s="243" t="s">
        <v>2671</v>
      </c>
      <c r="E225" s="243" t="s">
        <v>2672</v>
      </c>
      <c r="F225" s="243" t="s">
        <v>1808</v>
      </c>
      <c r="G225" s="243" t="n">
        <v>20</v>
      </c>
      <c r="H225" s="244" t="n">
        <v>4666</v>
      </c>
      <c r="I225" s="243" t="s">
        <v>176</v>
      </c>
      <c r="J225" s="244" t="n">
        <v>4666</v>
      </c>
      <c r="K225" s="244" t="n">
        <v>5218</v>
      </c>
      <c r="L225" s="243" t="n">
        <v>-553</v>
      </c>
      <c r="M225" s="243" t="n">
        <v>13.72</v>
      </c>
      <c r="N225" s="246" t="n">
        <v>0</v>
      </c>
      <c r="O225" s="238" t="n">
        <f aca="false">'INPUT DEBT'!$M225-'INPUT DEBT'!$N225</f>
        <v>13.72</v>
      </c>
      <c r="P225" s="239" t="str">
        <f aca="false">IF(N225=0, "NOT DELIVERED", IF(O225=0, "CLEARED", "PARTIALLY DELIVERED"))</f>
        <v>NOT DELIVERED</v>
      </c>
    </row>
    <row r="226" customFormat="false" ht="14.25" hidden="false" customHeight="true" outlineLevel="0" collapsed="false">
      <c r="A226" s="237" t="n">
        <v>221</v>
      </c>
      <c r="B226" s="238" t="s">
        <v>174</v>
      </c>
      <c r="C226" s="18" t="s">
        <v>170</v>
      </c>
      <c r="D226" s="238" t="s">
        <v>1645</v>
      </c>
      <c r="E226" s="238" t="s">
        <v>2673</v>
      </c>
      <c r="F226" s="238" t="s">
        <v>1808</v>
      </c>
      <c r="G226" s="238" t="n">
        <v>20</v>
      </c>
      <c r="H226" s="240" t="n">
        <v>3694</v>
      </c>
      <c r="I226" s="238" t="s">
        <v>176</v>
      </c>
      <c r="J226" s="240" t="n">
        <v>3694</v>
      </c>
      <c r="K226" s="238" t="s">
        <v>25</v>
      </c>
      <c r="L226" s="240" t="n">
        <v>3694</v>
      </c>
      <c r="M226" s="238" t="n">
        <v>10.87</v>
      </c>
      <c r="N226" s="241" t="n">
        <v>0</v>
      </c>
      <c r="O226" s="238" t="n">
        <f aca="false">'INPUT DEBT'!$M226-'INPUT DEBT'!$N226</f>
        <v>10.87</v>
      </c>
      <c r="P226" s="239" t="str">
        <f aca="false">IF(N226=0, "NOT DELIVERED", IF(O226=0, "CLEARED", "PARTIALLY DELIVERED"))</f>
        <v>NOT DELIVERED</v>
      </c>
    </row>
    <row r="227" customFormat="false" ht="14.25" hidden="false" customHeight="true" outlineLevel="0" collapsed="false">
      <c r="A227" s="242" t="n">
        <v>222</v>
      </c>
      <c r="B227" s="243" t="s">
        <v>174</v>
      </c>
      <c r="C227" s="243" t="s">
        <v>2674</v>
      </c>
      <c r="D227" s="243" t="s">
        <v>2675</v>
      </c>
      <c r="E227" s="243" t="s">
        <v>2676</v>
      </c>
      <c r="F227" s="243" t="s">
        <v>1808</v>
      </c>
      <c r="G227" s="243" t="n">
        <v>40</v>
      </c>
      <c r="H227" s="244" t="n">
        <v>5833</v>
      </c>
      <c r="I227" s="244" t="n">
        <v>5602</v>
      </c>
      <c r="J227" s="243" t="n">
        <v>231</v>
      </c>
      <c r="K227" s="243" t="s">
        <v>25</v>
      </c>
      <c r="L227" s="243" t="n">
        <v>231</v>
      </c>
      <c r="M227" s="243" t="n">
        <v>17.16</v>
      </c>
      <c r="N227" s="246" t="n">
        <v>15.36</v>
      </c>
      <c r="O227" s="238" t="n">
        <f aca="false">'INPUT DEBT'!$M227-'INPUT DEBT'!$N227</f>
        <v>1.8</v>
      </c>
      <c r="P227" s="239" t="str">
        <f aca="false">IF(N227=0, "NOT DELIVERED", IF(O227=0, "CLEARED", "PARTIALLY DELIVERED"))</f>
        <v>PARTIALLY DELIVERED</v>
      </c>
    </row>
    <row r="228" customFormat="false" ht="14.25" hidden="false" customHeight="true" outlineLevel="0" collapsed="false">
      <c r="A228" s="237" t="n">
        <v>223</v>
      </c>
      <c r="B228" s="238" t="s">
        <v>174</v>
      </c>
      <c r="C228" s="238" t="s">
        <v>2677</v>
      </c>
      <c r="D228" s="238" t="s">
        <v>2539</v>
      </c>
      <c r="E228" s="238" t="s">
        <v>2678</v>
      </c>
      <c r="F228" s="238" t="s">
        <v>1808</v>
      </c>
      <c r="G228" s="238" t="n">
        <v>10</v>
      </c>
      <c r="H228" s="240" t="n">
        <v>1458</v>
      </c>
      <c r="I228" s="238" t="s">
        <v>176</v>
      </c>
      <c r="J228" s="240" t="n">
        <v>1458</v>
      </c>
      <c r="K228" s="238" t="s">
        <v>25</v>
      </c>
      <c r="L228" s="240" t="n">
        <v>1458</v>
      </c>
      <c r="M228" s="238" t="n">
        <v>4.29</v>
      </c>
      <c r="N228" s="241" t="n">
        <v>0</v>
      </c>
      <c r="O228" s="238" t="n">
        <f aca="false">'INPUT DEBT'!$M228-'INPUT DEBT'!$N228</f>
        <v>4.29</v>
      </c>
      <c r="P228" s="239" t="str">
        <f aca="false">IF(N228=0, "NOT DELIVERED", IF(O228=0, "CLEARED", "PARTIALLY DELIVERED"))</f>
        <v>NOT DELIVERED</v>
      </c>
    </row>
    <row r="229" customFormat="false" ht="14.25" hidden="false" customHeight="true" outlineLevel="0" collapsed="false">
      <c r="A229" s="242" t="n">
        <v>224</v>
      </c>
      <c r="B229" s="243" t="s">
        <v>174</v>
      </c>
      <c r="C229" s="243" t="s">
        <v>2679</v>
      </c>
      <c r="D229" s="243" t="s">
        <v>2680</v>
      </c>
      <c r="E229" s="243" t="s">
        <v>2681</v>
      </c>
      <c r="F229" s="243" t="s">
        <v>1808</v>
      </c>
      <c r="G229" s="243" t="n">
        <v>20</v>
      </c>
      <c r="H229" s="244" t="n">
        <v>6759</v>
      </c>
      <c r="I229" s="243" t="s">
        <v>176</v>
      </c>
      <c r="J229" s="244" t="n">
        <v>6759</v>
      </c>
      <c r="K229" s="243" t="s">
        <v>25</v>
      </c>
      <c r="L229" s="244" t="n">
        <v>6759</v>
      </c>
      <c r="M229" s="243" t="n">
        <v>19.88</v>
      </c>
      <c r="N229" s="246" t="n">
        <v>0.26</v>
      </c>
      <c r="O229" s="238" t="n">
        <f aca="false">'INPUT DEBT'!$M229-'INPUT DEBT'!$N229</f>
        <v>19.62</v>
      </c>
      <c r="P229" s="239" t="str">
        <f aca="false">IF(N229=0, "NOT DELIVERED", IF(O229=0, "CLEARED", "PARTIALLY DELIVERED"))</f>
        <v>PARTIALLY DELIVERED</v>
      </c>
    </row>
    <row r="230" customFormat="false" ht="14.25" hidden="false" customHeight="true" outlineLevel="0" collapsed="false">
      <c r="A230" s="237" t="n">
        <v>225</v>
      </c>
      <c r="B230" s="238" t="s">
        <v>174</v>
      </c>
      <c r="C230" s="238" t="s">
        <v>2682</v>
      </c>
      <c r="D230" s="238" t="s">
        <v>2683</v>
      </c>
      <c r="E230" s="238" t="s">
        <v>2684</v>
      </c>
      <c r="F230" s="238" t="s">
        <v>1808</v>
      </c>
      <c r="G230" s="238" t="n">
        <v>20</v>
      </c>
      <c r="H230" s="240" t="n">
        <v>2745</v>
      </c>
      <c r="I230" s="238" t="s">
        <v>176</v>
      </c>
      <c r="J230" s="240" t="n">
        <v>2745</v>
      </c>
      <c r="K230" s="238" t="s">
        <v>25</v>
      </c>
      <c r="L230" s="240" t="n">
        <v>2745</v>
      </c>
      <c r="M230" s="238" t="n">
        <v>8.07</v>
      </c>
      <c r="N230" s="241" t="n">
        <v>0</v>
      </c>
      <c r="O230" s="238" t="n">
        <f aca="false">'INPUT DEBT'!$M230-'INPUT DEBT'!$N230</f>
        <v>8.07</v>
      </c>
      <c r="P230" s="239" t="str">
        <f aca="false">IF(N230=0, "NOT DELIVERED", IF(O230=0, "CLEARED", "PARTIALLY DELIVERED"))</f>
        <v>NOT DELIVERED</v>
      </c>
    </row>
    <row r="231" customFormat="false" ht="14.25" hidden="false" customHeight="true" outlineLevel="0" collapsed="false">
      <c r="A231" s="242" t="n">
        <v>226</v>
      </c>
      <c r="B231" s="243" t="s">
        <v>174</v>
      </c>
      <c r="C231" s="243" t="s">
        <v>2685</v>
      </c>
      <c r="D231" s="243" t="s">
        <v>2402</v>
      </c>
      <c r="E231" s="243" t="s">
        <v>2686</v>
      </c>
      <c r="F231" s="243" t="s">
        <v>1808</v>
      </c>
      <c r="G231" s="243" t="n">
        <v>10</v>
      </c>
      <c r="H231" s="244" t="n">
        <v>2250</v>
      </c>
      <c r="I231" s="243" t="s">
        <v>176</v>
      </c>
      <c r="J231" s="244" t="n">
        <v>2250</v>
      </c>
      <c r="K231" s="243" t="s">
        <v>25</v>
      </c>
      <c r="L231" s="244" t="n">
        <v>2250</v>
      </c>
      <c r="M231" s="243" t="n">
        <v>6.62</v>
      </c>
      <c r="N231" s="246" t="n">
        <v>0</v>
      </c>
      <c r="O231" s="238" t="n">
        <f aca="false">'INPUT DEBT'!$M231-'INPUT DEBT'!$N231</f>
        <v>6.62</v>
      </c>
      <c r="P231" s="239" t="str">
        <f aca="false">IF(N231=0, "NOT DELIVERED", IF(O231=0, "CLEARED", "PARTIALLY DELIVERED"))</f>
        <v>NOT DELIVERED</v>
      </c>
    </row>
    <row r="232" customFormat="false" ht="14.25" hidden="false" customHeight="true" outlineLevel="0" collapsed="false">
      <c r="A232" s="237" t="n">
        <v>227</v>
      </c>
      <c r="B232" s="238" t="s">
        <v>174</v>
      </c>
      <c r="C232" s="238" t="s">
        <v>2687</v>
      </c>
      <c r="D232" s="238" t="s">
        <v>2407</v>
      </c>
      <c r="E232" s="238" t="s">
        <v>2688</v>
      </c>
      <c r="F232" s="238" t="s">
        <v>1808</v>
      </c>
      <c r="G232" s="238" t="n">
        <v>10</v>
      </c>
      <c r="H232" s="240" t="n">
        <v>3237</v>
      </c>
      <c r="I232" s="238" t="s">
        <v>176</v>
      </c>
      <c r="J232" s="240" t="n">
        <v>3237</v>
      </c>
      <c r="K232" s="238" t="s">
        <v>25</v>
      </c>
      <c r="L232" s="240" t="n">
        <v>3237</v>
      </c>
      <c r="M232" s="238" t="n">
        <v>9.52</v>
      </c>
      <c r="N232" s="241" t="n">
        <v>0</v>
      </c>
      <c r="O232" s="238" t="n">
        <f aca="false">'INPUT DEBT'!$M232-'INPUT DEBT'!$N232</f>
        <v>9.52</v>
      </c>
      <c r="P232" s="239" t="str">
        <f aca="false">IF(N232=0, "NOT DELIVERED", IF(O232=0, "CLEARED", "PARTIALLY DELIVERED"))</f>
        <v>NOT DELIVERED</v>
      </c>
    </row>
    <row r="233" customFormat="false" ht="14.25" hidden="false" customHeight="true" outlineLevel="0" collapsed="false">
      <c r="A233" s="242" t="n">
        <v>228</v>
      </c>
      <c r="B233" s="243" t="s">
        <v>174</v>
      </c>
      <c r="C233" s="243" t="s">
        <v>2689</v>
      </c>
      <c r="D233" s="243" t="s">
        <v>2690</v>
      </c>
      <c r="E233" s="243" t="s">
        <v>2691</v>
      </c>
      <c r="F233" s="243" t="s">
        <v>1808</v>
      </c>
      <c r="G233" s="243" t="n">
        <v>10</v>
      </c>
      <c r="H233" s="244" t="n">
        <v>2434</v>
      </c>
      <c r="I233" s="243" t="s">
        <v>176</v>
      </c>
      <c r="J233" s="244" t="n">
        <v>2434</v>
      </c>
      <c r="K233" s="243" t="s">
        <v>25</v>
      </c>
      <c r="L233" s="244" t="n">
        <v>2434</v>
      </c>
      <c r="M233" s="243" t="n">
        <v>7.16</v>
      </c>
      <c r="N233" s="246" t="n">
        <v>0</v>
      </c>
      <c r="O233" s="238" t="n">
        <f aca="false">'INPUT DEBT'!$M233-'INPUT DEBT'!$N233</f>
        <v>7.16</v>
      </c>
      <c r="P233" s="239" t="str">
        <f aca="false">IF(N233=0, "NOT DELIVERED", IF(O233=0, "CLEARED", "PARTIALLY DELIVERED"))</f>
        <v>NOT DELIVERED</v>
      </c>
    </row>
    <row r="234" customFormat="false" ht="14.25" hidden="false" customHeight="true" outlineLevel="0" collapsed="false">
      <c r="A234" s="237" t="n">
        <v>229</v>
      </c>
      <c r="B234" s="238" t="s">
        <v>174</v>
      </c>
      <c r="C234" s="238" t="s">
        <v>2692</v>
      </c>
      <c r="D234" s="238" t="s">
        <v>2693</v>
      </c>
      <c r="E234" s="238" t="s">
        <v>2694</v>
      </c>
      <c r="F234" s="238" t="s">
        <v>1808</v>
      </c>
      <c r="G234" s="238" t="n">
        <v>10</v>
      </c>
      <c r="H234" s="240" t="n">
        <v>1211</v>
      </c>
      <c r="I234" s="238" t="s">
        <v>176</v>
      </c>
      <c r="J234" s="240" t="n">
        <v>1211</v>
      </c>
      <c r="K234" s="238" t="s">
        <v>25</v>
      </c>
      <c r="L234" s="240" t="n">
        <v>1211</v>
      </c>
      <c r="M234" s="238" t="n">
        <v>3.56</v>
      </c>
      <c r="N234" s="241" t="n">
        <v>0</v>
      </c>
      <c r="O234" s="238" t="n">
        <f aca="false">'INPUT DEBT'!$M234-'INPUT DEBT'!$N234</f>
        <v>3.56</v>
      </c>
      <c r="P234" s="239" t="str">
        <f aca="false">IF(N234=0, "NOT DELIVERED", IF(O234=0, "CLEARED", "PARTIALLY DELIVERED"))</f>
        <v>NOT DELIVERED</v>
      </c>
    </row>
    <row r="235" customFormat="false" ht="14.25" hidden="false" customHeight="true" outlineLevel="0" collapsed="false">
      <c r="A235" s="242" t="n">
        <v>230</v>
      </c>
      <c r="B235" s="243" t="s">
        <v>174</v>
      </c>
      <c r="C235" s="243" t="s">
        <v>2695</v>
      </c>
      <c r="D235" s="243" t="s">
        <v>2696</v>
      </c>
      <c r="E235" s="243" t="s">
        <v>2697</v>
      </c>
      <c r="F235" s="243" t="s">
        <v>1808</v>
      </c>
      <c r="G235" s="243" t="n">
        <v>40</v>
      </c>
      <c r="H235" s="244" t="n">
        <v>6981</v>
      </c>
      <c r="I235" s="243" t="s">
        <v>176</v>
      </c>
      <c r="J235" s="244" t="n">
        <v>6981</v>
      </c>
      <c r="K235" s="243" t="s">
        <v>25</v>
      </c>
      <c r="L235" s="244" t="n">
        <v>6981</v>
      </c>
      <c r="M235" s="243" t="n">
        <v>20.53</v>
      </c>
      <c r="N235" s="246" t="n">
        <v>0</v>
      </c>
      <c r="O235" s="238" t="n">
        <f aca="false">'INPUT DEBT'!$M235-'INPUT DEBT'!$N235</f>
        <v>20.53</v>
      </c>
      <c r="P235" s="239" t="str">
        <f aca="false">IF(N235=0, "NOT DELIVERED", IF(O235=0, "CLEARED", "PARTIALLY DELIVERED"))</f>
        <v>NOT DELIVERED</v>
      </c>
    </row>
    <row r="236" customFormat="false" ht="14.25" hidden="false" customHeight="true" outlineLevel="0" collapsed="false">
      <c r="A236" s="237" t="n">
        <v>231</v>
      </c>
      <c r="B236" s="238" t="s">
        <v>174</v>
      </c>
      <c r="C236" s="238" t="s">
        <v>2698</v>
      </c>
      <c r="D236" s="238" t="s">
        <v>2699</v>
      </c>
      <c r="E236" s="238" t="s">
        <v>2700</v>
      </c>
      <c r="F236" s="238" t="s">
        <v>1808</v>
      </c>
      <c r="G236" s="238" t="n">
        <v>10</v>
      </c>
      <c r="H236" s="240" t="n">
        <v>2717</v>
      </c>
      <c r="I236" s="238" t="s">
        <v>176</v>
      </c>
      <c r="J236" s="240" t="n">
        <v>2717</v>
      </c>
      <c r="K236" s="238" t="s">
        <v>25</v>
      </c>
      <c r="L236" s="240" t="n">
        <v>2717</v>
      </c>
      <c r="M236" s="238" t="n">
        <v>7.99</v>
      </c>
      <c r="N236" s="241" t="n">
        <v>0</v>
      </c>
      <c r="O236" s="238" t="n">
        <f aca="false">'INPUT DEBT'!$M236-'INPUT DEBT'!$N236</f>
        <v>7.99</v>
      </c>
      <c r="P236" s="239" t="str">
        <f aca="false">IF(N236=0, "NOT DELIVERED", IF(O236=0, "CLEARED", "PARTIALLY DELIVERED"))</f>
        <v>NOT DELIVERED</v>
      </c>
    </row>
    <row r="237" customFormat="false" ht="14.25" hidden="false" customHeight="true" outlineLevel="0" collapsed="false">
      <c r="A237" s="242" t="n">
        <v>232</v>
      </c>
      <c r="B237" s="243" t="s">
        <v>174</v>
      </c>
      <c r="C237" s="243" t="s">
        <v>2701</v>
      </c>
      <c r="D237" s="243" t="s">
        <v>2702</v>
      </c>
      <c r="E237" s="243" t="s">
        <v>2703</v>
      </c>
      <c r="F237" s="243" t="s">
        <v>1808</v>
      </c>
      <c r="G237" s="243" t="n">
        <v>18</v>
      </c>
      <c r="H237" s="244" t="n">
        <v>2462</v>
      </c>
      <c r="I237" s="243" t="s">
        <v>176</v>
      </c>
      <c r="J237" s="244" t="n">
        <v>2462</v>
      </c>
      <c r="K237" s="243" t="s">
        <v>25</v>
      </c>
      <c r="L237" s="244" t="n">
        <v>2462</v>
      </c>
      <c r="M237" s="243" t="n">
        <v>7.24</v>
      </c>
      <c r="N237" s="246" t="n">
        <v>0</v>
      </c>
      <c r="O237" s="238" t="n">
        <f aca="false">'INPUT DEBT'!$M237-'INPUT DEBT'!$N237</f>
        <v>7.24</v>
      </c>
      <c r="P237" s="239" t="str">
        <f aca="false">IF(N237=0, "NOT DELIVERED", IF(O237=0, "CLEARED", "PARTIALLY DELIVERED"))</f>
        <v>NOT DELIVERED</v>
      </c>
    </row>
    <row r="238" customFormat="false" ht="14.25" hidden="false" customHeight="true" outlineLevel="0" collapsed="false">
      <c r="A238" s="237" t="n">
        <v>233</v>
      </c>
      <c r="B238" s="238" t="s">
        <v>174</v>
      </c>
      <c r="C238" s="238" t="s">
        <v>2704</v>
      </c>
      <c r="D238" s="238" t="s">
        <v>2705</v>
      </c>
      <c r="E238" s="238" t="s">
        <v>2706</v>
      </c>
      <c r="F238" s="238" t="s">
        <v>1808</v>
      </c>
      <c r="G238" s="238" t="n">
        <v>15</v>
      </c>
      <c r="H238" s="240" t="n">
        <v>4860</v>
      </c>
      <c r="I238" s="240" t="n">
        <v>1666</v>
      </c>
      <c r="J238" s="240" t="n">
        <v>3194</v>
      </c>
      <c r="K238" s="238" t="s">
        <v>25</v>
      </c>
      <c r="L238" s="240" t="n">
        <v>3194</v>
      </c>
      <c r="M238" s="238" t="n">
        <v>14.29</v>
      </c>
      <c r="N238" s="241" t="n">
        <v>4.57</v>
      </c>
      <c r="O238" s="238" t="n">
        <f aca="false">'INPUT DEBT'!$M238-'INPUT DEBT'!$N238</f>
        <v>9.72</v>
      </c>
      <c r="P238" s="239" t="str">
        <f aca="false">IF(N238=0, "NOT DELIVERED", IF(O238=0, "CLEARED", "PARTIALLY DELIVERED"))</f>
        <v>PARTIALLY DELIVERED</v>
      </c>
    </row>
    <row r="239" customFormat="false" ht="14.25" hidden="false" customHeight="true" outlineLevel="0" collapsed="false">
      <c r="A239" s="242" t="n">
        <v>234</v>
      </c>
      <c r="B239" s="243" t="s">
        <v>174</v>
      </c>
      <c r="C239" s="243" t="s">
        <v>2707</v>
      </c>
      <c r="D239" s="243" t="s">
        <v>1706</v>
      </c>
      <c r="E239" s="243" t="s">
        <v>2708</v>
      </c>
      <c r="F239" s="243" t="s">
        <v>1808</v>
      </c>
      <c r="G239" s="243" t="n">
        <v>50</v>
      </c>
      <c r="H239" s="244" t="n">
        <v>14367</v>
      </c>
      <c r="I239" s="244" t="n">
        <v>3936</v>
      </c>
      <c r="J239" s="244" t="n">
        <v>10431</v>
      </c>
      <c r="K239" s="243" t="s">
        <v>25</v>
      </c>
      <c r="L239" s="244" t="n">
        <v>10431</v>
      </c>
      <c r="M239" s="243" t="n">
        <v>42.26</v>
      </c>
      <c r="N239" s="246" t="n">
        <v>10.79</v>
      </c>
      <c r="O239" s="238" t="n">
        <f aca="false">'INPUT DEBT'!$M239-'INPUT DEBT'!$N239</f>
        <v>31.47</v>
      </c>
      <c r="P239" s="239" t="str">
        <f aca="false">IF(N239=0, "NOT DELIVERED", IF(O239=0, "CLEARED", "PARTIALLY DELIVERED"))</f>
        <v>PARTIALLY DELIVERED</v>
      </c>
    </row>
    <row r="240" customFormat="false" ht="14.25" hidden="false" customHeight="true" outlineLevel="0" collapsed="false">
      <c r="A240" s="237" t="n">
        <v>235</v>
      </c>
      <c r="B240" s="238" t="s">
        <v>174</v>
      </c>
      <c r="C240" s="238" t="s">
        <v>2709</v>
      </c>
      <c r="D240" s="238" t="s">
        <v>2710</v>
      </c>
      <c r="E240" s="238" t="s">
        <v>2711</v>
      </c>
      <c r="F240" s="238" t="s">
        <v>1808</v>
      </c>
      <c r="G240" s="238" t="n">
        <v>50</v>
      </c>
      <c r="H240" s="240" t="n">
        <v>12638</v>
      </c>
      <c r="I240" s="238" t="n">
        <v>365</v>
      </c>
      <c r="J240" s="240" t="n">
        <v>12273</v>
      </c>
      <c r="K240" s="240" t="n">
        <v>14535</v>
      </c>
      <c r="L240" s="240" t="n">
        <v>-2263</v>
      </c>
      <c r="M240" s="238" t="n">
        <v>37.17</v>
      </c>
      <c r="N240" s="241" t="n">
        <v>1</v>
      </c>
      <c r="O240" s="238" t="n">
        <f aca="false">'INPUT DEBT'!$M240-'INPUT DEBT'!$N240</f>
        <v>36.17</v>
      </c>
      <c r="P240" s="239" t="str">
        <f aca="false">IF(N240=0, "NOT DELIVERED", IF(O240=0, "CLEARED", "PARTIALLY DELIVERED"))</f>
        <v>PARTIALLY DELIVERED</v>
      </c>
    </row>
    <row r="241" customFormat="false" ht="14.25" hidden="false" customHeight="true" outlineLevel="0" collapsed="false">
      <c r="A241" s="242" t="n">
        <v>236</v>
      </c>
      <c r="B241" s="243" t="s">
        <v>174</v>
      </c>
      <c r="C241" s="243" t="s">
        <v>2712</v>
      </c>
      <c r="D241" s="243" t="s">
        <v>2713</v>
      </c>
      <c r="E241" s="243" t="s">
        <v>2714</v>
      </c>
      <c r="F241" s="243" t="s">
        <v>1808</v>
      </c>
      <c r="G241" s="243" t="n">
        <v>40</v>
      </c>
      <c r="H241" s="244" t="n">
        <v>11633</v>
      </c>
      <c r="I241" s="244" t="n">
        <v>2918</v>
      </c>
      <c r="J241" s="244" t="n">
        <v>8715</v>
      </c>
      <c r="K241" s="243" t="s">
        <v>25</v>
      </c>
      <c r="L241" s="244" t="n">
        <v>8715</v>
      </c>
      <c r="M241" s="243" t="n">
        <v>34.22</v>
      </c>
      <c r="N241" s="246" t="n">
        <v>8</v>
      </c>
      <c r="O241" s="238" t="n">
        <f aca="false">'INPUT DEBT'!$M241-'INPUT DEBT'!$N241</f>
        <v>26.22</v>
      </c>
      <c r="P241" s="239" t="str">
        <f aca="false">IF(N241=0, "NOT DELIVERED", IF(O241=0, "CLEARED", "PARTIALLY DELIVERED"))</f>
        <v>PARTIALLY DELIVERED</v>
      </c>
    </row>
    <row r="242" customFormat="false" ht="14.25" hidden="false" customHeight="true" outlineLevel="0" collapsed="false">
      <c r="A242" s="237" t="n">
        <v>237</v>
      </c>
      <c r="B242" s="238" t="s">
        <v>174</v>
      </c>
      <c r="C242" s="238" t="s">
        <v>2234</v>
      </c>
      <c r="D242" s="238" t="s">
        <v>2715</v>
      </c>
      <c r="E242" s="238" t="s">
        <v>2716</v>
      </c>
      <c r="F242" s="238" t="s">
        <v>1808</v>
      </c>
      <c r="G242" s="238" t="n">
        <v>10</v>
      </c>
      <c r="H242" s="240" t="n">
        <v>3460</v>
      </c>
      <c r="I242" s="240" t="n">
        <v>1977</v>
      </c>
      <c r="J242" s="240" t="n">
        <v>1483</v>
      </c>
      <c r="K242" s="238" t="s">
        <v>25</v>
      </c>
      <c r="L242" s="240" t="n">
        <v>1483</v>
      </c>
      <c r="M242" s="238" t="n">
        <v>10.18</v>
      </c>
      <c r="N242" s="241" t="n">
        <v>5.42</v>
      </c>
      <c r="O242" s="238" t="n">
        <f aca="false">'INPUT DEBT'!$M242-'INPUT DEBT'!$N242</f>
        <v>4.76</v>
      </c>
      <c r="P242" s="239" t="str">
        <f aca="false">IF(N242=0, "NOT DELIVERED", IF(O242=0, "CLEARED", "PARTIALLY DELIVERED"))</f>
        <v>PARTIALLY DELIVERED</v>
      </c>
    </row>
    <row r="243" customFormat="false" ht="14.25" hidden="false" customHeight="true" outlineLevel="0" collapsed="false">
      <c r="A243" s="242" t="n">
        <v>238</v>
      </c>
      <c r="B243" s="243" t="s">
        <v>174</v>
      </c>
      <c r="C243" s="243" t="s">
        <v>2717</v>
      </c>
      <c r="D243" s="243" t="s">
        <v>2718</v>
      </c>
      <c r="E243" s="243" t="s">
        <v>2719</v>
      </c>
      <c r="F243" s="243" t="s">
        <v>1808</v>
      </c>
      <c r="G243" s="243" t="n">
        <v>40</v>
      </c>
      <c r="H243" s="244" t="n">
        <v>11189</v>
      </c>
      <c r="I243" s="243" t="s">
        <v>176</v>
      </c>
      <c r="J243" s="244" t="n">
        <v>11189</v>
      </c>
      <c r="K243" s="243" t="s">
        <v>25</v>
      </c>
      <c r="L243" s="244" t="n">
        <v>11189</v>
      </c>
      <c r="M243" s="243" t="n">
        <v>32.91</v>
      </c>
      <c r="N243" s="246" t="n">
        <v>0</v>
      </c>
      <c r="O243" s="238" t="n">
        <f aca="false">'INPUT DEBT'!$M243-'INPUT DEBT'!$N243</f>
        <v>32.91</v>
      </c>
      <c r="P243" s="239" t="str">
        <f aca="false">IF(N243=0, "NOT DELIVERED", IF(O243=0, "CLEARED", "PARTIALLY DELIVERED"))</f>
        <v>NOT DELIVERED</v>
      </c>
    </row>
    <row r="244" customFormat="false" ht="14.25" hidden="false" customHeight="true" outlineLevel="0" collapsed="false">
      <c r="A244" s="237" t="n">
        <v>239</v>
      </c>
      <c r="B244" s="238" t="s">
        <v>174</v>
      </c>
      <c r="C244" s="238" t="s">
        <v>2720</v>
      </c>
      <c r="D244" s="238" t="s">
        <v>2721</v>
      </c>
      <c r="E244" s="238" t="s">
        <v>2722</v>
      </c>
      <c r="F244" s="238" t="s">
        <v>1808</v>
      </c>
      <c r="G244" s="238" t="n">
        <v>30</v>
      </c>
      <c r="H244" s="240" t="n">
        <v>14049</v>
      </c>
      <c r="I244" s="240" t="n">
        <v>15093</v>
      </c>
      <c r="J244" s="240" t="n">
        <v>-1044</v>
      </c>
      <c r="K244" s="238" t="s">
        <v>25</v>
      </c>
      <c r="L244" s="240" t="n">
        <v>-1044</v>
      </c>
      <c r="M244" s="238" t="n">
        <v>41.32</v>
      </c>
      <c r="N244" s="241" t="n">
        <v>41.38</v>
      </c>
      <c r="O244" s="238" t="n">
        <f aca="false">'INPUT DEBT'!$M244-'INPUT DEBT'!$N244</f>
        <v>-0.0600000000000023</v>
      </c>
      <c r="P244" s="239" t="s">
        <v>2117</v>
      </c>
    </row>
    <row r="245" customFormat="false" ht="14.25" hidden="false" customHeight="true" outlineLevel="0" collapsed="false">
      <c r="A245" s="242" t="n">
        <v>240</v>
      </c>
      <c r="B245" s="243" t="s">
        <v>174</v>
      </c>
      <c r="C245" s="243" t="s">
        <v>2723</v>
      </c>
      <c r="D245" s="243" t="s">
        <v>2724</v>
      </c>
      <c r="E245" s="243" t="s">
        <v>2725</v>
      </c>
      <c r="F245" s="243" t="s">
        <v>1808</v>
      </c>
      <c r="G245" s="243" t="n">
        <v>50</v>
      </c>
      <c r="H245" s="244" t="n">
        <v>12155</v>
      </c>
      <c r="I245" s="244" t="n">
        <v>6325</v>
      </c>
      <c r="J245" s="244" t="n">
        <v>5831</v>
      </c>
      <c r="K245" s="243" t="s">
        <v>25</v>
      </c>
      <c r="L245" s="244" t="n">
        <v>5831</v>
      </c>
      <c r="M245" s="243" t="n">
        <v>35.75</v>
      </c>
      <c r="N245" s="246" t="n">
        <v>17.34</v>
      </c>
      <c r="O245" s="238" t="n">
        <f aca="false">'INPUT DEBT'!$M245-'INPUT DEBT'!$N245</f>
        <v>18.41</v>
      </c>
      <c r="P245" s="239" t="str">
        <f aca="false">IF(N245=0, "NOT DELIVERED", IF(O245=0, "CLEARED", "PARTIALLY DELIVERED"))</f>
        <v>PARTIALLY DELIVERED</v>
      </c>
    </row>
    <row r="246" customFormat="false" ht="14.25" hidden="false" customHeight="true" outlineLevel="0" collapsed="false">
      <c r="A246" s="237" t="n">
        <v>241</v>
      </c>
      <c r="B246" s="238" t="s">
        <v>174</v>
      </c>
      <c r="C246" s="238" t="s">
        <v>2726</v>
      </c>
      <c r="D246" s="238" t="s">
        <v>2727</v>
      </c>
      <c r="E246" s="238" t="s">
        <v>2728</v>
      </c>
      <c r="F246" s="238" t="s">
        <v>1808</v>
      </c>
      <c r="G246" s="238" t="n">
        <v>40</v>
      </c>
      <c r="H246" s="240" t="n">
        <v>9890</v>
      </c>
      <c r="I246" s="238" t="s">
        <v>176</v>
      </c>
      <c r="J246" s="240" t="n">
        <v>9890</v>
      </c>
      <c r="K246" s="238" t="s">
        <v>25</v>
      </c>
      <c r="L246" s="240" t="n">
        <v>9890</v>
      </c>
      <c r="M246" s="238" t="n">
        <v>29.09</v>
      </c>
      <c r="N246" s="241" t="n">
        <v>0</v>
      </c>
      <c r="O246" s="238" t="n">
        <f aca="false">'INPUT DEBT'!$M246-'INPUT DEBT'!$N246</f>
        <v>29.09</v>
      </c>
      <c r="P246" s="239" t="str">
        <f aca="false">IF(N246=0, "NOT DELIVERED", IF(O246=0, "CLEARED", "PARTIALLY DELIVERED"))</f>
        <v>NOT DELIVERED</v>
      </c>
    </row>
    <row r="247" customFormat="false" ht="14.25" hidden="false" customHeight="true" outlineLevel="0" collapsed="false">
      <c r="A247" s="242" t="n">
        <v>242</v>
      </c>
      <c r="B247" s="243" t="s">
        <v>174</v>
      </c>
      <c r="C247" s="243" t="s">
        <v>2276</v>
      </c>
      <c r="D247" s="243" t="s">
        <v>2729</v>
      </c>
      <c r="E247" s="243" t="s">
        <v>2730</v>
      </c>
      <c r="F247" s="243" t="s">
        <v>1808</v>
      </c>
      <c r="G247" s="243" t="n">
        <v>40</v>
      </c>
      <c r="H247" s="244" t="n">
        <v>6362</v>
      </c>
      <c r="I247" s="243" t="s">
        <v>176</v>
      </c>
      <c r="J247" s="244" t="n">
        <v>6362</v>
      </c>
      <c r="K247" s="243" t="s">
        <v>25</v>
      </c>
      <c r="L247" s="244" t="n">
        <v>6362</v>
      </c>
      <c r="M247" s="243" t="n">
        <v>18.71</v>
      </c>
      <c r="N247" s="246" t="n">
        <v>0</v>
      </c>
      <c r="O247" s="238" t="n">
        <f aca="false">'INPUT DEBT'!$M247-'INPUT DEBT'!$N247</f>
        <v>18.71</v>
      </c>
      <c r="P247" s="239" t="str">
        <f aca="false">IF(N247=0, "NOT DELIVERED", IF(O247=0, "CLEARED", "PARTIALLY DELIVERED"))</f>
        <v>NOT DELIVERED</v>
      </c>
    </row>
    <row r="248" customFormat="false" ht="14.25" hidden="false" customHeight="true" outlineLevel="0" collapsed="false">
      <c r="A248" s="237" t="n">
        <v>243</v>
      </c>
      <c r="B248" s="238" t="s">
        <v>174</v>
      </c>
      <c r="C248" s="238" t="s">
        <v>2553</v>
      </c>
      <c r="D248" s="238" t="s">
        <v>2731</v>
      </c>
      <c r="E248" s="238" t="s">
        <v>2732</v>
      </c>
      <c r="F248" s="238" t="s">
        <v>1808</v>
      </c>
      <c r="G248" s="238" t="n">
        <v>20</v>
      </c>
      <c r="H248" s="240" t="n">
        <v>4529</v>
      </c>
      <c r="I248" s="240" t="n">
        <v>2721</v>
      </c>
      <c r="J248" s="240" t="n">
        <v>1808</v>
      </c>
      <c r="K248" s="238" t="s">
        <v>25</v>
      </c>
      <c r="L248" s="240" t="n">
        <v>1808</v>
      </c>
      <c r="M248" s="238" t="n">
        <v>13.32</v>
      </c>
      <c r="N248" s="241" t="n">
        <v>7.46</v>
      </c>
      <c r="O248" s="238" t="n">
        <f aca="false">'INPUT DEBT'!$M248-'INPUT DEBT'!$N248</f>
        <v>5.86</v>
      </c>
      <c r="P248" s="239" t="str">
        <f aca="false">IF(N248=0, "NOT DELIVERED", IF(O248=0, "CLEARED", "PARTIALLY DELIVERED"))</f>
        <v>PARTIALLY DELIVERED</v>
      </c>
    </row>
    <row r="249" customFormat="false" ht="14.25" hidden="false" customHeight="true" outlineLevel="0" collapsed="false">
      <c r="A249" s="242" t="n">
        <v>244</v>
      </c>
      <c r="B249" s="243" t="s">
        <v>1488</v>
      </c>
      <c r="C249" s="243" t="s">
        <v>2733</v>
      </c>
      <c r="D249" s="243" t="s">
        <v>2734</v>
      </c>
      <c r="E249" s="243" t="s">
        <v>2735</v>
      </c>
      <c r="F249" s="243" t="s">
        <v>1808</v>
      </c>
      <c r="G249" s="243" t="n">
        <v>100</v>
      </c>
      <c r="H249" s="244" t="n">
        <v>12235</v>
      </c>
      <c r="I249" s="243" t="s">
        <v>176</v>
      </c>
      <c r="J249" s="244" t="n">
        <v>12235</v>
      </c>
      <c r="K249" s="243" t="s">
        <v>25</v>
      </c>
      <c r="L249" s="244" t="n">
        <v>12235</v>
      </c>
      <c r="M249" s="243" t="n">
        <v>35.99</v>
      </c>
      <c r="N249" s="246" t="n">
        <v>0</v>
      </c>
      <c r="O249" s="238" t="n">
        <f aca="false">'INPUT DEBT'!$M249-'INPUT DEBT'!$N249</f>
        <v>35.99</v>
      </c>
      <c r="P249" s="239" t="str">
        <f aca="false">IF(N249=0, "NOT DELIVERED", IF(O249=0, "CLEARED", "PARTIALLY DELIVERED"))</f>
        <v>NOT DELIVERED</v>
      </c>
    </row>
    <row r="250" customFormat="false" ht="14.25" hidden="false" customHeight="true" outlineLevel="0" collapsed="false">
      <c r="A250" s="237" t="n">
        <v>245</v>
      </c>
      <c r="B250" s="238" t="s">
        <v>174</v>
      </c>
      <c r="C250" s="238" t="s">
        <v>2736</v>
      </c>
      <c r="D250" s="238" t="s">
        <v>2737</v>
      </c>
      <c r="E250" s="238" t="s">
        <v>2738</v>
      </c>
      <c r="F250" s="238" t="s">
        <v>1808</v>
      </c>
      <c r="G250" s="238" t="n">
        <v>10</v>
      </c>
      <c r="H250" s="240" t="n">
        <v>3307</v>
      </c>
      <c r="I250" s="238" t="s">
        <v>176</v>
      </c>
      <c r="J250" s="240" t="n">
        <v>3307</v>
      </c>
      <c r="K250" s="238" t="s">
        <v>25</v>
      </c>
      <c r="L250" s="240" t="n">
        <v>3307</v>
      </c>
      <c r="M250" s="238" t="n">
        <v>9.73</v>
      </c>
      <c r="N250" s="241" t="n">
        <v>0</v>
      </c>
      <c r="O250" s="238" t="n">
        <f aca="false">'INPUT DEBT'!$M250-'INPUT DEBT'!$N250</f>
        <v>9.73</v>
      </c>
      <c r="P250" s="239" t="str">
        <f aca="false">IF(N250=0, "NOT DELIVERED", IF(O250=0, "CLEARED", "PARTIALLY DELIVERED"))</f>
        <v>NOT DELIVERED</v>
      </c>
    </row>
    <row r="251" customFormat="false" ht="14.25" hidden="false" customHeight="true" outlineLevel="0" collapsed="false">
      <c r="A251" s="242" t="n">
        <v>246</v>
      </c>
      <c r="B251" s="243" t="s">
        <v>174</v>
      </c>
      <c r="C251" s="243" t="s">
        <v>2739</v>
      </c>
      <c r="D251" s="243" t="s">
        <v>2740</v>
      </c>
      <c r="E251" s="243" t="s">
        <v>2741</v>
      </c>
      <c r="F251" s="243" t="s">
        <v>1808</v>
      </c>
      <c r="G251" s="243" t="n">
        <v>20</v>
      </c>
      <c r="H251" s="244" t="n">
        <v>5039</v>
      </c>
      <c r="I251" s="243" t="s">
        <v>176</v>
      </c>
      <c r="J251" s="244" t="n">
        <v>5039</v>
      </c>
      <c r="K251" s="243" t="s">
        <v>25</v>
      </c>
      <c r="L251" s="244" t="n">
        <v>5039</v>
      </c>
      <c r="M251" s="243" t="n">
        <v>14.82</v>
      </c>
      <c r="N251" s="246" t="n">
        <v>0</v>
      </c>
      <c r="O251" s="238" t="n">
        <f aca="false">'INPUT DEBT'!$M251-'INPUT DEBT'!$N251</f>
        <v>14.82</v>
      </c>
      <c r="P251" s="239" t="str">
        <f aca="false">IF(N251=0, "NOT DELIVERED", IF(O251=0, "CLEARED", "PARTIALLY DELIVERED"))</f>
        <v>NOT DELIVERED</v>
      </c>
    </row>
    <row r="252" customFormat="false" ht="14.25" hidden="false" customHeight="true" outlineLevel="0" collapsed="false">
      <c r="A252" s="237" t="n">
        <v>247</v>
      </c>
      <c r="B252" s="238" t="s">
        <v>193</v>
      </c>
      <c r="C252" s="238" t="s">
        <v>2742</v>
      </c>
      <c r="D252" s="238" t="s">
        <v>2743</v>
      </c>
      <c r="E252" s="238" t="s">
        <v>2744</v>
      </c>
      <c r="F252" s="238" t="s">
        <v>1808</v>
      </c>
      <c r="G252" s="238" t="n">
        <v>40</v>
      </c>
      <c r="H252" s="240" t="n">
        <v>11486</v>
      </c>
      <c r="I252" s="238" t="s">
        <v>176</v>
      </c>
      <c r="J252" s="240" t="n">
        <v>11486</v>
      </c>
      <c r="K252" s="238" t="s">
        <v>25</v>
      </c>
      <c r="L252" s="240" t="n">
        <v>11486</v>
      </c>
      <c r="M252" s="238" t="n">
        <v>33.78</v>
      </c>
      <c r="N252" s="241" t="n">
        <v>0</v>
      </c>
      <c r="O252" s="238" t="n">
        <f aca="false">'INPUT DEBT'!$M252-'INPUT DEBT'!$N252</f>
        <v>33.78</v>
      </c>
      <c r="P252" s="239" t="str">
        <f aca="false">IF(N252=0, "NOT DELIVERED", IF(O252=0, "CLEARED", "PARTIALLY DELIVERED"))</f>
        <v>NOT DELIVERED</v>
      </c>
    </row>
    <row r="253" customFormat="false" ht="14.25" hidden="false" customHeight="true" outlineLevel="0" collapsed="false">
      <c r="A253" s="242" t="n">
        <v>248</v>
      </c>
      <c r="B253" s="243" t="s">
        <v>367</v>
      </c>
      <c r="C253" s="243" t="s">
        <v>2745</v>
      </c>
      <c r="D253" s="243" t="s">
        <v>2746</v>
      </c>
      <c r="E253" s="243" t="s">
        <v>2747</v>
      </c>
      <c r="F253" s="243" t="s">
        <v>1808</v>
      </c>
      <c r="G253" s="243" t="n">
        <v>400</v>
      </c>
      <c r="H253" s="244" t="n">
        <v>173036</v>
      </c>
      <c r="I253" s="244" t="n">
        <v>181872</v>
      </c>
      <c r="J253" s="244" t="n">
        <v>-8836</v>
      </c>
      <c r="K253" s="243" t="s">
        <v>25</v>
      </c>
      <c r="L253" s="244" t="n">
        <v>-8836</v>
      </c>
      <c r="M253" s="243" t="n">
        <v>508.93</v>
      </c>
      <c r="N253" s="246" t="n">
        <v>498.62</v>
      </c>
      <c r="O253" s="238" t="n">
        <f aca="false">'INPUT DEBT'!$M253-'INPUT DEBT'!$N253</f>
        <v>10.31</v>
      </c>
      <c r="P253" s="239" t="str">
        <f aca="false">IF(N253=0, "NOT DELIVERED", IF(O253=0, "CLEARED", "PARTIALLY DELIVERED"))</f>
        <v>PARTIALLY DELIVERED</v>
      </c>
    </row>
    <row r="254" customFormat="false" ht="14.25" hidden="false" customHeight="true" outlineLevel="0" collapsed="false">
      <c r="A254" s="237" t="n">
        <v>249</v>
      </c>
      <c r="B254" s="238" t="s">
        <v>367</v>
      </c>
      <c r="C254" s="238" t="s">
        <v>2748</v>
      </c>
      <c r="D254" s="238" t="s">
        <v>2749</v>
      </c>
      <c r="E254" s="238" t="s">
        <v>2750</v>
      </c>
      <c r="F254" s="238" t="s">
        <v>1808</v>
      </c>
      <c r="G254" s="238" t="n">
        <v>50</v>
      </c>
      <c r="H254" s="240" t="n">
        <v>11922</v>
      </c>
      <c r="I254" s="240" t="n">
        <v>7164</v>
      </c>
      <c r="J254" s="240" t="n">
        <v>4759</v>
      </c>
      <c r="K254" s="238" t="s">
        <v>25</v>
      </c>
      <c r="L254" s="240" t="n">
        <v>4759</v>
      </c>
      <c r="M254" s="238" t="n">
        <v>35.07</v>
      </c>
      <c r="N254" s="241" t="n">
        <v>35.1</v>
      </c>
      <c r="O254" s="238" t="n">
        <f aca="false">'INPUT DEBT'!$M254-'INPUT DEBT'!$N254</f>
        <v>-0.0300000000000011</v>
      </c>
      <c r="P254" s="239" t="s">
        <v>2117</v>
      </c>
    </row>
    <row r="255" customFormat="false" ht="14.25" hidden="false" customHeight="true" outlineLevel="0" collapsed="false">
      <c r="A255" s="242" t="n">
        <v>250</v>
      </c>
      <c r="B255" s="243" t="s">
        <v>367</v>
      </c>
      <c r="C255" s="18" t="s">
        <v>170</v>
      </c>
      <c r="D255" s="243" t="s">
        <v>1646</v>
      </c>
      <c r="E255" s="243" t="s">
        <v>2751</v>
      </c>
      <c r="F255" s="243" t="s">
        <v>1808</v>
      </c>
      <c r="G255" s="243" t="n">
        <v>40</v>
      </c>
      <c r="H255" s="243" t="s">
        <v>2116</v>
      </c>
      <c r="I255" s="243" t="s">
        <v>176</v>
      </c>
      <c r="J255" s="243" t="s">
        <v>176</v>
      </c>
      <c r="K255" s="243" t="s">
        <v>25</v>
      </c>
      <c r="L255" s="243" t="s">
        <v>176</v>
      </c>
      <c r="M255" s="243" t="n">
        <v>0</v>
      </c>
      <c r="N255" s="246" t="n">
        <v>0</v>
      </c>
      <c r="O255" s="238" t="n">
        <f aca="false">'INPUT DEBT'!$M255-'INPUT DEBT'!$N255</f>
        <v>0</v>
      </c>
      <c r="P255" s="239" t="s">
        <v>2117</v>
      </c>
    </row>
    <row r="256" customFormat="false" ht="14.25" hidden="false" customHeight="true" outlineLevel="0" collapsed="false">
      <c r="A256" s="237" t="n">
        <v>251</v>
      </c>
      <c r="B256" s="238" t="s">
        <v>174</v>
      </c>
      <c r="C256" s="238" t="s">
        <v>2752</v>
      </c>
      <c r="D256" s="238" t="s">
        <v>2753</v>
      </c>
      <c r="E256" s="238" t="s">
        <v>2754</v>
      </c>
      <c r="F256" s="238" t="s">
        <v>1808</v>
      </c>
      <c r="G256" s="238" t="n">
        <v>80</v>
      </c>
      <c r="H256" s="240" t="n">
        <v>11668</v>
      </c>
      <c r="I256" s="238" t="s">
        <v>176</v>
      </c>
      <c r="J256" s="240" t="n">
        <v>11668</v>
      </c>
      <c r="K256" s="238" t="s">
        <v>25</v>
      </c>
      <c r="L256" s="240" t="n">
        <v>11668</v>
      </c>
      <c r="M256" s="238" t="n">
        <v>34.32</v>
      </c>
      <c r="N256" s="241" t="n">
        <v>0</v>
      </c>
      <c r="O256" s="238" t="n">
        <f aca="false">'INPUT DEBT'!$M256-'INPUT DEBT'!$N256</f>
        <v>34.32</v>
      </c>
      <c r="P256" s="239" t="str">
        <f aca="false">IF(N256=0, "NOT DELIVERED", IF(O256=0, "CLEARED", "PARTIALLY DELIVERED"))</f>
        <v>NOT DELIVERED</v>
      </c>
    </row>
    <row r="257" customFormat="false" ht="14.25" hidden="false" customHeight="true" outlineLevel="0" collapsed="false">
      <c r="A257" s="242" t="n">
        <v>252</v>
      </c>
      <c r="B257" s="243" t="s">
        <v>174</v>
      </c>
      <c r="C257" s="243" t="s">
        <v>2755</v>
      </c>
      <c r="D257" s="243" t="s">
        <v>2755</v>
      </c>
      <c r="E257" s="243" t="s">
        <v>2756</v>
      </c>
      <c r="F257" s="243" t="s">
        <v>1808</v>
      </c>
      <c r="G257" s="243" t="n">
        <v>145</v>
      </c>
      <c r="H257" s="244" t="n">
        <v>17555</v>
      </c>
      <c r="I257" s="243" t="s">
        <v>176</v>
      </c>
      <c r="J257" s="244" t="n">
        <v>17555</v>
      </c>
      <c r="K257" s="243" t="s">
        <v>25</v>
      </c>
      <c r="L257" s="244" t="n">
        <v>17555</v>
      </c>
      <c r="M257" s="243" t="n">
        <v>51.63</v>
      </c>
      <c r="N257" s="246" t="n">
        <v>0</v>
      </c>
      <c r="O257" s="238" t="n">
        <f aca="false">'INPUT DEBT'!$M257-'INPUT DEBT'!$N257</f>
        <v>51.63</v>
      </c>
      <c r="P257" s="239" t="str">
        <f aca="false">IF(N257=0, "NOT DELIVERED", IF(O257=0, "CLEARED", "PARTIALLY DELIVERED"))</f>
        <v>NOT DELIVERED</v>
      </c>
    </row>
    <row r="258" customFormat="false" ht="14.25" hidden="false" customHeight="true" outlineLevel="0" collapsed="false">
      <c r="A258" s="237" t="n">
        <v>253</v>
      </c>
      <c r="B258" s="238" t="s">
        <v>174</v>
      </c>
      <c r="C258" s="238" t="s">
        <v>2757</v>
      </c>
      <c r="D258" s="238" t="s">
        <v>1647</v>
      </c>
      <c r="E258" s="238" t="s">
        <v>2758</v>
      </c>
      <c r="F258" s="238" t="s">
        <v>1808</v>
      </c>
      <c r="G258" s="238" t="n">
        <v>35</v>
      </c>
      <c r="H258" s="238" t="s">
        <v>2116</v>
      </c>
      <c r="I258" s="238" t="s">
        <v>176</v>
      </c>
      <c r="J258" s="238" t="s">
        <v>176</v>
      </c>
      <c r="K258" s="238" t="s">
        <v>25</v>
      </c>
      <c r="L258" s="238" t="s">
        <v>176</v>
      </c>
      <c r="M258" s="238" t="n">
        <v>0</v>
      </c>
      <c r="N258" s="241" t="n">
        <v>0</v>
      </c>
      <c r="O258" s="238" t="n">
        <f aca="false">'INPUT DEBT'!$M258-'INPUT DEBT'!$N258</f>
        <v>0</v>
      </c>
      <c r="P258" s="239" t="s">
        <v>2117</v>
      </c>
    </row>
    <row r="259" customFormat="false" ht="14.25" hidden="false" customHeight="true" outlineLevel="0" collapsed="false">
      <c r="A259" s="242" t="n">
        <v>254</v>
      </c>
      <c r="B259" s="243" t="s">
        <v>367</v>
      </c>
      <c r="C259" s="243" t="s">
        <v>2759</v>
      </c>
      <c r="D259" s="243" t="s">
        <v>2760</v>
      </c>
      <c r="E259" s="243" t="s">
        <v>2761</v>
      </c>
      <c r="F259" s="243" t="s">
        <v>1808</v>
      </c>
      <c r="G259" s="243" t="n">
        <v>30</v>
      </c>
      <c r="H259" s="244" t="n">
        <v>11654</v>
      </c>
      <c r="I259" s="243" t="s">
        <v>176</v>
      </c>
      <c r="J259" s="244" t="n">
        <v>11654</v>
      </c>
      <c r="K259" s="243" t="s">
        <v>25</v>
      </c>
      <c r="L259" s="244" t="n">
        <v>11654</v>
      </c>
      <c r="M259" s="243" t="n">
        <v>34.28</v>
      </c>
      <c r="N259" s="246" t="n">
        <v>0</v>
      </c>
      <c r="O259" s="238" t="n">
        <f aca="false">'INPUT DEBT'!$M259-'INPUT DEBT'!$N259</f>
        <v>34.28</v>
      </c>
      <c r="P259" s="239" t="str">
        <f aca="false">IF(N259=0, "NOT DELIVERED", IF(O259=0, "CLEARED", "PARTIALLY DELIVERED"))</f>
        <v>NOT DELIVERED</v>
      </c>
    </row>
    <row r="260" customFormat="false" ht="14.25" hidden="false" customHeight="true" outlineLevel="0" collapsed="false">
      <c r="A260" s="237" t="n">
        <v>255</v>
      </c>
      <c r="B260" s="238" t="s">
        <v>367</v>
      </c>
      <c r="C260" s="238" t="s">
        <v>2762</v>
      </c>
      <c r="D260" s="238" t="s">
        <v>2763</v>
      </c>
      <c r="E260" s="238" t="s">
        <v>2764</v>
      </c>
      <c r="F260" s="238" t="s">
        <v>1808</v>
      </c>
      <c r="G260" s="238" t="n">
        <v>10</v>
      </c>
      <c r="H260" s="240" t="n">
        <v>1278</v>
      </c>
      <c r="I260" s="238" t="s">
        <v>176</v>
      </c>
      <c r="J260" s="240" t="n">
        <v>1278</v>
      </c>
      <c r="K260" s="238" t="s">
        <v>25</v>
      </c>
      <c r="L260" s="240" t="n">
        <v>1278</v>
      </c>
      <c r="M260" s="238" t="n">
        <v>3.76</v>
      </c>
      <c r="N260" s="241" t="n">
        <v>0</v>
      </c>
      <c r="O260" s="238" t="n">
        <f aca="false">'INPUT DEBT'!$M260-'INPUT DEBT'!$N260</f>
        <v>3.76</v>
      </c>
      <c r="P260" s="239" t="str">
        <f aca="false">IF(N260=0, "NOT DELIVERED", IF(O260=0, "CLEARED", "PARTIALLY DELIVERED"))</f>
        <v>NOT DELIVERED</v>
      </c>
    </row>
    <row r="261" customFormat="false" ht="14.25" hidden="false" customHeight="true" outlineLevel="0" collapsed="false">
      <c r="A261" s="242" t="n">
        <v>256</v>
      </c>
      <c r="B261" s="243" t="s">
        <v>174</v>
      </c>
      <c r="C261" s="243" t="s">
        <v>2765</v>
      </c>
      <c r="D261" s="243" t="s">
        <v>1715</v>
      </c>
      <c r="E261" s="243" t="s">
        <v>2766</v>
      </c>
      <c r="F261" s="243" t="s">
        <v>1808</v>
      </c>
      <c r="G261" s="243" t="n">
        <v>60</v>
      </c>
      <c r="H261" s="244" t="n">
        <v>18090</v>
      </c>
      <c r="I261" s="243" t="s">
        <v>176</v>
      </c>
      <c r="J261" s="244" t="n">
        <v>18090</v>
      </c>
      <c r="K261" s="243" t="s">
        <v>25</v>
      </c>
      <c r="L261" s="244" t="n">
        <v>18090</v>
      </c>
      <c r="M261" s="243" t="n">
        <v>53.21</v>
      </c>
      <c r="N261" s="246" t="n">
        <v>3.04</v>
      </c>
      <c r="O261" s="238" t="n">
        <f aca="false">'INPUT DEBT'!$M261-'INPUT DEBT'!$N261</f>
        <v>50.17</v>
      </c>
      <c r="P261" s="239" t="str">
        <f aca="false">IF(N261=0, "NOT DELIVERED", IF(O261=0, "CLEARED", "PARTIALLY DELIVERED"))</f>
        <v>PARTIALLY DELIVERED</v>
      </c>
    </row>
    <row r="262" customFormat="false" ht="14.25" hidden="false" customHeight="true" outlineLevel="0" collapsed="false">
      <c r="A262" s="237" t="n">
        <v>257</v>
      </c>
      <c r="B262" s="238" t="s">
        <v>174</v>
      </c>
      <c r="C262" s="238" t="s">
        <v>2767</v>
      </c>
      <c r="D262" s="238" t="s">
        <v>2768</v>
      </c>
      <c r="E262" s="238" t="s">
        <v>2769</v>
      </c>
      <c r="F262" s="238" t="s">
        <v>1808</v>
      </c>
      <c r="G262" s="238" t="n">
        <v>20</v>
      </c>
      <c r="H262" s="240" t="n">
        <v>9237</v>
      </c>
      <c r="I262" s="240" t="n">
        <v>1795</v>
      </c>
      <c r="J262" s="240" t="n">
        <v>7442</v>
      </c>
      <c r="K262" s="253" t="n">
        <f aca="false">'INPUT DEBT'!$J262-1277.64</f>
        <v>6164.36</v>
      </c>
      <c r="L262" s="240" t="n">
        <v>7442</v>
      </c>
      <c r="M262" s="238" t="n">
        <v>27.17</v>
      </c>
      <c r="N262" s="241" t="n">
        <v>4.92</v>
      </c>
      <c r="O262" s="238" t="n">
        <f aca="false">'INPUT DEBT'!$M262-'INPUT DEBT'!$N262</f>
        <v>22.25</v>
      </c>
      <c r="P262" s="239" t="str">
        <f aca="false">IF(N262=0, "NOT DELIVERED", IF(O262=0, "CLEARED", "PARTIALLY DELIVERED"))</f>
        <v>PARTIALLY DELIVERED</v>
      </c>
    </row>
    <row r="263" customFormat="false" ht="14.25" hidden="false" customHeight="true" outlineLevel="0" collapsed="false">
      <c r="A263" s="242" t="n">
        <v>258</v>
      </c>
      <c r="B263" s="243" t="s">
        <v>174</v>
      </c>
      <c r="C263" s="243" t="s">
        <v>2770</v>
      </c>
      <c r="D263" s="243" t="s">
        <v>2771</v>
      </c>
      <c r="E263" s="243" t="s">
        <v>2772</v>
      </c>
      <c r="F263" s="243" t="s">
        <v>1808</v>
      </c>
      <c r="G263" s="243" t="n">
        <v>10</v>
      </c>
      <c r="H263" s="244" t="n">
        <v>4842</v>
      </c>
      <c r="I263" s="243" t="s">
        <v>176</v>
      </c>
      <c r="J263" s="244" t="n">
        <v>4842</v>
      </c>
      <c r="K263" s="243" t="s">
        <v>25</v>
      </c>
      <c r="L263" s="244" t="n">
        <v>4842</v>
      </c>
      <c r="M263" s="243" t="n">
        <v>14.24</v>
      </c>
      <c r="N263" s="246" t="n">
        <v>0</v>
      </c>
      <c r="O263" s="238" t="n">
        <f aca="false">'INPUT DEBT'!$M263-'INPUT DEBT'!$N263</f>
        <v>14.24</v>
      </c>
      <c r="P263" s="239" t="str">
        <f aca="false">IF(N263=0, "NOT DELIVERED", IF(O263=0, "CLEARED", "PARTIALLY DELIVERED"))</f>
        <v>NOT DELIVERED</v>
      </c>
    </row>
    <row r="264" customFormat="false" ht="14.25" hidden="false" customHeight="true" outlineLevel="0" collapsed="false">
      <c r="A264" s="237" t="n">
        <v>259</v>
      </c>
      <c r="B264" s="238" t="s">
        <v>193</v>
      </c>
      <c r="C264" s="238" t="s">
        <v>2773</v>
      </c>
      <c r="D264" s="238" t="s">
        <v>1648</v>
      </c>
      <c r="E264" s="238" t="s">
        <v>2774</v>
      </c>
      <c r="F264" s="238" t="s">
        <v>1808</v>
      </c>
      <c r="G264" s="238" t="n">
        <v>15</v>
      </c>
      <c r="H264" s="238" t="s">
        <v>2116</v>
      </c>
      <c r="I264" s="238" t="s">
        <v>176</v>
      </c>
      <c r="J264" s="238" t="s">
        <v>176</v>
      </c>
      <c r="K264" s="238" t="s">
        <v>25</v>
      </c>
      <c r="L264" s="238" t="s">
        <v>176</v>
      </c>
      <c r="M264" s="238" t="n">
        <v>0</v>
      </c>
      <c r="N264" s="241" t="n">
        <v>0</v>
      </c>
      <c r="O264" s="238" t="n">
        <f aca="false">'INPUT DEBT'!$M264-'INPUT DEBT'!$N264</f>
        <v>0</v>
      </c>
      <c r="P264" s="239" t="s">
        <v>2117</v>
      </c>
    </row>
    <row r="265" customFormat="false" ht="14.25" hidden="false" customHeight="true" outlineLevel="0" collapsed="false">
      <c r="A265" s="242" t="n">
        <v>260</v>
      </c>
      <c r="B265" s="243" t="s">
        <v>174</v>
      </c>
      <c r="C265" s="243" t="s">
        <v>2775</v>
      </c>
      <c r="D265" s="243" t="s">
        <v>2776</v>
      </c>
      <c r="E265" s="243" t="s">
        <v>2777</v>
      </c>
      <c r="F265" s="243" t="s">
        <v>1808</v>
      </c>
      <c r="G265" s="243" t="n">
        <v>40</v>
      </c>
      <c r="H265" s="244" t="n">
        <v>7031</v>
      </c>
      <c r="I265" s="244" t="n">
        <v>8171</v>
      </c>
      <c r="J265" s="244" t="n">
        <v>-1141</v>
      </c>
      <c r="K265" s="243" t="s">
        <v>25</v>
      </c>
      <c r="L265" s="244" t="n">
        <v>-1141</v>
      </c>
      <c r="M265" s="243" t="n">
        <v>20.68</v>
      </c>
      <c r="N265" s="246" t="n">
        <v>22.4</v>
      </c>
      <c r="O265" s="238" t="n">
        <f aca="false">'INPUT DEBT'!$M265-'INPUT DEBT'!$N265</f>
        <v>-1.72</v>
      </c>
      <c r="P265" s="239" t="s">
        <v>2117</v>
      </c>
    </row>
    <row r="266" customFormat="false" ht="14.25" hidden="false" customHeight="true" outlineLevel="0" collapsed="false">
      <c r="A266" s="237" t="n">
        <v>261</v>
      </c>
      <c r="B266" s="238" t="s">
        <v>174</v>
      </c>
      <c r="C266" s="238" t="s">
        <v>2778</v>
      </c>
      <c r="D266" s="238" t="s">
        <v>2779</v>
      </c>
      <c r="E266" s="238" t="s">
        <v>2780</v>
      </c>
      <c r="F266" s="238" t="s">
        <v>1808</v>
      </c>
      <c r="G266" s="238" t="n">
        <v>500</v>
      </c>
      <c r="H266" s="240" t="n">
        <v>119758</v>
      </c>
      <c r="I266" s="240" t="n">
        <v>61643</v>
      </c>
      <c r="J266" s="240" t="n">
        <v>58115</v>
      </c>
      <c r="K266" s="240" t="n">
        <v>86580</v>
      </c>
      <c r="L266" s="240" t="n">
        <v>-28465</v>
      </c>
      <c r="M266" s="238" t="n">
        <v>352.23</v>
      </c>
      <c r="N266" s="241" t="n">
        <v>169</v>
      </c>
      <c r="O266" s="238" t="n">
        <f aca="false">'INPUT DEBT'!$M266-'INPUT DEBT'!$N266</f>
        <v>183.23</v>
      </c>
      <c r="P266" s="239" t="str">
        <f aca="false">IF(N266=0, "NOT DELIVERED", IF(O266=0, "CLEARED", "PARTIALLY DELIVERED"))</f>
        <v>PARTIALLY DELIVERED</v>
      </c>
    </row>
    <row r="267" customFormat="false" ht="14.25" hidden="false" customHeight="true" outlineLevel="0" collapsed="false">
      <c r="A267" s="242" t="n">
        <v>262</v>
      </c>
      <c r="B267" s="243" t="s">
        <v>174</v>
      </c>
      <c r="C267" s="243" t="s">
        <v>2781</v>
      </c>
      <c r="D267" s="243" t="s">
        <v>2782</v>
      </c>
      <c r="E267" s="243" t="s">
        <v>2783</v>
      </c>
      <c r="F267" s="243" t="s">
        <v>1808</v>
      </c>
      <c r="G267" s="243" t="n">
        <v>300</v>
      </c>
      <c r="H267" s="244" t="n">
        <v>68952</v>
      </c>
      <c r="I267" s="244" t="n">
        <v>3523</v>
      </c>
      <c r="J267" s="244" t="n">
        <v>65429</v>
      </c>
      <c r="K267" s="243" t="s">
        <v>25</v>
      </c>
      <c r="L267" s="244" t="n">
        <v>65429</v>
      </c>
      <c r="M267" s="243" t="n">
        <v>202.8</v>
      </c>
      <c r="N267" s="246" t="n">
        <v>16.24</v>
      </c>
      <c r="O267" s="238" t="n">
        <f aca="false">'INPUT DEBT'!$M267-'INPUT DEBT'!$N267</f>
        <v>186.56</v>
      </c>
      <c r="P267" s="239" t="str">
        <f aca="false">IF(N267=0, "NOT DELIVERED", IF(O267=0, "CLEARED", "PARTIALLY DELIVERED"))</f>
        <v>PARTIALLY DELIVERED</v>
      </c>
    </row>
    <row r="268" customFormat="false" ht="14.25" hidden="false" customHeight="true" outlineLevel="0" collapsed="false">
      <c r="A268" s="237" t="n">
        <v>263</v>
      </c>
      <c r="B268" s="238" t="s">
        <v>174</v>
      </c>
      <c r="C268" s="238" t="s">
        <v>2784</v>
      </c>
      <c r="D268" s="238" t="s">
        <v>2785</v>
      </c>
      <c r="E268" s="238" t="s">
        <v>2786</v>
      </c>
      <c r="F268" s="238" t="s">
        <v>1808</v>
      </c>
      <c r="G268" s="238" t="n">
        <v>200</v>
      </c>
      <c r="H268" s="240" t="n">
        <v>56426</v>
      </c>
      <c r="I268" s="238" t="s">
        <v>176</v>
      </c>
      <c r="J268" s="240" t="n">
        <v>56426</v>
      </c>
      <c r="K268" s="238" t="s">
        <v>25</v>
      </c>
      <c r="L268" s="240" t="n">
        <v>56426</v>
      </c>
      <c r="M268" s="238" t="n">
        <v>165.96</v>
      </c>
      <c r="N268" s="241" t="n">
        <v>0</v>
      </c>
      <c r="O268" s="238" t="n">
        <f aca="false">'INPUT DEBT'!$M268-'INPUT DEBT'!$N268</f>
        <v>165.96</v>
      </c>
      <c r="P268" s="239" t="str">
        <f aca="false">IF(N268=0, "NOT DELIVERED", IF(O268=0, "CLEARED", "PARTIALLY DELIVERED"))</f>
        <v>NOT DELIVERED</v>
      </c>
    </row>
    <row r="269" customFormat="false" ht="14.25" hidden="false" customHeight="true" outlineLevel="0" collapsed="false">
      <c r="A269" s="242" t="n">
        <v>264</v>
      </c>
      <c r="B269" s="243" t="s">
        <v>174</v>
      </c>
      <c r="C269" s="243" t="s">
        <v>2787</v>
      </c>
      <c r="D269" s="243" t="s">
        <v>2788</v>
      </c>
      <c r="E269" s="243" t="s">
        <v>2789</v>
      </c>
      <c r="F269" s="243" t="s">
        <v>1808</v>
      </c>
      <c r="G269" s="243" t="n">
        <v>20</v>
      </c>
      <c r="H269" s="244" t="n">
        <v>2086</v>
      </c>
      <c r="I269" s="243" t="s">
        <v>176</v>
      </c>
      <c r="J269" s="244" t="n">
        <v>2086</v>
      </c>
      <c r="K269" s="243" t="s">
        <v>25</v>
      </c>
      <c r="L269" s="244" t="n">
        <v>2086</v>
      </c>
      <c r="M269" s="243" t="n">
        <v>6.14</v>
      </c>
      <c r="N269" s="246" t="n">
        <v>0</v>
      </c>
      <c r="O269" s="238" t="n">
        <f aca="false">'INPUT DEBT'!$M269-'INPUT DEBT'!$N269</f>
        <v>6.14</v>
      </c>
      <c r="P269" s="239" t="str">
        <f aca="false">IF(N269=0, "NOT DELIVERED", IF(O269=0, "CLEARED", "PARTIALLY DELIVERED"))</f>
        <v>NOT DELIVERED</v>
      </c>
    </row>
    <row r="270" customFormat="false" ht="14.25" hidden="false" customHeight="true" outlineLevel="0" collapsed="false">
      <c r="A270" s="237" t="n">
        <v>265</v>
      </c>
      <c r="B270" s="238" t="s">
        <v>174</v>
      </c>
      <c r="C270" s="238" t="s">
        <v>2790</v>
      </c>
      <c r="D270" s="238" t="s">
        <v>2791</v>
      </c>
      <c r="E270" s="238" t="s">
        <v>2792</v>
      </c>
      <c r="F270" s="238" t="s">
        <v>1808</v>
      </c>
      <c r="G270" s="238" t="n">
        <v>50</v>
      </c>
      <c r="H270" s="240" t="n">
        <v>9275</v>
      </c>
      <c r="I270" s="238" t="s">
        <v>176</v>
      </c>
      <c r="J270" s="240" t="n">
        <v>9275</v>
      </c>
      <c r="K270" s="238" t="s">
        <v>25</v>
      </c>
      <c r="L270" s="240" t="n">
        <v>9275</v>
      </c>
      <c r="M270" s="238" t="n">
        <v>27.28</v>
      </c>
      <c r="N270" s="241" t="n">
        <v>0</v>
      </c>
      <c r="O270" s="238" t="n">
        <f aca="false">'INPUT DEBT'!$M270-'INPUT DEBT'!$N270</f>
        <v>27.28</v>
      </c>
      <c r="P270" s="239" t="str">
        <f aca="false">IF(N270=0, "NOT DELIVERED", IF(O270=0, "CLEARED", "PARTIALLY DELIVERED"))</f>
        <v>NOT DELIVERED</v>
      </c>
    </row>
    <row r="271" customFormat="false" ht="14.25" hidden="false" customHeight="true" outlineLevel="0" collapsed="false">
      <c r="A271" s="242" t="n">
        <v>266</v>
      </c>
      <c r="B271" s="243" t="s">
        <v>174</v>
      </c>
      <c r="C271" s="243" t="s">
        <v>2793</v>
      </c>
      <c r="D271" s="243" t="s">
        <v>2794</v>
      </c>
      <c r="E271" s="243" t="s">
        <v>2795</v>
      </c>
      <c r="F271" s="243" t="s">
        <v>1808</v>
      </c>
      <c r="G271" s="243" t="n">
        <v>50</v>
      </c>
      <c r="H271" s="244" t="n">
        <v>10849</v>
      </c>
      <c r="I271" s="243" t="s">
        <v>176</v>
      </c>
      <c r="J271" s="244" t="n">
        <v>10849</v>
      </c>
      <c r="K271" s="243" t="s">
        <v>25</v>
      </c>
      <c r="L271" s="244" t="n">
        <v>10849</v>
      </c>
      <c r="M271" s="243" t="n">
        <v>31.91</v>
      </c>
      <c r="N271" s="246" t="n">
        <v>0</v>
      </c>
      <c r="O271" s="238" t="n">
        <f aca="false">'INPUT DEBT'!$M271-'INPUT DEBT'!$N271</f>
        <v>31.91</v>
      </c>
      <c r="P271" s="239" t="str">
        <f aca="false">IF(N271=0, "NOT DELIVERED", IF(O271=0, "CLEARED", "PARTIALLY DELIVERED"))</f>
        <v>NOT DELIVERED</v>
      </c>
    </row>
    <row r="272" customFormat="false" ht="14.25" hidden="false" customHeight="true" outlineLevel="0" collapsed="false">
      <c r="A272" s="237" t="n">
        <v>267</v>
      </c>
      <c r="B272" s="238" t="s">
        <v>174</v>
      </c>
      <c r="C272" s="238" t="s">
        <v>2796</v>
      </c>
      <c r="D272" s="238" t="s">
        <v>2797</v>
      </c>
      <c r="E272" s="238" t="s">
        <v>2798</v>
      </c>
      <c r="F272" s="238" t="s">
        <v>1808</v>
      </c>
      <c r="G272" s="238" t="n">
        <v>300</v>
      </c>
      <c r="H272" s="240" t="n">
        <v>85123</v>
      </c>
      <c r="I272" s="240" t="n">
        <v>42129</v>
      </c>
      <c r="J272" s="240" t="n">
        <v>42994</v>
      </c>
      <c r="K272" s="240" t="n">
        <v>67200</v>
      </c>
      <c r="L272" s="240" t="n">
        <v>-24205</v>
      </c>
      <c r="M272" s="238" t="n">
        <v>250.36</v>
      </c>
      <c r="N272" s="241" t="n">
        <v>115.5</v>
      </c>
      <c r="O272" s="238" t="n">
        <f aca="false">'INPUT DEBT'!$M272-'INPUT DEBT'!$N272</f>
        <v>134.86</v>
      </c>
      <c r="P272" s="239" t="str">
        <f aca="false">IF(N272=0, "NOT DELIVERED", IF(O272=0, "CLEARED", "PARTIALLY DELIVERED"))</f>
        <v>PARTIALLY DELIVERED</v>
      </c>
    </row>
    <row r="273" customFormat="false" ht="14.25" hidden="false" customHeight="true" outlineLevel="0" collapsed="false">
      <c r="A273" s="242" t="n">
        <v>268</v>
      </c>
      <c r="B273" s="243" t="s">
        <v>174</v>
      </c>
      <c r="C273" s="243" t="s">
        <v>2799</v>
      </c>
      <c r="D273" s="243" t="s">
        <v>2800</v>
      </c>
      <c r="E273" s="243" t="s">
        <v>2801</v>
      </c>
      <c r="F273" s="243" t="s">
        <v>1808</v>
      </c>
      <c r="G273" s="243" t="n">
        <v>60</v>
      </c>
      <c r="H273" s="244" t="n">
        <v>9604</v>
      </c>
      <c r="I273" s="243" t="s">
        <v>176</v>
      </c>
      <c r="J273" s="244" t="n">
        <v>9604</v>
      </c>
      <c r="K273" s="243" t="s">
        <v>25</v>
      </c>
      <c r="L273" s="244" t="n">
        <v>9604</v>
      </c>
      <c r="M273" s="243" t="n">
        <v>28.25</v>
      </c>
      <c r="N273" s="246" t="n">
        <v>0</v>
      </c>
      <c r="O273" s="238" t="n">
        <f aca="false">'INPUT DEBT'!$M273-'INPUT DEBT'!$N273</f>
        <v>28.25</v>
      </c>
      <c r="P273" s="239" t="str">
        <f aca="false">IF(N273=0, "NOT DELIVERED", IF(O273=0, "CLEARED", "PARTIALLY DELIVERED"))</f>
        <v>NOT DELIVERED</v>
      </c>
    </row>
    <row r="274" customFormat="false" ht="14.25" hidden="false" customHeight="true" outlineLevel="0" collapsed="false">
      <c r="A274" s="237" t="n">
        <v>269</v>
      </c>
      <c r="B274" s="238" t="s">
        <v>174</v>
      </c>
      <c r="C274" s="238" t="s">
        <v>2802</v>
      </c>
      <c r="D274" s="238" t="s">
        <v>2803</v>
      </c>
      <c r="E274" s="238" t="s">
        <v>2804</v>
      </c>
      <c r="F274" s="238" t="s">
        <v>1808</v>
      </c>
      <c r="G274" s="238" t="n">
        <v>20</v>
      </c>
      <c r="H274" s="240" t="n">
        <v>2745</v>
      </c>
      <c r="I274" s="238" t="s">
        <v>176</v>
      </c>
      <c r="J274" s="240" t="n">
        <v>2745</v>
      </c>
      <c r="K274" s="238" t="s">
        <v>25</v>
      </c>
      <c r="L274" s="240" t="n">
        <v>2745</v>
      </c>
      <c r="M274" s="238" t="n">
        <v>8.07</v>
      </c>
      <c r="N274" s="241" t="n">
        <v>0</v>
      </c>
      <c r="O274" s="238" t="n">
        <f aca="false">'INPUT DEBT'!$M274-'INPUT DEBT'!$N274</f>
        <v>8.07</v>
      </c>
      <c r="P274" s="239" t="str">
        <f aca="false">IF(N274=0, "NOT DELIVERED", IF(O274=0, "CLEARED", "PARTIALLY DELIVERED"))</f>
        <v>NOT DELIVERED</v>
      </c>
    </row>
    <row r="275" customFormat="false" ht="14.25" hidden="false" customHeight="true" outlineLevel="0" collapsed="false">
      <c r="A275" s="242" t="n">
        <v>270</v>
      </c>
      <c r="B275" s="243" t="s">
        <v>174</v>
      </c>
      <c r="C275" s="243" t="s">
        <v>2805</v>
      </c>
      <c r="D275" s="243" t="s">
        <v>2806</v>
      </c>
      <c r="E275" s="243" t="s">
        <v>2807</v>
      </c>
      <c r="F275" s="243" t="s">
        <v>1808</v>
      </c>
      <c r="G275" s="243" t="n">
        <v>20</v>
      </c>
      <c r="H275" s="244" t="n">
        <v>5820</v>
      </c>
      <c r="I275" s="244" t="n">
        <v>4044</v>
      </c>
      <c r="J275" s="244" t="n">
        <v>1776</v>
      </c>
      <c r="K275" s="243" t="s">
        <v>25</v>
      </c>
      <c r="L275" s="244" t="n">
        <v>1776</v>
      </c>
      <c r="M275" s="243" t="n">
        <v>17.12</v>
      </c>
      <c r="N275" s="246" t="n">
        <v>11.09</v>
      </c>
      <c r="O275" s="238" t="n">
        <f aca="false">'INPUT DEBT'!$M275-'INPUT DEBT'!$N275</f>
        <v>6.03</v>
      </c>
      <c r="P275" s="239" t="str">
        <f aca="false">IF(N275=0, "NOT DELIVERED", IF(O275=0, "CLEARED", "PARTIALLY DELIVERED"))</f>
        <v>PARTIALLY DELIVERED</v>
      </c>
    </row>
    <row r="276" customFormat="false" ht="14.25" hidden="false" customHeight="true" outlineLevel="0" collapsed="false">
      <c r="A276" s="237" t="n">
        <v>271</v>
      </c>
      <c r="B276" s="238" t="s">
        <v>174</v>
      </c>
      <c r="C276" s="238" t="s">
        <v>2808</v>
      </c>
      <c r="D276" s="238" t="s">
        <v>2809</v>
      </c>
      <c r="E276" s="238" t="s">
        <v>2810</v>
      </c>
      <c r="F276" s="238" t="s">
        <v>1808</v>
      </c>
      <c r="G276" s="238" t="n">
        <v>40</v>
      </c>
      <c r="H276" s="240" t="n">
        <v>7314</v>
      </c>
      <c r="I276" s="238" t="s">
        <v>176</v>
      </c>
      <c r="J276" s="240" t="n">
        <v>7314</v>
      </c>
      <c r="K276" s="247" t="n">
        <f aca="false">'INPUT DEBT'!$J276-1822.6</f>
        <v>5491.4</v>
      </c>
      <c r="L276" s="240" t="n">
        <v>7314</v>
      </c>
      <c r="M276" s="238" t="n">
        <v>21.51</v>
      </c>
      <c r="N276" s="241" t="n">
        <v>0</v>
      </c>
      <c r="O276" s="238" t="n">
        <f aca="false">'INPUT DEBT'!$M276-'INPUT DEBT'!$N276</f>
        <v>21.51</v>
      </c>
      <c r="P276" s="239" t="str">
        <f aca="false">IF(N276=0, "NOT DELIVERED", IF(O276=0, "CLEARED", "PARTIALLY DELIVERED"))</f>
        <v>NOT DELIVERED</v>
      </c>
    </row>
    <row r="277" customFormat="false" ht="14.25" hidden="false" customHeight="true" outlineLevel="0" collapsed="false">
      <c r="A277" s="242" t="n">
        <v>272</v>
      </c>
      <c r="B277" s="243" t="s">
        <v>174</v>
      </c>
      <c r="C277" s="243" t="s">
        <v>2811</v>
      </c>
      <c r="D277" s="243" t="s">
        <v>2812</v>
      </c>
      <c r="E277" s="243" t="s">
        <v>2813</v>
      </c>
      <c r="F277" s="243" t="s">
        <v>1808</v>
      </c>
      <c r="G277" s="243" t="n">
        <v>50</v>
      </c>
      <c r="H277" s="244" t="n">
        <v>7398</v>
      </c>
      <c r="I277" s="244" t="n">
        <v>3957</v>
      </c>
      <c r="J277" s="244" t="n">
        <v>3441</v>
      </c>
      <c r="K277" s="243" t="s">
        <v>25</v>
      </c>
      <c r="L277" s="244" t="n">
        <v>3441</v>
      </c>
      <c r="M277" s="243" t="n">
        <v>21.76</v>
      </c>
      <c r="N277" s="246" t="n">
        <v>10.85</v>
      </c>
      <c r="O277" s="238" t="n">
        <f aca="false">'INPUT DEBT'!$M277-'INPUT DEBT'!$N277</f>
        <v>10.91</v>
      </c>
      <c r="P277" s="239" t="str">
        <f aca="false">IF(N277=0, "NOT DELIVERED", IF(O277=0, "CLEARED", "PARTIALLY DELIVERED"))</f>
        <v>PARTIALLY DELIVERED</v>
      </c>
    </row>
    <row r="278" customFormat="false" ht="14.25" hidden="false" customHeight="true" outlineLevel="0" collapsed="false">
      <c r="A278" s="237" t="n">
        <v>273</v>
      </c>
      <c r="B278" s="238" t="s">
        <v>174</v>
      </c>
      <c r="C278" s="238" t="s">
        <v>2814</v>
      </c>
      <c r="D278" s="238" t="s">
        <v>2815</v>
      </c>
      <c r="E278" s="238" t="s">
        <v>2816</v>
      </c>
      <c r="F278" s="238" t="s">
        <v>1808</v>
      </c>
      <c r="G278" s="238" t="n">
        <v>40</v>
      </c>
      <c r="H278" s="240" t="n">
        <v>10851</v>
      </c>
      <c r="I278" s="238" t="s">
        <v>176</v>
      </c>
      <c r="J278" s="240" t="n">
        <v>10851</v>
      </c>
      <c r="K278" s="238" t="s">
        <v>25</v>
      </c>
      <c r="L278" s="240" t="n">
        <v>10851</v>
      </c>
      <c r="M278" s="238" t="n">
        <v>31.91</v>
      </c>
      <c r="N278" s="241" t="n">
        <v>0</v>
      </c>
      <c r="O278" s="238" t="n">
        <f aca="false">'INPUT DEBT'!$M278-'INPUT DEBT'!$N278</f>
        <v>31.91</v>
      </c>
      <c r="P278" s="239" t="str">
        <f aca="false">IF(N278=0, "NOT DELIVERED", IF(O278=0, "CLEARED", "PARTIALLY DELIVERED"))</f>
        <v>NOT DELIVERED</v>
      </c>
    </row>
    <row r="279" customFormat="false" ht="14.25" hidden="false" customHeight="true" outlineLevel="0" collapsed="false">
      <c r="A279" s="242" t="n">
        <v>274</v>
      </c>
      <c r="B279" s="243" t="s">
        <v>174</v>
      </c>
      <c r="C279" s="243" t="s">
        <v>2817</v>
      </c>
      <c r="D279" s="243" t="s">
        <v>2818</v>
      </c>
      <c r="E279" s="243" t="s">
        <v>2819</v>
      </c>
      <c r="F279" s="243" t="s">
        <v>1808</v>
      </c>
      <c r="G279" s="243" t="n">
        <v>40</v>
      </c>
      <c r="H279" s="244" t="n">
        <v>9811</v>
      </c>
      <c r="I279" s="243" t="s">
        <v>176</v>
      </c>
      <c r="J279" s="244" t="n">
        <v>9811</v>
      </c>
      <c r="K279" s="243" t="s">
        <v>25</v>
      </c>
      <c r="L279" s="244" t="n">
        <v>9811</v>
      </c>
      <c r="M279" s="243" t="n">
        <v>28.86</v>
      </c>
      <c r="N279" s="246" t="n">
        <v>0</v>
      </c>
      <c r="O279" s="238" t="n">
        <f aca="false">'INPUT DEBT'!$M279-'INPUT DEBT'!$N279</f>
        <v>28.86</v>
      </c>
      <c r="P279" s="239" t="str">
        <f aca="false">IF(N279=0, "NOT DELIVERED", IF(O279=0, "CLEARED", "PARTIALLY DELIVERED"))</f>
        <v>NOT DELIVERED</v>
      </c>
    </row>
    <row r="280" customFormat="false" ht="14.25" hidden="false" customHeight="true" outlineLevel="0" collapsed="false">
      <c r="A280" s="237" t="n">
        <v>275</v>
      </c>
      <c r="B280" s="238" t="s">
        <v>174</v>
      </c>
      <c r="C280" s="238" t="s">
        <v>2820</v>
      </c>
      <c r="D280" s="238" t="s">
        <v>2821</v>
      </c>
      <c r="E280" s="238" t="s">
        <v>2822</v>
      </c>
      <c r="F280" s="238" t="s">
        <v>1808</v>
      </c>
      <c r="G280" s="238" t="n">
        <v>40</v>
      </c>
      <c r="H280" s="240" t="n">
        <v>5694</v>
      </c>
      <c r="I280" s="238" t="s">
        <v>176</v>
      </c>
      <c r="J280" s="240" t="n">
        <v>5694</v>
      </c>
      <c r="K280" s="238" t="s">
        <v>25</v>
      </c>
      <c r="L280" s="240" t="n">
        <v>5694</v>
      </c>
      <c r="M280" s="238" t="n">
        <v>16.75</v>
      </c>
      <c r="N280" s="241" t="n">
        <v>0</v>
      </c>
      <c r="O280" s="238" t="n">
        <f aca="false">'INPUT DEBT'!$M280-'INPUT DEBT'!$N280</f>
        <v>16.75</v>
      </c>
      <c r="P280" s="239" t="str">
        <f aca="false">IF(N280=0, "NOT DELIVERED", IF(O280=0, "CLEARED", "PARTIALLY DELIVERED"))</f>
        <v>NOT DELIVERED</v>
      </c>
    </row>
    <row r="281" customFormat="false" ht="14.25" hidden="false" customHeight="true" outlineLevel="0" collapsed="false">
      <c r="A281" s="242" t="n">
        <v>276</v>
      </c>
      <c r="B281" s="243" t="s">
        <v>174</v>
      </c>
      <c r="C281" s="243" t="s">
        <v>2823</v>
      </c>
      <c r="D281" s="243" t="s">
        <v>2824</v>
      </c>
      <c r="E281" s="243" t="s">
        <v>2825</v>
      </c>
      <c r="F281" s="243" t="s">
        <v>1808</v>
      </c>
      <c r="G281" s="243" t="n">
        <v>110</v>
      </c>
      <c r="H281" s="244" t="n">
        <v>28605</v>
      </c>
      <c r="I281" s="243" t="s">
        <v>176</v>
      </c>
      <c r="J281" s="244" t="n">
        <v>28605</v>
      </c>
      <c r="K281" s="243" t="s">
        <v>25</v>
      </c>
      <c r="L281" s="244" t="n">
        <v>28605</v>
      </c>
      <c r="M281" s="243" t="n">
        <v>84.13</v>
      </c>
      <c r="N281" s="246" t="n">
        <v>0</v>
      </c>
      <c r="O281" s="238" t="n">
        <f aca="false">'INPUT DEBT'!$M281-'INPUT DEBT'!$N281</f>
        <v>84.13</v>
      </c>
      <c r="P281" s="239" t="str">
        <f aca="false">IF(N281=0, "NOT DELIVERED", IF(O281=0, "CLEARED", "PARTIALLY DELIVERED"))</f>
        <v>NOT DELIVERED</v>
      </c>
    </row>
    <row r="282" customFormat="false" ht="14.25" hidden="false" customHeight="true" outlineLevel="0" collapsed="false">
      <c r="A282" s="237" t="n">
        <v>277</v>
      </c>
      <c r="B282" s="238" t="s">
        <v>174</v>
      </c>
      <c r="C282" s="238" t="s">
        <v>2826</v>
      </c>
      <c r="D282" s="238" t="s">
        <v>2827</v>
      </c>
      <c r="E282" s="238" t="s">
        <v>2828</v>
      </c>
      <c r="F282" s="238" t="s">
        <v>1808</v>
      </c>
      <c r="G282" s="238" t="n">
        <v>20</v>
      </c>
      <c r="H282" s="240" t="n">
        <v>2270</v>
      </c>
      <c r="I282" s="238" t="s">
        <v>176</v>
      </c>
      <c r="J282" s="240" t="n">
        <v>2270</v>
      </c>
      <c r="K282" s="238" t="s">
        <v>25</v>
      </c>
      <c r="L282" s="240" t="n">
        <v>2270</v>
      </c>
      <c r="M282" s="238" t="n">
        <v>6.68</v>
      </c>
      <c r="N282" s="241" t="n">
        <v>0</v>
      </c>
      <c r="O282" s="238" t="n">
        <f aca="false">'INPUT DEBT'!$M282-'INPUT DEBT'!$N282</f>
        <v>6.68</v>
      </c>
      <c r="P282" s="239" t="str">
        <f aca="false">IF(N282=0, "NOT DELIVERED", IF(O282=0, "CLEARED", "PARTIALLY DELIVERED"))</f>
        <v>NOT DELIVERED</v>
      </c>
    </row>
    <row r="283" customFormat="false" ht="14.25" hidden="false" customHeight="true" outlineLevel="0" collapsed="false">
      <c r="A283" s="242" t="n">
        <v>278</v>
      </c>
      <c r="B283" s="243" t="s">
        <v>174</v>
      </c>
      <c r="C283" s="243" t="s">
        <v>2829</v>
      </c>
      <c r="D283" s="243" t="s">
        <v>2830</v>
      </c>
      <c r="E283" s="243" t="s">
        <v>2831</v>
      </c>
      <c r="F283" s="243" t="s">
        <v>1808</v>
      </c>
      <c r="G283" s="243" t="n">
        <v>40</v>
      </c>
      <c r="H283" s="244" t="n">
        <v>12985</v>
      </c>
      <c r="I283" s="244" t="n">
        <v>3571</v>
      </c>
      <c r="J283" s="244" t="n">
        <v>9415</v>
      </c>
      <c r="K283" s="243" t="s">
        <v>25</v>
      </c>
      <c r="L283" s="244" t="n">
        <v>9415</v>
      </c>
      <c r="M283" s="243" t="n">
        <v>38.19</v>
      </c>
      <c r="N283" s="246" t="n">
        <v>9.79</v>
      </c>
      <c r="O283" s="238" t="n">
        <f aca="false">'INPUT DEBT'!$M283-'INPUT DEBT'!$N283</f>
        <v>28.4</v>
      </c>
      <c r="P283" s="239" t="str">
        <f aca="false">IF(N283=0, "NOT DELIVERED", IF(O283=0, "CLEARED", "PARTIALLY DELIVERED"))</f>
        <v>PARTIALLY DELIVERED</v>
      </c>
    </row>
    <row r="284" customFormat="false" ht="14.25" hidden="false" customHeight="true" outlineLevel="0" collapsed="false">
      <c r="A284" s="237" t="n">
        <v>279</v>
      </c>
      <c r="B284" s="238" t="s">
        <v>174</v>
      </c>
      <c r="C284" s="238" t="s">
        <v>2832</v>
      </c>
      <c r="D284" s="238" t="s">
        <v>1649</v>
      </c>
      <c r="E284" s="238" t="s">
        <v>2833</v>
      </c>
      <c r="F284" s="238" t="s">
        <v>1808</v>
      </c>
      <c r="G284" s="238" t="n">
        <v>20</v>
      </c>
      <c r="H284" s="238" t="s">
        <v>2116</v>
      </c>
      <c r="I284" s="238" t="s">
        <v>176</v>
      </c>
      <c r="J284" s="238" t="s">
        <v>176</v>
      </c>
      <c r="K284" s="238" t="s">
        <v>25</v>
      </c>
      <c r="L284" s="238" t="s">
        <v>176</v>
      </c>
      <c r="M284" s="238" t="n">
        <v>0</v>
      </c>
      <c r="N284" s="241" t="n">
        <v>0</v>
      </c>
      <c r="O284" s="238" t="n">
        <f aca="false">'INPUT DEBT'!$M284-'INPUT DEBT'!$N284</f>
        <v>0</v>
      </c>
      <c r="P284" s="239" t="s">
        <v>2117</v>
      </c>
    </row>
    <row r="285" customFormat="false" ht="14.25" hidden="false" customHeight="true" outlineLevel="0" collapsed="false">
      <c r="A285" s="242" t="n">
        <v>280</v>
      </c>
      <c r="B285" s="243" t="s">
        <v>174</v>
      </c>
      <c r="C285" s="243" t="s">
        <v>2834</v>
      </c>
      <c r="D285" s="243" t="s">
        <v>2835</v>
      </c>
      <c r="E285" s="243" t="s">
        <v>2836</v>
      </c>
      <c r="F285" s="243" t="s">
        <v>1808</v>
      </c>
      <c r="G285" s="243" t="n">
        <v>10</v>
      </c>
      <c r="H285" s="244" t="n">
        <v>3219</v>
      </c>
      <c r="I285" s="244" t="n">
        <v>1802</v>
      </c>
      <c r="J285" s="244" t="n">
        <v>1417</v>
      </c>
      <c r="K285" s="243" t="s">
        <v>25</v>
      </c>
      <c r="L285" s="244" t="n">
        <v>1417</v>
      </c>
      <c r="M285" s="243" t="n">
        <v>9.47</v>
      </c>
      <c r="N285" s="246" t="n">
        <v>4.94</v>
      </c>
      <c r="O285" s="238" t="n">
        <f aca="false">'INPUT DEBT'!$M285-'INPUT DEBT'!$N285</f>
        <v>4.53</v>
      </c>
      <c r="P285" s="239" t="str">
        <f aca="false">IF(N285=0, "NOT DELIVERED", IF(O285=0, "CLEARED", "PARTIALLY DELIVERED"))</f>
        <v>PARTIALLY DELIVERED</v>
      </c>
    </row>
    <row r="286" customFormat="false" ht="14.25" hidden="false" customHeight="true" outlineLevel="0" collapsed="false">
      <c r="A286" s="237" t="n">
        <v>281</v>
      </c>
      <c r="B286" s="238" t="s">
        <v>174</v>
      </c>
      <c r="C286" s="238" t="s">
        <v>2837</v>
      </c>
      <c r="D286" s="238" t="s">
        <v>2838</v>
      </c>
      <c r="E286" s="238" t="s">
        <v>2839</v>
      </c>
      <c r="F286" s="238" t="s">
        <v>1808</v>
      </c>
      <c r="G286" s="238" t="n">
        <v>20</v>
      </c>
      <c r="H286" s="240" t="n">
        <v>4679</v>
      </c>
      <c r="I286" s="238" t="s">
        <v>176</v>
      </c>
      <c r="J286" s="240" t="n">
        <v>4679</v>
      </c>
      <c r="K286" s="238" t="s">
        <v>25</v>
      </c>
      <c r="L286" s="240" t="n">
        <v>4679</v>
      </c>
      <c r="M286" s="238" t="n">
        <v>13.76</v>
      </c>
      <c r="N286" s="241" t="n">
        <v>0</v>
      </c>
      <c r="O286" s="238" t="n">
        <f aca="false">'INPUT DEBT'!$M286-'INPUT DEBT'!$N286</f>
        <v>13.76</v>
      </c>
      <c r="P286" s="239" t="str">
        <f aca="false">IF(N286=0, "NOT DELIVERED", IF(O286=0, "CLEARED", "PARTIALLY DELIVERED"))</f>
        <v>NOT DELIVERED</v>
      </c>
    </row>
    <row r="287" customFormat="false" ht="14.25" hidden="false" customHeight="true" outlineLevel="0" collapsed="false">
      <c r="A287" s="242" t="n">
        <v>282</v>
      </c>
      <c r="B287" s="243" t="s">
        <v>174</v>
      </c>
      <c r="C287" s="243" t="s">
        <v>2840</v>
      </c>
      <c r="D287" s="243" t="s">
        <v>2841</v>
      </c>
      <c r="E287" s="243" t="s">
        <v>2842</v>
      </c>
      <c r="F287" s="243" t="s">
        <v>1808</v>
      </c>
      <c r="G287" s="243" t="n">
        <v>100</v>
      </c>
      <c r="H287" s="244" t="n">
        <v>10128</v>
      </c>
      <c r="I287" s="243" t="s">
        <v>176</v>
      </c>
      <c r="J287" s="244" t="n">
        <v>10128</v>
      </c>
      <c r="K287" s="243" t="s">
        <v>25</v>
      </c>
      <c r="L287" s="244" t="n">
        <v>10128</v>
      </c>
      <c r="M287" s="243" t="n">
        <v>29.79</v>
      </c>
      <c r="N287" s="246" t="n">
        <v>0</v>
      </c>
      <c r="O287" s="238" t="n">
        <f aca="false">'INPUT DEBT'!$M287-'INPUT DEBT'!$N287</f>
        <v>29.79</v>
      </c>
      <c r="P287" s="239" t="str">
        <f aca="false">IF(N287=0, "NOT DELIVERED", IF(O287=0, "CLEARED", "PARTIALLY DELIVERED"))</f>
        <v>NOT DELIVERED</v>
      </c>
    </row>
    <row r="288" customFormat="false" ht="14.25" hidden="false" customHeight="true" outlineLevel="0" collapsed="false">
      <c r="A288" s="237" t="n">
        <v>283</v>
      </c>
      <c r="B288" s="238" t="s">
        <v>174</v>
      </c>
      <c r="C288" s="238" t="s">
        <v>2843</v>
      </c>
      <c r="D288" s="238" t="s">
        <v>2844</v>
      </c>
      <c r="E288" s="238" t="s">
        <v>2845</v>
      </c>
      <c r="F288" s="238" t="s">
        <v>1808</v>
      </c>
      <c r="G288" s="238" t="n">
        <v>30</v>
      </c>
      <c r="H288" s="240" t="n">
        <v>6410</v>
      </c>
      <c r="I288" s="238" t="s">
        <v>176</v>
      </c>
      <c r="J288" s="240" t="n">
        <v>6410</v>
      </c>
      <c r="K288" s="238" t="s">
        <v>25</v>
      </c>
      <c r="L288" s="240" t="n">
        <v>6410</v>
      </c>
      <c r="M288" s="238" t="n">
        <v>18.85</v>
      </c>
      <c r="N288" s="241" t="n">
        <v>0</v>
      </c>
      <c r="O288" s="238" t="n">
        <f aca="false">'INPUT DEBT'!$M288-'INPUT DEBT'!$N288</f>
        <v>18.85</v>
      </c>
      <c r="P288" s="239" t="str">
        <f aca="false">IF(N288=0, "NOT DELIVERED", IF(O288=0, "CLEARED", "PARTIALLY DELIVERED"))</f>
        <v>NOT DELIVERED</v>
      </c>
    </row>
    <row r="289" customFormat="false" ht="14.25" hidden="false" customHeight="true" outlineLevel="0" collapsed="false">
      <c r="A289" s="242" t="n">
        <v>284</v>
      </c>
      <c r="B289" s="243" t="s">
        <v>174</v>
      </c>
      <c r="C289" s="243" t="s">
        <v>2846</v>
      </c>
      <c r="D289" s="243" t="s">
        <v>2847</v>
      </c>
      <c r="E289" s="243" t="s">
        <v>2272</v>
      </c>
      <c r="F289" s="243" t="s">
        <v>1808</v>
      </c>
      <c r="G289" s="243" t="n">
        <v>20</v>
      </c>
      <c r="H289" s="244" t="n">
        <v>3467</v>
      </c>
      <c r="I289" s="243" t="s">
        <v>176</v>
      </c>
      <c r="J289" s="244" t="n">
        <v>3467</v>
      </c>
      <c r="K289" s="243" t="s">
        <v>25</v>
      </c>
      <c r="L289" s="244" t="n">
        <v>3467</v>
      </c>
      <c r="M289" s="243" t="n">
        <v>10.2</v>
      </c>
      <c r="N289" s="246" t="n">
        <v>0</v>
      </c>
      <c r="O289" s="238" t="n">
        <f aca="false">'INPUT DEBT'!$M289-'INPUT DEBT'!$N289</f>
        <v>10.2</v>
      </c>
      <c r="P289" s="239" t="str">
        <f aca="false">IF(N289=0, "NOT DELIVERED", IF(O289=0, "CLEARED", "PARTIALLY DELIVERED"))</f>
        <v>NOT DELIVERED</v>
      </c>
    </row>
    <row r="290" customFormat="false" ht="14.25" hidden="false" customHeight="true" outlineLevel="0" collapsed="false">
      <c r="A290" s="237" t="n">
        <v>285</v>
      </c>
      <c r="B290" s="238" t="s">
        <v>174</v>
      </c>
      <c r="C290" s="238" t="s">
        <v>2848</v>
      </c>
      <c r="D290" s="238" t="s">
        <v>1650</v>
      </c>
      <c r="E290" s="238" t="s">
        <v>2849</v>
      </c>
      <c r="F290" s="238" t="s">
        <v>1808</v>
      </c>
      <c r="G290" s="238" t="n">
        <v>60</v>
      </c>
      <c r="H290" s="238" t="s">
        <v>2116</v>
      </c>
      <c r="I290" s="238" t="s">
        <v>176</v>
      </c>
      <c r="J290" s="238" t="s">
        <v>176</v>
      </c>
      <c r="K290" s="238" t="s">
        <v>25</v>
      </c>
      <c r="L290" s="238" t="s">
        <v>176</v>
      </c>
      <c r="M290" s="238" t="n">
        <v>0</v>
      </c>
      <c r="N290" s="241" t="n">
        <v>0</v>
      </c>
      <c r="O290" s="238" t="n">
        <f aca="false">'INPUT DEBT'!$M290-'INPUT DEBT'!$N290</f>
        <v>0</v>
      </c>
      <c r="P290" s="239" t="s">
        <v>2117</v>
      </c>
    </row>
    <row r="291" customFormat="false" ht="14.25" hidden="false" customHeight="true" outlineLevel="0" collapsed="false">
      <c r="A291" s="242" t="n">
        <v>286</v>
      </c>
      <c r="B291" s="243" t="s">
        <v>174</v>
      </c>
      <c r="C291" s="243" t="s">
        <v>2850</v>
      </c>
      <c r="D291" s="243" t="s">
        <v>1651</v>
      </c>
      <c r="E291" s="243" t="s">
        <v>2851</v>
      </c>
      <c r="F291" s="243" t="s">
        <v>1808</v>
      </c>
      <c r="G291" s="243" t="n">
        <v>20</v>
      </c>
      <c r="H291" s="243" t="s">
        <v>2116</v>
      </c>
      <c r="I291" s="243" t="s">
        <v>176</v>
      </c>
      <c r="J291" s="243" t="s">
        <v>176</v>
      </c>
      <c r="K291" s="243" t="s">
        <v>25</v>
      </c>
      <c r="L291" s="243" t="s">
        <v>176</v>
      </c>
      <c r="M291" s="243" t="n">
        <v>0</v>
      </c>
      <c r="N291" s="246" t="n">
        <v>0</v>
      </c>
      <c r="O291" s="238" t="n">
        <f aca="false">'INPUT DEBT'!$M291-'INPUT DEBT'!$N291</f>
        <v>0</v>
      </c>
      <c r="P291" s="239" t="s">
        <v>2117</v>
      </c>
    </row>
    <row r="292" customFormat="false" ht="14.25" hidden="false" customHeight="true" outlineLevel="0" collapsed="false">
      <c r="A292" s="237" t="n">
        <v>287</v>
      </c>
      <c r="B292" s="238" t="s">
        <v>174</v>
      </c>
      <c r="C292" s="238" t="s">
        <v>2852</v>
      </c>
      <c r="D292" s="238" t="s">
        <v>1652</v>
      </c>
      <c r="E292" s="238" t="s">
        <v>2853</v>
      </c>
      <c r="F292" s="238" t="s">
        <v>1808</v>
      </c>
      <c r="G292" s="238" t="n">
        <v>25</v>
      </c>
      <c r="H292" s="238" t="s">
        <v>2116</v>
      </c>
      <c r="I292" s="238" t="s">
        <v>176</v>
      </c>
      <c r="J292" s="238" t="s">
        <v>176</v>
      </c>
      <c r="K292" s="238" t="s">
        <v>25</v>
      </c>
      <c r="L292" s="238" t="s">
        <v>176</v>
      </c>
      <c r="M292" s="238" t="n">
        <v>0</v>
      </c>
      <c r="N292" s="241" t="n">
        <v>0</v>
      </c>
      <c r="O292" s="238" t="n">
        <f aca="false">'INPUT DEBT'!$M292-'INPUT DEBT'!$N292</f>
        <v>0</v>
      </c>
      <c r="P292" s="239" t="s">
        <v>2117</v>
      </c>
    </row>
    <row r="293" customFormat="false" ht="14.25" hidden="false" customHeight="true" outlineLevel="0" collapsed="false">
      <c r="A293" s="242" t="n">
        <v>288</v>
      </c>
      <c r="B293" s="243" t="s">
        <v>174</v>
      </c>
      <c r="C293" s="243" t="s">
        <v>2854</v>
      </c>
      <c r="D293" s="243" t="s">
        <v>2855</v>
      </c>
      <c r="E293" s="243" t="s">
        <v>2856</v>
      </c>
      <c r="F293" s="243" t="s">
        <v>1808</v>
      </c>
      <c r="G293" s="243" t="n">
        <v>20</v>
      </c>
      <c r="H293" s="244" t="n">
        <v>7553</v>
      </c>
      <c r="I293" s="243" t="s">
        <v>176</v>
      </c>
      <c r="J293" s="244" t="n">
        <v>7553</v>
      </c>
      <c r="K293" s="243" t="s">
        <v>25</v>
      </c>
      <c r="L293" s="244" t="n">
        <v>7553</v>
      </c>
      <c r="M293" s="243" t="n">
        <v>22.21</v>
      </c>
      <c r="N293" s="246" t="n">
        <v>0</v>
      </c>
      <c r="O293" s="238" t="n">
        <f aca="false">'INPUT DEBT'!$M293-'INPUT DEBT'!$N293</f>
        <v>22.21</v>
      </c>
      <c r="P293" s="239" t="str">
        <f aca="false">IF(N293=0, "NOT DELIVERED", IF(O293=0, "CLEARED", "PARTIALLY DELIVERED"))</f>
        <v>NOT DELIVERED</v>
      </c>
    </row>
    <row r="294" customFormat="false" ht="14.25" hidden="false" customHeight="true" outlineLevel="0" collapsed="false">
      <c r="A294" s="237" t="n">
        <v>289</v>
      </c>
      <c r="B294" s="238" t="s">
        <v>174</v>
      </c>
      <c r="C294" s="238" t="s">
        <v>2857</v>
      </c>
      <c r="D294" s="238" t="s">
        <v>2858</v>
      </c>
      <c r="E294" s="238" t="s">
        <v>2859</v>
      </c>
      <c r="F294" s="238" t="s">
        <v>1808</v>
      </c>
      <c r="G294" s="238" t="n">
        <v>50</v>
      </c>
      <c r="H294" s="240" t="n">
        <v>5365</v>
      </c>
      <c r="I294" s="238" t="s">
        <v>176</v>
      </c>
      <c r="J294" s="240" t="n">
        <v>5365</v>
      </c>
      <c r="K294" s="238" t="s">
        <v>25</v>
      </c>
      <c r="L294" s="240" t="n">
        <v>5365</v>
      </c>
      <c r="M294" s="238" t="n">
        <v>15.78</v>
      </c>
      <c r="N294" s="241" t="n">
        <v>0</v>
      </c>
      <c r="O294" s="238" t="n">
        <f aca="false">'INPUT DEBT'!$M294-'INPUT DEBT'!$N294</f>
        <v>15.78</v>
      </c>
      <c r="P294" s="239" t="str">
        <f aca="false">IF(N294=0, "NOT DELIVERED", IF(O294=0, "CLEARED", "PARTIALLY DELIVERED"))</f>
        <v>NOT DELIVERED</v>
      </c>
    </row>
    <row r="295" customFormat="false" ht="14.25" hidden="false" customHeight="true" outlineLevel="0" collapsed="false">
      <c r="A295" s="242" t="n">
        <v>290</v>
      </c>
      <c r="B295" s="243" t="s">
        <v>174</v>
      </c>
      <c r="C295" s="243" t="s">
        <v>2860</v>
      </c>
      <c r="D295" s="243" t="s">
        <v>2861</v>
      </c>
      <c r="E295" s="243" t="s">
        <v>2862</v>
      </c>
      <c r="F295" s="243" t="s">
        <v>1808</v>
      </c>
      <c r="G295" s="243" t="n">
        <v>20</v>
      </c>
      <c r="H295" s="244" t="n">
        <v>5092</v>
      </c>
      <c r="I295" s="243" t="s">
        <v>176</v>
      </c>
      <c r="J295" s="244" t="n">
        <v>5092</v>
      </c>
      <c r="K295" s="245" t="n">
        <f aca="false">'INPUT DEBT'!$J295-1366.95</f>
        <v>3725.05</v>
      </c>
      <c r="L295" s="244" t="n">
        <v>5092</v>
      </c>
      <c r="M295" s="243" t="n">
        <v>14.98</v>
      </c>
      <c r="N295" s="246" t="n">
        <v>0</v>
      </c>
      <c r="O295" s="238" t="n">
        <f aca="false">'INPUT DEBT'!$M295-'INPUT DEBT'!$N295</f>
        <v>14.98</v>
      </c>
      <c r="P295" s="239" t="str">
        <f aca="false">IF(N295=0, "NOT DELIVERED", IF(O295=0, "CLEARED", "PARTIALLY DELIVERED"))</f>
        <v>NOT DELIVERED</v>
      </c>
    </row>
    <row r="296" customFormat="false" ht="14.25" hidden="false" customHeight="true" outlineLevel="0" collapsed="false">
      <c r="A296" s="237" t="n">
        <v>291</v>
      </c>
      <c r="B296" s="238" t="s">
        <v>174</v>
      </c>
      <c r="C296" s="238" t="s">
        <v>2863</v>
      </c>
      <c r="D296" s="238" t="s">
        <v>2864</v>
      </c>
      <c r="E296" s="238" t="s">
        <v>2865</v>
      </c>
      <c r="F296" s="238" t="s">
        <v>1808</v>
      </c>
      <c r="G296" s="238" t="n">
        <v>10</v>
      </c>
      <c r="H296" s="240" t="n">
        <v>2464</v>
      </c>
      <c r="I296" s="238" t="s">
        <v>176</v>
      </c>
      <c r="J296" s="240" t="n">
        <v>2464</v>
      </c>
      <c r="K296" s="238" t="s">
        <v>25</v>
      </c>
      <c r="L296" s="240" t="n">
        <v>2464</v>
      </c>
      <c r="M296" s="238" t="n">
        <v>7.25</v>
      </c>
      <c r="N296" s="241" t="n">
        <v>0</v>
      </c>
      <c r="O296" s="238" t="n">
        <f aca="false">'INPUT DEBT'!$M296-'INPUT DEBT'!$N296</f>
        <v>7.25</v>
      </c>
      <c r="P296" s="239" t="str">
        <f aca="false">IF(N296=0, "NOT DELIVERED", IF(O296=0, "CLEARED", "PARTIALLY DELIVERED"))</f>
        <v>NOT DELIVERED</v>
      </c>
    </row>
    <row r="297" customFormat="false" ht="14.25" hidden="false" customHeight="true" outlineLevel="0" collapsed="false">
      <c r="A297" s="242" t="n">
        <v>292</v>
      </c>
      <c r="B297" s="243" t="s">
        <v>174</v>
      </c>
      <c r="C297" s="243" t="s">
        <v>2866</v>
      </c>
      <c r="D297" s="243" t="s">
        <v>2867</v>
      </c>
      <c r="E297" s="243" t="s">
        <v>2868</v>
      </c>
      <c r="F297" s="243" t="s">
        <v>1808</v>
      </c>
      <c r="G297" s="243" t="n">
        <v>10</v>
      </c>
      <c r="H297" s="244" t="n">
        <v>1375</v>
      </c>
      <c r="I297" s="243" t="s">
        <v>176</v>
      </c>
      <c r="J297" s="244" t="n">
        <v>1375</v>
      </c>
      <c r="K297" s="243" t="s">
        <v>25</v>
      </c>
      <c r="L297" s="244" t="n">
        <v>1375</v>
      </c>
      <c r="M297" s="243" t="n">
        <v>4.05</v>
      </c>
      <c r="N297" s="246" t="n">
        <v>0</v>
      </c>
      <c r="O297" s="238" t="n">
        <f aca="false">'INPUT DEBT'!$M297-'INPUT DEBT'!$N297</f>
        <v>4.05</v>
      </c>
      <c r="P297" s="239" t="str">
        <f aca="false">IF(N297=0, "NOT DELIVERED", IF(O297=0, "CLEARED", "PARTIALLY DELIVERED"))</f>
        <v>NOT DELIVERED</v>
      </c>
    </row>
    <row r="298" customFormat="false" ht="14.25" hidden="false" customHeight="true" outlineLevel="0" collapsed="false">
      <c r="A298" s="237" t="n">
        <v>293</v>
      </c>
      <c r="B298" s="238" t="s">
        <v>174</v>
      </c>
      <c r="C298" s="238" t="s">
        <v>2726</v>
      </c>
      <c r="D298" s="238" t="s">
        <v>2869</v>
      </c>
      <c r="E298" s="238" t="s">
        <v>2870</v>
      </c>
      <c r="F298" s="238" t="s">
        <v>1808</v>
      </c>
      <c r="G298" s="238" t="n">
        <v>10</v>
      </c>
      <c r="H298" s="240" t="n">
        <v>2078</v>
      </c>
      <c r="I298" s="238" t="s">
        <v>176</v>
      </c>
      <c r="J298" s="240" t="n">
        <v>2078</v>
      </c>
      <c r="K298" s="238" t="s">
        <v>25</v>
      </c>
      <c r="L298" s="240" t="n">
        <v>2078</v>
      </c>
      <c r="M298" s="238" t="n">
        <v>6.11</v>
      </c>
      <c r="N298" s="241" t="n">
        <v>0</v>
      </c>
      <c r="O298" s="238" t="n">
        <f aca="false">'INPUT DEBT'!$M298-'INPUT DEBT'!$N298</f>
        <v>6.11</v>
      </c>
      <c r="P298" s="239" t="str">
        <f aca="false">IF(N298=0, "NOT DELIVERED", IF(O298=0, "CLEARED", "PARTIALLY DELIVERED"))</f>
        <v>NOT DELIVERED</v>
      </c>
    </row>
    <row r="299" customFormat="false" ht="14.25" hidden="false" customHeight="true" outlineLevel="0" collapsed="false">
      <c r="A299" s="242" t="n">
        <v>294</v>
      </c>
      <c r="B299" s="243" t="s">
        <v>174</v>
      </c>
      <c r="C299" s="243" t="s">
        <v>2871</v>
      </c>
      <c r="D299" s="243" t="s">
        <v>2872</v>
      </c>
      <c r="E299" s="243" t="s">
        <v>2873</v>
      </c>
      <c r="F299" s="243" t="s">
        <v>1808</v>
      </c>
      <c r="G299" s="243" t="n">
        <v>20</v>
      </c>
      <c r="H299" s="243" t="n">
        <v>546</v>
      </c>
      <c r="I299" s="243" t="s">
        <v>176</v>
      </c>
      <c r="J299" s="243" t="n">
        <v>546</v>
      </c>
      <c r="K299" s="243" t="s">
        <v>25</v>
      </c>
      <c r="L299" s="243" t="n">
        <v>546</v>
      </c>
      <c r="M299" s="243" t="n">
        <v>1.61</v>
      </c>
      <c r="N299" s="246" t="n">
        <v>0</v>
      </c>
      <c r="O299" s="238" t="n">
        <f aca="false">'INPUT DEBT'!$M299-'INPUT DEBT'!$N299</f>
        <v>1.61</v>
      </c>
      <c r="P299" s="239" t="str">
        <f aca="false">IF(N299=0, "NOT DELIVERED", IF(O299=0, "CLEARED", "PARTIALLY DELIVERED"))</f>
        <v>NOT DELIVERED</v>
      </c>
    </row>
    <row r="300" customFormat="false" ht="14.25" hidden="false" customHeight="true" outlineLevel="0" collapsed="false">
      <c r="A300" s="237" t="n">
        <v>295</v>
      </c>
      <c r="B300" s="238" t="s">
        <v>174</v>
      </c>
      <c r="C300" s="238" t="s">
        <v>2874</v>
      </c>
      <c r="D300" s="238" t="s">
        <v>2875</v>
      </c>
      <c r="E300" s="238" t="s">
        <v>2876</v>
      </c>
      <c r="F300" s="238" t="s">
        <v>1808</v>
      </c>
      <c r="G300" s="238" t="n">
        <v>30</v>
      </c>
      <c r="H300" s="240" t="n">
        <v>6116</v>
      </c>
      <c r="I300" s="238" t="s">
        <v>176</v>
      </c>
      <c r="J300" s="240" t="n">
        <v>6116</v>
      </c>
      <c r="K300" s="238" t="s">
        <v>25</v>
      </c>
      <c r="L300" s="240" t="n">
        <v>6116</v>
      </c>
      <c r="M300" s="238" t="n">
        <v>17.99</v>
      </c>
      <c r="N300" s="241" t="n">
        <v>0</v>
      </c>
      <c r="O300" s="238" t="n">
        <f aca="false">'INPUT DEBT'!$M300-'INPUT DEBT'!$N300</f>
        <v>17.99</v>
      </c>
      <c r="P300" s="239" t="str">
        <f aca="false">IF(N300=0, "NOT DELIVERED", IF(O300=0, "CLEARED", "PARTIALLY DELIVERED"))</f>
        <v>NOT DELIVERED</v>
      </c>
    </row>
    <row r="301" customFormat="false" ht="14.25" hidden="false" customHeight="true" outlineLevel="0" collapsed="false">
      <c r="A301" s="242" t="n">
        <v>296</v>
      </c>
      <c r="B301" s="243" t="s">
        <v>174</v>
      </c>
      <c r="C301" s="243" t="s">
        <v>2877</v>
      </c>
      <c r="D301" s="243" t="s">
        <v>2878</v>
      </c>
      <c r="E301" s="243" t="s">
        <v>2879</v>
      </c>
      <c r="F301" s="243" t="s">
        <v>1808</v>
      </c>
      <c r="G301" s="243" t="n">
        <v>20</v>
      </c>
      <c r="H301" s="244" t="n">
        <v>7244</v>
      </c>
      <c r="I301" s="243" t="s">
        <v>176</v>
      </c>
      <c r="J301" s="244" t="n">
        <v>7244</v>
      </c>
      <c r="K301" s="243" t="s">
        <v>25</v>
      </c>
      <c r="L301" s="244" t="n">
        <v>7244</v>
      </c>
      <c r="M301" s="243" t="n">
        <v>21.31</v>
      </c>
      <c r="N301" s="246" t="n">
        <v>0</v>
      </c>
      <c r="O301" s="238" t="n">
        <f aca="false">'INPUT DEBT'!$M301-'INPUT DEBT'!$N301</f>
        <v>21.31</v>
      </c>
      <c r="P301" s="239" t="str">
        <f aca="false">IF(N301=0, "NOT DELIVERED", IF(O301=0, "CLEARED", "PARTIALLY DELIVERED"))</f>
        <v>NOT DELIVERED</v>
      </c>
    </row>
    <row r="302" customFormat="false" ht="14.25" hidden="false" customHeight="true" outlineLevel="0" collapsed="false">
      <c r="A302" s="237" t="n">
        <v>297</v>
      </c>
      <c r="B302" s="238" t="s">
        <v>174</v>
      </c>
      <c r="C302" s="238" t="s">
        <v>2880</v>
      </c>
      <c r="D302" s="238" t="s">
        <v>1654</v>
      </c>
      <c r="E302" s="238" t="s">
        <v>2881</v>
      </c>
      <c r="F302" s="238" t="s">
        <v>1808</v>
      </c>
      <c r="G302" s="238" t="n">
        <v>20</v>
      </c>
      <c r="H302" s="238" t="s">
        <v>2116</v>
      </c>
      <c r="I302" s="238" t="s">
        <v>176</v>
      </c>
      <c r="J302" s="238" t="s">
        <v>176</v>
      </c>
      <c r="K302" s="238" t="s">
        <v>25</v>
      </c>
      <c r="L302" s="238" t="s">
        <v>176</v>
      </c>
      <c r="M302" s="238" t="n">
        <v>0</v>
      </c>
      <c r="N302" s="241" t="n">
        <v>0</v>
      </c>
      <c r="O302" s="238" t="n">
        <f aca="false">'INPUT DEBT'!$M302-'INPUT DEBT'!$N302</f>
        <v>0</v>
      </c>
      <c r="P302" s="239" t="s">
        <v>2117</v>
      </c>
    </row>
    <row r="303" customFormat="false" ht="14.25" hidden="false" customHeight="true" outlineLevel="0" collapsed="false">
      <c r="A303" s="242" t="n">
        <v>298</v>
      </c>
      <c r="B303" s="243" t="s">
        <v>174</v>
      </c>
      <c r="C303" s="243" t="s">
        <v>2882</v>
      </c>
      <c r="D303" s="243" t="s">
        <v>2883</v>
      </c>
      <c r="E303" s="243" t="s">
        <v>2884</v>
      </c>
      <c r="F303" s="243" t="s">
        <v>1808</v>
      </c>
      <c r="G303" s="243" t="n">
        <v>20</v>
      </c>
      <c r="H303" s="244" t="n">
        <v>4387</v>
      </c>
      <c r="I303" s="243" t="s">
        <v>176</v>
      </c>
      <c r="J303" s="244" t="n">
        <v>4387</v>
      </c>
      <c r="K303" s="243" t="s">
        <v>25</v>
      </c>
      <c r="L303" s="244" t="n">
        <v>4387</v>
      </c>
      <c r="M303" s="243" t="n">
        <v>12.9</v>
      </c>
      <c r="N303" s="246" t="n">
        <v>1.94</v>
      </c>
      <c r="O303" s="238" t="n">
        <f aca="false">'INPUT DEBT'!$M303-'INPUT DEBT'!$N303</f>
        <v>10.96</v>
      </c>
      <c r="P303" s="239" t="str">
        <f aca="false">IF(N303=0, "NOT DELIVERED", IF(O303=0, "CLEARED", "PARTIALLY DELIVERED"))</f>
        <v>PARTIALLY DELIVERED</v>
      </c>
    </row>
    <row r="304" customFormat="false" ht="14.25" hidden="false" customHeight="true" outlineLevel="0" collapsed="false">
      <c r="A304" s="237" t="n">
        <v>299</v>
      </c>
      <c r="B304" s="238" t="s">
        <v>174</v>
      </c>
      <c r="C304" s="238" t="s">
        <v>2885</v>
      </c>
      <c r="D304" s="238" t="s">
        <v>2886</v>
      </c>
      <c r="E304" s="238" t="s">
        <v>2887</v>
      </c>
      <c r="F304" s="238" t="s">
        <v>1808</v>
      </c>
      <c r="G304" s="238" t="n">
        <v>20</v>
      </c>
      <c r="H304" s="240" t="n">
        <v>2447</v>
      </c>
      <c r="I304" s="238" t="s">
        <v>176</v>
      </c>
      <c r="J304" s="240" t="n">
        <v>2447</v>
      </c>
      <c r="K304" s="238" t="s">
        <v>25</v>
      </c>
      <c r="L304" s="240" t="n">
        <v>2447</v>
      </c>
      <c r="M304" s="238" t="n">
        <v>7.2</v>
      </c>
      <c r="N304" s="241" t="n">
        <v>0</v>
      </c>
      <c r="O304" s="238" t="n">
        <f aca="false">'INPUT DEBT'!$M304-'INPUT DEBT'!$N304</f>
        <v>7.2</v>
      </c>
      <c r="P304" s="239" t="str">
        <f aca="false">IF(N304=0, "NOT DELIVERED", IF(O304=0, "CLEARED", "PARTIALLY DELIVERED"))</f>
        <v>NOT DELIVERED</v>
      </c>
    </row>
    <row r="305" customFormat="false" ht="14.25" hidden="false" customHeight="true" outlineLevel="0" collapsed="false">
      <c r="A305" s="242" t="n">
        <v>300</v>
      </c>
      <c r="B305" s="243" t="s">
        <v>174</v>
      </c>
      <c r="C305" s="243" t="s">
        <v>2888</v>
      </c>
      <c r="D305" s="243" t="s">
        <v>2889</v>
      </c>
      <c r="E305" s="243" t="s">
        <v>2890</v>
      </c>
      <c r="F305" s="243" t="s">
        <v>1808</v>
      </c>
      <c r="G305" s="243" t="n">
        <v>70</v>
      </c>
      <c r="H305" s="244" t="n">
        <v>11260</v>
      </c>
      <c r="I305" s="244" t="n">
        <v>15093</v>
      </c>
      <c r="J305" s="244" t="n">
        <v>-3833</v>
      </c>
      <c r="K305" s="243" t="s">
        <v>25</v>
      </c>
      <c r="L305" s="244" t="n">
        <v>-3833</v>
      </c>
      <c r="M305" s="243" t="n">
        <v>33.12</v>
      </c>
      <c r="N305" s="246" t="n">
        <v>41.38</v>
      </c>
      <c r="O305" s="238" t="n">
        <f aca="false">'INPUT DEBT'!$M305-'INPUT DEBT'!$N305</f>
        <v>-8.26000000000001</v>
      </c>
      <c r="P305" s="239" t="s">
        <v>2117</v>
      </c>
    </row>
    <row r="306" customFormat="false" ht="14.25" hidden="false" customHeight="true" outlineLevel="0" collapsed="false">
      <c r="A306" s="237" t="n">
        <v>301</v>
      </c>
      <c r="B306" s="238" t="s">
        <v>174</v>
      </c>
      <c r="C306" s="238" t="s">
        <v>2826</v>
      </c>
      <c r="D306" s="238" t="s">
        <v>2891</v>
      </c>
      <c r="E306" s="238" t="s">
        <v>2892</v>
      </c>
      <c r="F306" s="238" t="s">
        <v>1808</v>
      </c>
      <c r="G306" s="238" t="n">
        <v>20</v>
      </c>
      <c r="H306" s="240" t="n">
        <v>6928</v>
      </c>
      <c r="I306" s="240" t="n">
        <v>1459</v>
      </c>
      <c r="J306" s="240" t="n">
        <v>5469</v>
      </c>
      <c r="K306" s="238" t="s">
        <v>25</v>
      </c>
      <c r="L306" s="240" t="n">
        <v>5469</v>
      </c>
      <c r="M306" s="238" t="n">
        <v>20.38</v>
      </c>
      <c r="N306" s="241" t="n">
        <v>4</v>
      </c>
      <c r="O306" s="238" t="n">
        <f aca="false">'INPUT DEBT'!$M306-'INPUT DEBT'!$N306</f>
        <v>16.38</v>
      </c>
      <c r="P306" s="239" t="str">
        <f aca="false">IF(N306=0, "NOT DELIVERED", IF(O306=0, "CLEARED", "PARTIALLY DELIVERED"))</f>
        <v>PARTIALLY DELIVERED</v>
      </c>
    </row>
    <row r="307" customFormat="false" ht="14.25" hidden="false" customHeight="true" outlineLevel="0" collapsed="false">
      <c r="A307" s="242" t="n">
        <v>302</v>
      </c>
      <c r="B307" s="243" t="s">
        <v>174</v>
      </c>
      <c r="C307" s="243" t="s">
        <v>2893</v>
      </c>
      <c r="D307" s="243" t="s">
        <v>2894</v>
      </c>
      <c r="E307" s="243" t="s">
        <v>2895</v>
      </c>
      <c r="F307" s="243" t="s">
        <v>1808</v>
      </c>
      <c r="G307" s="243" t="n">
        <v>35</v>
      </c>
      <c r="H307" s="244" t="n">
        <v>8888</v>
      </c>
      <c r="I307" s="244" t="n">
        <v>1200</v>
      </c>
      <c r="J307" s="244" t="n">
        <v>7689</v>
      </c>
      <c r="K307" s="243" t="s">
        <v>25</v>
      </c>
      <c r="L307" s="244" t="n">
        <v>7689</v>
      </c>
      <c r="M307" s="243" t="n">
        <v>26.14</v>
      </c>
      <c r="N307" s="246" t="n">
        <v>3.29</v>
      </c>
      <c r="O307" s="238" t="n">
        <f aca="false">'INPUT DEBT'!$M307-'INPUT DEBT'!$N307</f>
        <v>22.85</v>
      </c>
      <c r="P307" s="239" t="str">
        <f aca="false">IF(N307=0, "NOT DELIVERED", IF(O307=0, "CLEARED", "PARTIALLY DELIVERED"))</f>
        <v>PARTIALLY DELIVERED</v>
      </c>
    </row>
    <row r="308" customFormat="false" ht="14.25" hidden="false" customHeight="true" outlineLevel="0" collapsed="false">
      <c r="A308" s="237" t="n">
        <v>303</v>
      </c>
      <c r="B308" s="238" t="s">
        <v>174</v>
      </c>
      <c r="C308" s="238" t="s">
        <v>2896</v>
      </c>
      <c r="D308" s="238" t="s">
        <v>2897</v>
      </c>
      <c r="E308" s="238" t="s">
        <v>2898</v>
      </c>
      <c r="F308" s="238" t="s">
        <v>1808</v>
      </c>
      <c r="G308" s="238" t="n">
        <v>30</v>
      </c>
      <c r="H308" s="240" t="n">
        <v>7678</v>
      </c>
      <c r="I308" s="238" t="s">
        <v>176</v>
      </c>
      <c r="J308" s="240" t="n">
        <v>7678</v>
      </c>
      <c r="K308" s="238" t="s">
        <v>25</v>
      </c>
      <c r="L308" s="240" t="n">
        <v>7678</v>
      </c>
      <c r="M308" s="238" t="n">
        <v>22.58</v>
      </c>
      <c r="N308" s="241" t="n">
        <v>0</v>
      </c>
      <c r="O308" s="238" t="n">
        <f aca="false">'INPUT DEBT'!$M308-'INPUT DEBT'!$N308</f>
        <v>22.58</v>
      </c>
      <c r="P308" s="239" t="str">
        <f aca="false">IF(N308=0, "NOT DELIVERED", IF(O308=0, "CLEARED", "PARTIALLY DELIVERED"))</f>
        <v>NOT DELIVERED</v>
      </c>
    </row>
    <row r="309" customFormat="false" ht="14.25" hidden="false" customHeight="true" outlineLevel="0" collapsed="false">
      <c r="A309" s="242" t="n">
        <v>304</v>
      </c>
      <c r="B309" s="243" t="s">
        <v>174</v>
      </c>
      <c r="C309" s="243" t="s">
        <v>2767</v>
      </c>
      <c r="D309" s="243" t="s">
        <v>2899</v>
      </c>
      <c r="E309" s="243" t="s">
        <v>2900</v>
      </c>
      <c r="F309" s="243" t="s">
        <v>1808</v>
      </c>
      <c r="G309" s="243" t="n">
        <v>20</v>
      </c>
      <c r="H309" s="244" t="n">
        <v>8416</v>
      </c>
      <c r="I309" s="243" t="n">
        <v>511</v>
      </c>
      <c r="J309" s="244" t="n">
        <v>7905</v>
      </c>
      <c r="K309" s="244" t="n">
        <v>9013</v>
      </c>
      <c r="L309" s="244" t="n">
        <v>-1108</v>
      </c>
      <c r="M309" s="243" t="n">
        <v>24.75</v>
      </c>
      <c r="N309" s="246" t="n">
        <v>1.4</v>
      </c>
      <c r="O309" s="238" t="n">
        <f aca="false">'INPUT DEBT'!$M309-'INPUT DEBT'!$N309</f>
        <v>23.35</v>
      </c>
      <c r="P309" s="239" t="str">
        <f aca="false">IF(N309=0, "NOT DELIVERED", IF(O309=0, "CLEARED", "PARTIALLY DELIVERED"))</f>
        <v>PARTIALLY DELIVERED</v>
      </c>
    </row>
    <row r="310" customFormat="false" ht="14.25" hidden="false" customHeight="true" outlineLevel="0" collapsed="false">
      <c r="A310" s="237" t="n">
        <v>305</v>
      </c>
      <c r="B310" s="238" t="s">
        <v>174</v>
      </c>
      <c r="C310" s="238" t="s">
        <v>2901</v>
      </c>
      <c r="D310" s="238" t="s">
        <v>2902</v>
      </c>
      <c r="E310" s="238" t="s">
        <v>2903</v>
      </c>
      <c r="F310" s="238" t="s">
        <v>1808</v>
      </c>
      <c r="G310" s="238" t="n">
        <v>30</v>
      </c>
      <c r="H310" s="240" t="n">
        <v>4776</v>
      </c>
      <c r="I310" s="238" t="s">
        <v>176</v>
      </c>
      <c r="J310" s="240" t="n">
        <v>4776</v>
      </c>
      <c r="K310" s="238" t="s">
        <v>25</v>
      </c>
      <c r="L310" s="240" t="n">
        <v>4776</v>
      </c>
      <c r="M310" s="238" t="n">
        <v>14.05</v>
      </c>
      <c r="N310" s="241" t="n">
        <v>0</v>
      </c>
      <c r="O310" s="238" t="n">
        <f aca="false">'INPUT DEBT'!$M310-'INPUT DEBT'!$N310</f>
        <v>14.05</v>
      </c>
      <c r="P310" s="239" t="str">
        <f aca="false">IF(N310=0, "NOT DELIVERED", IF(O310=0, "CLEARED", "PARTIALLY DELIVERED"))</f>
        <v>NOT DELIVERED</v>
      </c>
    </row>
    <row r="311" customFormat="false" ht="14.25" hidden="false" customHeight="true" outlineLevel="0" collapsed="false">
      <c r="A311" s="242" t="n">
        <v>306</v>
      </c>
      <c r="B311" s="243" t="s">
        <v>174</v>
      </c>
      <c r="C311" s="243" t="s">
        <v>2645</v>
      </c>
      <c r="D311" s="243" t="s">
        <v>2904</v>
      </c>
      <c r="E311" s="243" t="s">
        <v>2905</v>
      </c>
      <c r="F311" s="243" t="s">
        <v>1808</v>
      </c>
      <c r="G311" s="243" t="n">
        <v>20</v>
      </c>
      <c r="H311" s="244" t="n">
        <v>4744</v>
      </c>
      <c r="I311" s="243" t="s">
        <v>176</v>
      </c>
      <c r="J311" s="244" t="n">
        <v>4744</v>
      </c>
      <c r="K311" s="243" t="s">
        <v>25</v>
      </c>
      <c r="L311" s="244" t="n">
        <v>4744</v>
      </c>
      <c r="M311" s="243" t="n">
        <v>13.95</v>
      </c>
      <c r="N311" s="246" t="n">
        <v>0</v>
      </c>
      <c r="O311" s="238" t="n">
        <f aca="false">'INPUT DEBT'!$M311-'INPUT DEBT'!$N311</f>
        <v>13.95</v>
      </c>
      <c r="P311" s="239" t="str">
        <f aca="false">IF(N311=0, "NOT DELIVERED", IF(O311=0, "CLEARED", "PARTIALLY DELIVERED"))</f>
        <v>NOT DELIVERED</v>
      </c>
    </row>
    <row r="312" customFormat="false" ht="14.25" hidden="false" customHeight="true" outlineLevel="0" collapsed="false">
      <c r="A312" s="237" t="n">
        <v>307</v>
      </c>
      <c r="B312" s="238" t="s">
        <v>174</v>
      </c>
      <c r="C312" s="238" t="s">
        <v>2906</v>
      </c>
      <c r="D312" s="238" t="s">
        <v>2907</v>
      </c>
      <c r="E312" s="238" t="s">
        <v>2908</v>
      </c>
      <c r="F312" s="238" t="s">
        <v>1808</v>
      </c>
      <c r="G312" s="238" t="n">
        <v>35</v>
      </c>
      <c r="H312" s="240" t="n">
        <v>6591</v>
      </c>
      <c r="I312" s="238" t="s">
        <v>176</v>
      </c>
      <c r="J312" s="240" t="n">
        <v>6591</v>
      </c>
      <c r="K312" s="238" t="s">
        <v>25</v>
      </c>
      <c r="L312" s="240" t="n">
        <v>6591</v>
      </c>
      <c r="M312" s="238" t="n">
        <v>19.39</v>
      </c>
      <c r="N312" s="241" t="n">
        <v>0</v>
      </c>
      <c r="O312" s="238" t="n">
        <f aca="false">'INPUT DEBT'!$M312-'INPUT DEBT'!$N312</f>
        <v>19.39</v>
      </c>
      <c r="P312" s="239" t="str">
        <f aca="false">IF(N312=0, "NOT DELIVERED", IF(O312=0, "CLEARED", "PARTIALLY DELIVERED"))</f>
        <v>NOT DELIVERED</v>
      </c>
    </row>
    <row r="313" customFormat="false" ht="14.25" hidden="false" customHeight="true" outlineLevel="0" collapsed="false">
      <c r="A313" s="242" t="n">
        <v>308</v>
      </c>
      <c r="B313" s="243" t="s">
        <v>174</v>
      </c>
      <c r="C313" s="243" t="s">
        <v>2909</v>
      </c>
      <c r="D313" s="243" t="s">
        <v>2910</v>
      </c>
      <c r="E313" s="243" t="s">
        <v>2911</v>
      </c>
      <c r="F313" s="243" t="s">
        <v>1808</v>
      </c>
      <c r="G313" s="243" t="n">
        <v>10</v>
      </c>
      <c r="H313" s="244" t="n">
        <v>2031</v>
      </c>
      <c r="I313" s="243" t="s">
        <v>176</v>
      </c>
      <c r="J313" s="244" t="n">
        <v>2031</v>
      </c>
      <c r="K313" s="243" t="s">
        <v>25</v>
      </c>
      <c r="L313" s="244" t="n">
        <v>2031</v>
      </c>
      <c r="M313" s="243" t="n">
        <v>5.97</v>
      </c>
      <c r="N313" s="246" t="n">
        <v>0</v>
      </c>
      <c r="O313" s="238" t="n">
        <f aca="false">'INPUT DEBT'!$M313-'INPUT DEBT'!$N313</f>
        <v>5.97</v>
      </c>
      <c r="P313" s="239" t="str">
        <f aca="false">IF(N313=0, "NOT DELIVERED", IF(O313=0, "CLEARED", "PARTIALLY DELIVERED"))</f>
        <v>NOT DELIVERED</v>
      </c>
    </row>
    <row r="314" customFormat="false" ht="14.25" hidden="false" customHeight="true" outlineLevel="0" collapsed="false">
      <c r="A314" s="237" t="n">
        <v>309</v>
      </c>
      <c r="B314" s="238" t="s">
        <v>174</v>
      </c>
      <c r="C314" s="238" t="s">
        <v>2912</v>
      </c>
      <c r="D314" s="238" t="s">
        <v>2913</v>
      </c>
      <c r="E314" s="238" t="s">
        <v>2914</v>
      </c>
      <c r="F314" s="238" t="s">
        <v>1808</v>
      </c>
      <c r="G314" s="238" t="n">
        <v>100</v>
      </c>
      <c r="H314" s="240" t="n">
        <v>11744</v>
      </c>
      <c r="I314" s="238" t="s">
        <v>176</v>
      </c>
      <c r="J314" s="240" t="n">
        <v>11744</v>
      </c>
      <c r="K314" s="240" t="n">
        <v>12161</v>
      </c>
      <c r="L314" s="238" t="n">
        <v>-417</v>
      </c>
      <c r="M314" s="238" t="n">
        <v>34.54</v>
      </c>
      <c r="N314" s="241" t="n">
        <v>0</v>
      </c>
      <c r="O314" s="238" t="n">
        <f aca="false">'INPUT DEBT'!$M314-'INPUT DEBT'!$N314</f>
        <v>34.54</v>
      </c>
      <c r="P314" s="239" t="str">
        <f aca="false">IF(N314=0, "NOT DELIVERED", IF(O314=0, "CLEARED", "PARTIALLY DELIVERED"))</f>
        <v>NOT DELIVERED</v>
      </c>
    </row>
    <row r="315" customFormat="false" ht="14.25" hidden="false" customHeight="true" outlineLevel="0" collapsed="false">
      <c r="A315" s="242" t="n">
        <v>310</v>
      </c>
      <c r="B315" s="243" t="s">
        <v>174</v>
      </c>
      <c r="C315" s="243" t="s">
        <v>2915</v>
      </c>
      <c r="D315" s="243" t="s">
        <v>2916</v>
      </c>
      <c r="E315" s="243" t="s">
        <v>2917</v>
      </c>
      <c r="F315" s="243" t="s">
        <v>1808</v>
      </c>
      <c r="G315" s="243" t="n">
        <v>100</v>
      </c>
      <c r="H315" s="244" t="n">
        <v>33192</v>
      </c>
      <c r="I315" s="243" t="s">
        <v>176</v>
      </c>
      <c r="J315" s="244" t="n">
        <v>33192</v>
      </c>
      <c r="K315" s="243" t="s">
        <v>25</v>
      </c>
      <c r="L315" s="244" t="n">
        <v>33192</v>
      </c>
      <c r="M315" s="243" t="n">
        <v>97.62</v>
      </c>
      <c r="N315" s="246" t="n">
        <v>0</v>
      </c>
      <c r="O315" s="238" t="n">
        <f aca="false">'INPUT DEBT'!$M315-'INPUT DEBT'!$N315</f>
        <v>97.62</v>
      </c>
      <c r="P315" s="239" t="str">
        <f aca="false">IF(N315=0, "NOT DELIVERED", IF(O315=0, "CLEARED", "PARTIALLY DELIVERED"))</f>
        <v>NOT DELIVERED</v>
      </c>
    </row>
    <row r="316" customFormat="false" ht="14.25" hidden="false" customHeight="true" outlineLevel="0" collapsed="false">
      <c r="A316" s="237" t="n">
        <v>311</v>
      </c>
      <c r="B316" s="238" t="s">
        <v>174</v>
      </c>
      <c r="C316" s="238" t="s">
        <v>2918</v>
      </c>
      <c r="D316" s="238" t="s">
        <v>2919</v>
      </c>
      <c r="E316" s="238" t="s">
        <v>2920</v>
      </c>
      <c r="F316" s="238" t="s">
        <v>1808</v>
      </c>
      <c r="G316" s="238" t="n">
        <v>60</v>
      </c>
      <c r="H316" s="240" t="n">
        <v>10147</v>
      </c>
      <c r="I316" s="238" t="s">
        <v>176</v>
      </c>
      <c r="J316" s="240" t="n">
        <v>10147</v>
      </c>
      <c r="K316" s="238" t="s">
        <v>25</v>
      </c>
      <c r="L316" s="240" t="n">
        <v>10147</v>
      </c>
      <c r="M316" s="238" t="n">
        <v>29.84</v>
      </c>
      <c r="N316" s="241" t="n">
        <v>0</v>
      </c>
      <c r="O316" s="238" t="n">
        <f aca="false">'INPUT DEBT'!$M316-'INPUT DEBT'!$N316</f>
        <v>29.84</v>
      </c>
      <c r="P316" s="239" t="str">
        <f aca="false">IF(N316=0, "NOT DELIVERED", IF(O316=0, "CLEARED", "PARTIALLY DELIVERED"))</f>
        <v>NOT DELIVERED</v>
      </c>
    </row>
    <row r="317" customFormat="false" ht="14.25" hidden="false" customHeight="true" outlineLevel="0" collapsed="false">
      <c r="A317" s="242" t="n">
        <v>312</v>
      </c>
      <c r="B317" s="243" t="s">
        <v>174</v>
      </c>
      <c r="C317" s="243" t="s">
        <v>2921</v>
      </c>
      <c r="D317" s="243" t="s">
        <v>2922</v>
      </c>
      <c r="E317" s="243" t="s">
        <v>2923</v>
      </c>
      <c r="F317" s="243" t="s">
        <v>1808</v>
      </c>
      <c r="G317" s="243" t="n">
        <v>20</v>
      </c>
      <c r="H317" s="244" t="n">
        <v>2447</v>
      </c>
      <c r="I317" s="243" t="s">
        <v>176</v>
      </c>
      <c r="J317" s="244" t="n">
        <v>2447</v>
      </c>
      <c r="K317" s="243" t="s">
        <v>25</v>
      </c>
      <c r="L317" s="244" t="n">
        <v>2447</v>
      </c>
      <c r="M317" s="243" t="n">
        <v>7.2</v>
      </c>
      <c r="N317" s="246" t="n">
        <v>0</v>
      </c>
      <c r="O317" s="238" t="n">
        <f aca="false">'INPUT DEBT'!$M317-'INPUT DEBT'!$N317</f>
        <v>7.2</v>
      </c>
      <c r="P317" s="239" t="str">
        <f aca="false">IF(N317=0, "NOT DELIVERED", IF(O317=0, "CLEARED", "PARTIALLY DELIVERED"))</f>
        <v>NOT DELIVERED</v>
      </c>
    </row>
    <row r="318" customFormat="false" ht="14.25" hidden="false" customHeight="true" outlineLevel="0" collapsed="false">
      <c r="A318" s="237" t="n">
        <v>313</v>
      </c>
      <c r="B318" s="238" t="s">
        <v>174</v>
      </c>
      <c r="C318" s="238" t="s">
        <v>2924</v>
      </c>
      <c r="D318" s="238" t="s">
        <v>2925</v>
      </c>
      <c r="E318" s="238" t="s">
        <v>2926</v>
      </c>
      <c r="F318" s="238" t="s">
        <v>1808</v>
      </c>
      <c r="G318" s="238" t="n">
        <v>20</v>
      </c>
      <c r="H318" s="240" t="n">
        <v>3382</v>
      </c>
      <c r="I318" s="238" t="s">
        <v>176</v>
      </c>
      <c r="J318" s="240" t="n">
        <v>3382</v>
      </c>
      <c r="K318" s="238" t="s">
        <v>25</v>
      </c>
      <c r="L318" s="240" t="n">
        <v>3382</v>
      </c>
      <c r="M318" s="238" t="n">
        <v>9.95</v>
      </c>
      <c r="N318" s="241" t="n">
        <v>0</v>
      </c>
      <c r="O318" s="238" t="n">
        <f aca="false">'INPUT DEBT'!$M318-'INPUT DEBT'!$N318</f>
        <v>9.95</v>
      </c>
      <c r="P318" s="239" t="str">
        <f aca="false">IF(N318=0, "NOT DELIVERED", IF(O318=0, "CLEARED", "PARTIALLY DELIVERED"))</f>
        <v>NOT DELIVERED</v>
      </c>
    </row>
    <row r="319" customFormat="false" ht="14.25" hidden="false" customHeight="true" outlineLevel="0" collapsed="false">
      <c r="A319" s="242" t="n">
        <v>314</v>
      </c>
      <c r="B319" s="243" t="s">
        <v>174</v>
      </c>
      <c r="C319" s="243" t="s">
        <v>2927</v>
      </c>
      <c r="D319" s="243" t="s">
        <v>2928</v>
      </c>
      <c r="E319" s="243" t="s">
        <v>2929</v>
      </c>
      <c r="F319" s="243" t="s">
        <v>1808</v>
      </c>
      <c r="G319" s="243" t="n">
        <v>10</v>
      </c>
      <c r="H319" s="244" t="n">
        <v>3800</v>
      </c>
      <c r="I319" s="243" t="s">
        <v>176</v>
      </c>
      <c r="J319" s="244" t="n">
        <v>3800</v>
      </c>
      <c r="K319" s="243" t="s">
        <v>25</v>
      </c>
      <c r="L319" s="244" t="n">
        <v>3800</v>
      </c>
      <c r="M319" s="243" t="n">
        <v>11.18</v>
      </c>
      <c r="N319" s="246" t="n">
        <v>0</v>
      </c>
      <c r="O319" s="238" t="n">
        <f aca="false">'INPUT DEBT'!$M319-'INPUT DEBT'!$N319</f>
        <v>11.18</v>
      </c>
      <c r="P319" s="239" t="str">
        <f aca="false">IF(N319=0, "NOT DELIVERED", IF(O319=0, "CLEARED", "PARTIALLY DELIVERED"))</f>
        <v>NOT DELIVERED</v>
      </c>
    </row>
    <row r="320" customFormat="false" ht="14.25" hidden="false" customHeight="true" outlineLevel="0" collapsed="false">
      <c r="A320" s="237" t="n">
        <v>315</v>
      </c>
      <c r="B320" s="238" t="s">
        <v>174</v>
      </c>
      <c r="C320" s="238" t="s">
        <v>2930</v>
      </c>
      <c r="D320" s="238" t="s">
        <v>2931</v>
      </c>
      <c r="E320" s="238" t="s">
        <v>2932</v>
      </c>
      <c r="F320" s="238" t="s">
        <v>1808</v>
      </c>
      <c r="G320" s="238" t="n">
        <v>20</v>
      </c>
      <c r="H320" s="240" t="n">
        <v>5278</v>
      </c>
      <c r="I320" s="238" t="s">
        <v>176</v>
      </c>
      <c r="J320" s="240" t="n">
        <v>5278</v>
      </c>
      <c r="K320" s="240" t="n">
        <v>6987</v>
      </c>
      <c r="L320" s="240" t="n">
        <v>-1709</v>
      </c>
      <c r="M320" s="238" t="n">
        <v>15.52</v>
      </c>
      <c r="N320" s="241" t="n">
        <v>0</v>
      </c>
      <c r="O320" s="238" t="n">
        <f aca="false">'INPUT DEBT'!$M320-'INPUT DEBT'!$N320</f>
        <v>15.52</v>
      </c>
      <c r="P320" s="239" t="str">
        <f aca="false">IF(N320=0, "NOT DELIVERED", IF(O320=0, "CLEARED", "PARTIALLY DELIVERED"))</f>
        <v>NOT DELIVERED</v>
      </c>
    </row>
    <row r="321" customFormat="false" ht="14.25" hidden="false" customHeight="true" outlineLevel="0" collapsed="false">
      <c r="A321" s="242" t="n">
        <v>316</v>
      </c>
      <c r="B321" s="243" t="s">
        <v>174</v>
      </c>
      <c r="C321" s="243" t="s">
        <v>2933</v>
      </c>
      <c r="D321" s="243" t="s">
        <v>1655</v>
      </c>
      <c r="E321" s="243" t="s">
        <v>2934</v>
      </c>
      <c r="F321" s="243" t="s">
        <v>1808</v>
      </c>
      <c r="G321" s="243" t="n">
        <v>30</v>
      </c>
      <c r="H321" s="243" t="s">
        <v>2116</v>
      </c>
      <c r="I321" s="243" t="s">
        <v>176</v>
      </c>
      <c r="J321" s="243" t="s">
        <v>176</v>
      </c>
      <c r="K321" s="243" t="s">
        <v>25</v>
      </c>
      <c r="L321" s="243" t="s">
        <v>176</v>
      </c>
      <c r="M321" s="243" t="n">
        <v>0</v>
      </c>
      <c r="N321" s="246" t="n">
        <v>0</v>
      </c>
      <c r="O321" s="238" t="n">
        <f aca="false">'INPUT DEBT'!$M321-'INPUT DEBT'!$N321</f>
        <v>0</v>
      </c>
      <c r="P321" s="239" t="s">
        <v>2117</v>
      </c>
    </row>
    <row r="322" customFormat="false" ht="14.25" hidden="false" customHeight="true" outlineLevel="0" collapsed="false">
      <c r="A322" s="237" t="n">
        <v>317</v>
      </c>
      <c r="B322" s="238" t="s">
        <v>174</v>
      </c>
      <c r="C322" s="238" t="s">
        <v>2935</v>
      </c>
      <c r="D322" s="238" t="s">
        <v>2936</v>
      </c>
      <c r="E322" s="238" t="s">
        <v>2937</v>
      </c>
      <c r="F322" s="238" t="s">
        <v>1808</v>
      </c>
      <c r="G322" s="238" t="n">
        <v>10</v>
      </c>
      <c r="H322" s="240" t="n">
        <v>4824</v>
      </c>
      <c r="I322" s="240" t="n">
        <v>1320</v>
      </c>
      <c r="J322" s="240" t="n">
        <v>3504</v>
      </c>
      <c r="K322" s="238" t="s">
        <v>25</v>
      </c>
      <c r="L322" s="240" t="n">
        <v>3504</v>
      </c>
      <c r="M322" s="238" t="n">
        <v>14.19</v>
      </c>
      <c r="N322" s="241" t="n">
        <v>3.62</v>
      </c>
      <c r="O322" s="238" t="n">
        <f aca="false">'INPUT DEBT'!$M322-'INPUT DEBT'!$N322</f>
        <v>10.57</v>
      </c>
      <c r="P322" s="239" t="str">
        <f aca="false">IF(N322=0, "NOT DELIVERED", IF(O322=0, "CLEARED", "PARTIALLY DELIVERED"))</f>
        <v>PARTIALLY DELIVERED</v>
      </c>
    </row>
    <row r="323" customFormat="false" ht="14.25" hidden="false" customHeight="true" outlineLevel="0" collapsed="false">
      <c r="A323" s="242" t="n">
        <v>318</v>
      </c>
      <c r="B323" s="243" t="s">
        <v>174</v>
      </c>
      <c r="C323" s="243" t="s">
        <v>2938</v>
      </c>
      <c r="D323" s="243" t="s">
        <v>2939</v>
      </c>
      <c r="E323" s="243" t="s">
        <v>2940</v>
      </c>
      <c r="F323" s="243" t="s">
        <v>1808</v>
      </c>
      <c r="G323" s="243" t="n">
        <v>5</v>
      </c>
      <c r="H323" s="244" t="n">
        <v>1635</v>
      </c>
      <c r="I323" s="243" t="s">
        <v>176</v>
      </c>
      <c r="J323" s="244" t="n">
        <v>1635</v>
      </c>
      <c r="K323" s="243" t="s">
        <v>25</v>
      </c>
      <c r="L323" s="244" t="n">
        <v>1635</v>
      </c>
      <c r="M323" s="243" t="n">
        <v>4.81</v>
      </c>
      <c r="N323" s="246" t="n">
        <v>0</v>
      </c>
      <c r="O323" s="238" t="n">
        <f aca="false">'INPUT DEBT'!$M323-'INPUT DEBT'!$N323</f>
        <v>4.81</v>
      </c>
      <c r="P323" s="239" t="str">
        <f aca="false">IF(N323=0, "NOT DELIVERED", IF(O323=0, "CLEARED", "PARTIALLY DELIVERED"))</f>
        <v>NOT DELIVERED</v>
      </c>
    </row>
    <row r="324" customFormat="false" ht="14.25" hidden="false" customHeight="true" outlineLevel="0" collapsed="false">
      <c r="A324" s="237" t="n">
        <v>319</v>
      </c>
      <c r="B324" s="238" t="s">
        <v>174</v>
      </c>
      <c r="C324" s="238" t="s">
        <v>2941</v>
      </c>
      <c r="D324" s="238" t="s">
        <v>2942</v>
      </c>
      <c r="E324" s="238" t="s">
        <v>2943</v>
      </c>
      <c r="F324" s="238" t="s">
        <v>1808</v>
      </c>
      <c r="G324" s="238" t="n">
        <v>25</v>
      </c>
      <c r="H324" s="240" t="n">
        <v>6026</v>
      </c>
      <c r="I324" s="238" t="s">
        <v>176</v>
      </c>
      <c r="J324" s="240" t="n">
        <v>6026</v>
      </c>
      <c r="K324" s="240" t="n">
        <v>6261</v>
      </c>
      <c r="L324" s="238" t="n">
        <v>-236</v>
      </c>
      <c r="M324" s="238" t="n">
        <v>17.72</v>
      </c>
      <c r="N324" s="241" t="n">
        <v>3.55</v>
      </c>
      <c r="O324" s="238" t="n">
        <f aca="false">'INPUT DEBT'!$M324-'INPUT DEBT'!$N324</f>
        <v>14.17</v>
      </c>
      <c r="P324" s="239" t="str">
        <f aca="false">IF(N324=0, "NOT DELIVERED", IF(O324=0, "CLEARED", "PARTIALLY DELIVERED"))</f>
        <v>PARTIALLY DELIVERED</v>
      </c>
    </row>
    <row r="325" customFormat="false" ht="14.25" hidden="false" customHeight="true" outlineLevel="0" collapsed="false">
      <c r="A325" s="242" t="n">
        <v>320</v>
      </c>
      <c r="B325" s="243" t="s">
        <v>174</v>
      </c>
      <c r="C325" s="243" t="s">
        <v>2941</v>
      </c>
      <c r="D325" s="243" t="s">
        <v>2944</v>
      </c>
      <c r="E325" s="243" t="s">
        <v>2945</v>
      </c>
      <c r="F325" s="243" t="s">
        <v>1808</v>
      </c>
      <c r="G325" s="243" t="n">
        <v>25</v>
      </c>
      <c r="H325" s="244" t="n">
        <v>3127</v>
      </c>
      <c r="I325" s="243" t="s">
        <v>176</v>
      </c>
      <c r="J325" s="244" t="n">
        <v>3127</v>
      </c>
      <c r="K325" s="243" t="s">
        <v>25</v>
      </c>
      <c r="L325" s="244" t="n">
        <v>3127</v>
      </c>
      <c r="M325" s="243" t="n">
        <v>9.2</v>
      </c>
      <c r="N325" s="246" t="n">
        <v>0</v>
      </c>
      <c r="O325" s="238" t="n">
        <f aca="false">'INPUT DEBT'!$M325-'INPUT DEBT'!$N325</f>
        <v>9.2</v>
      </c>
      <c r="P325" s="239" t="str">
        <f aca="false">IF(N325=0, "NOT DELIVERED", IF(O325=0, "CLEARED", "PARTIALLY DELIVERED"))</f>
        <v>NOT DELIVERED</v>
      </c>
    </row>
    <row r="326" customFormat="false" ht="14.25" hidden="false" customHeight="true" outlineLevel="0" collapsed="false">
      <c r="A326" s="237" t="n">
        <v>321</v>
      </c>
      <c r="B326" s="238" t="s">
        <v>174</v>
      </c>
      <c r="C326" s="238" t="s">
        <v>2946</v>
      </c>
      <c r="D326" s="238" t="s">
        <v>2947</v>
      </c>
      <c r="E326" s="238" t="s">
        <v>2948</v>
      </c>
      <c r="F326" s="238" t="s">
        <v>1808</v>
      </c>
      <c r="G326" s="238" t="n">
        <v>28</v>
      </c>
      <c r="H326" s="240" t="n">
        <v>9250</v>
      </c>
      <c r="I326" s="238" t="s">
        <v>176</v>
      </c>
      <c r="J326" s="240" t="n">
        <v>9250</v>
      </c>
      <c r="K326" s="238" t="s">
        <v>25</v>
      </c>
      <c r="L326" s="240" t="n">
        <v>9250</v>
      </c>
      <c r="M326" s="238" t="n">
        <v>27.21</v>
      </c>
      <c r="N326" s="241" t="n">
        <v>0</v>
      </c>
      <c r="O326" s="238" t="n">
        <f aca="false">'INPUT DEBT'!$M326-'INPUT DEBT'!$N326</f>
        <v>27.21</v>
      </c>
      <c r="P326" s="239" t="str">
        <f aca="false">IF(N326=0, "NOT DELIVERED", IF(O326=0, "CLEARED", "PARTIALLY DELIVERED"))</f>
        <v>NOT DELIVERED</v>
      </c>
    </row>
    <row r="327" customFormat="false" ht="14.25" hidden="false" customHeight="true" outlineLevel="0" collapsed="false">
      <c r="A327" s="242" t="n">
        <v>322</v>
      </c>
      <c r="B327" s="243" t="s">
        <v>174</v>
      </c>
      <c r="C327" s="243" t="s">
        <v>2949</v>
      </c>
      <c r="D327" s="243" t="s">
        <v>2950</v>
      </c>
      <c r="E327" s="243" t="s">
        <v>2951</v>
      </c>
      <c r="F327" s="243" t="s">
        <v>1808</v>
      </c>
      <c r="G327" s="243" t="n">
        <v>30</v>
      </c>
      <c r="H327" s="244" t="n">
        <v>8926</v>
      </c>
      <c r="I327" s="244" t="n">
        <v>1440</v>
      </c>
      <c r="J327" s="244" t="n">
        <v>7486</v>
      </c>
      <c r="K327" s="243" t="s">
        <v>25</v>
      </c>
      <c r="L327" s="244" t="n">
        <v>7486</v>
      </c>
      <c r="M327" s="243" t="n">
        <v>26.25</v>
      </c>
      <c r="N327" s="246" t="n">
        <v>3.95</v>
      </c>
      <c r="O327" s="238" t="n">
        <f aca="false">'INPUT DEBT'!$M327-'INPUT DEBT'!$N327</f>
        <v>22.3</v>
      </c>
      <c r="P327" s="239" t="str">
        <f aca="false">IF(N327=0, "NOT DELIVERED", IF(O327=0, "CLEARED", "PARTIALLY DELIVERED"))</f>
        <v>PARTIALLY DELIVERED</v>
      </c>
    </row>
    <row r="328" customFormat="false" ht="14.25" hidden="false" customHeight="true" outlineLevel="0" collapsed="false">
      <c r="A328" s="237" t="n">
        <v>323</v>
      </c>
      <c r="B328" s="238" t="s">
        <v>174</v>
      </c>
      <c r="C328" s="238" t="s">
        <v>2952</v>
      </c>
      <c r="D328" s="238" t="s">
        <v>2953</v>
      </c>
      <c r="E328" s="238" t="s">
        <v>2954</v>
      </c>
      <c r="F328" s="238" t="s">
        <v>1808</v>
      </c>
      <c r="G328" s="238" t="n">
        <v>50</v>
      </c>
      <c r="H328" s="240" t="n">
        <v>9973</v>
      </c>
      <c r="I328" s="238" t="s">
        <v>176</v>
      </c>
      <c r="J328" s="240" t="n">
        <v>9973</v>
      </c>
      <c r="K328" s="238" t="s">
        <v>25</v>
      </c>
      <c r="L328" s="240" t="n">
        <v>9973</v>
      </c>
      <c r="M328" s="238" t="n">
        <v>29.33</v>
      </c>
      <c r="N328" s="241" t="n">
        <v>0</v>
      </c>
      <c r="O328" s="238" t="n">
        <f aca="false">'INPUT DEBT'!$M328-'INPUT DEBT'!$N328</f>
        <v>29.33</v>
      </c>
      <c r="P328" s="239" t="str">
        <f aca="false">IF(N328=0, "NOT DELIVERED", IF(O328=0, "CLEARED", "PARTIALLY DELIVERED"))</f>
        <v>NOT DELIVERED</v>
      </c>
    </row>
    <row r="329" customFormat="false" ht="14.25" hidden="false" customHeight="true" outlineLevel="0" collapsed="false">
      <c r="A329" s="242" t="n">
        <v>324</v>
      </c>
      <c r="B329" s="243" t="s">
        <v>174</v>
      </c>
      <c r="C329" s="243" t="s">
        <v>2295</v>
      </c>
      <c r="D329" s="243" t="s">
        <v>2955</v>
      </c>
      <c r="E329" s="243" t="s">
        <v>2956</v>
      </c>
      <c r="F329" s="243" t="s">
        <v>1808</v>
      </c>
      <c r="G329" s="243" t="n">
        <v>20</v>
      </c>
      <c r="H329" s="243" t="n">
        <v>546</v>
      </c>
      <c r="I329" s="243" t="s">
        <v>176</v>
      </c>
      <c r="J329" s="243" t="n">
        <v>546</v>
      </c>
      <c r="K329" s="243" t="s">
        <v>25</v>
      </c>
      <c r="L329" s="243" t="n">
        <v>546</v>
      </c>
      <c r="M329" s="243" t="n">
        <v>1.61</v>
      </c>
      <c r="N329" s="246" t="n">
        <v>0</v>
      </c>
      <c r="O329" s="238" t="n">
        <f aca="false">'INPUT DEBT'!$M329-'INPUT DEBT'!$N329</f>
        <v>1.61</v>
      </c>
      <c r="P329" s="239" t="str">
        <f aca="false">IF(N329=0, "NOT DELIVERED", IF(O329=0, "CLEARED", "PARTIALLY DELIVERED"))</f>
        <v>NOT DELIVERED</v>
      </c>
    </row>
    <row r="330" customFormat="false" ht="14.25" hidden="false" customHeight="true" outlineLevel="0" collapsed="false">
      <c r="A330" s="237" t="n">
        <v>325</v>
      </c>
      <c r="B330" s="238" t="s">
        <v>174</v>
      </c>
      <c r="C330" s="238" t="s">
        <v>2957</v>
      </c>
      <c r="D330" s="238" t="s">
        <v>2958</v>
      </c>
      <c r="E330" s="238" t="s">
        <v>2959</v>
      </c>
      <c r="F330" s="238" t="s">
        <v>1808</v>
      </c>
      <c r="G330" s="238" t="n">
        <v>30</v>
      </c>
      <c r="H330" s="240" t="n">
        <v>3194</v>
      </c>
      <c r="I330" s="238" t="s">
        <v>176</v>
      </c>
      <c r="J330" s="240" t="n">
        <v>3194</v>
      </c>
      <c r="K330" s="238" t="s">
        <v>25</v>
      </c>
      <c r="L330" s="240" t="n">
        <v>3194</v>
      </c>
      <c r="M330" s="238" t="n">
        <v>9.4</v>
      </c>
      <c r="N330" s="241" t="n">
        <v>0</v>
      </c>
      <c r="O330" s="238" t="n">
        <f aca="false">'INPUT DEBT'!$M330-'INPUT DEBT'!$N330</f>
        <v>9.4</v>
      </c>
      <c r="P330" s="239" t="str">
        <f aca="false">IF(N330=0, "NOT DELIVERED", IF(O330=0, "CLEARED", "PARTIALLY DELIVERED"))</f>
        <v>NOT DELIVERED</v>
      </c>
    </row>
    <row r="331" customFormat="false" ht="14.25" hidden="false" customHeight="true" outlineLevel="0" collapsed="false">
      <c r="A331" s="242" t="n">
        <v>326</v>
      </c>
      <c r="B331" s="243" t="s">
        <v>174</v>
      </c>
      <c r="C331" s="243" t="s">
        <v>2960</v>
      </c>
      <c r="D331" s="243" t="s">
        <v>2961</v>
      </c>
      <c r="E331" s="243" t="s">
        <v>2962</v>
      </c>
      <c r="F331" s="243" t="s">
        <v>1808</v>
      </c>
      <c r="G331" s="243" t="n">
        <v>20</v>
      </c>
      <c r="H331" s="244" t="n">
        <v>3238</v>
      </c>
      <c r="I331" s="244" t="n">
        <v>4377</v>
      </c>
      <c r="J331" s="244" t="n">
        <v>-1139</v>
      </c>
      <c r="K331" s="243" t="s">
        <v>25</v>
      </c>
      <c r="L331" s="244" t="n">
        <v>-1139</v>
      </c>
      <c r="M331" s="243" t="n">
        <v>9.52</v>
      </c>
      <c r="N331" s="246" t="n">
        <v>12</v>
      </c>
      <c r="O331" s="238" t="n">
        <f aca="false">'INPUT DEBT'!$M331-'INPUT DEBT'!$N331</f>
        <v>-2.48</v>
      </c>
      <c r="P331" s="239" t="s">
        <v>2117</v>
      </c>
    </row>
    <row r="332" customFormat="false" ht="14.25" hidden="false" customHeight="true" outlineLevel="0" collapsed="false">
      <c r="A332" s="237" t="n">
        <v>327</v>
      </c>
      <c r="B332" s="238" t="s">
        <v>174</v>
      </c>
      <c r="C332" s="238" t="s">
        <v>2963</v>
      </c>
      <c r="D332" s="238" t="s">
        <v>2964</v>
      </c>
      <c r="E332" s="238" t="s">
        <v>2965</v>
      </c>
      <c r="F332" s="238" t="s">
        <v>1808</v>
      </c>
      <c r="G332" s="238" t="n">
        <v>10</v>
      </c>
      <c r="H332" s="240" t="n">
        <v>1976</v>
      </c>
      <c r="I332" s="238" t="s">
        <v>176</v>
      </c>
      <c r="J332" s="240" t="n">
        <v>1976</v>
      </c>
      <c r="K332" s="238" t="s">
        <v>25</v>
      </c>
      <c r="L332" s="240" t="n">
        <v>1976</v>
      </c>
      <c r="M332" s="238" t="n">
        <v>5.81</v>
      </c>
      <c r="N332" s="241" t="n">
        <v>2.09</v>
      </c>
      <c r="O332" s="238" t="n">
        <f aca="false">'INPUT DEBT'!$M332-'INPUT DEBT'!$N332</f>
        <v>3.72</v>
      </c>
      <c r="P332" s="239" t="str">
        <f aca="false">IF(N332=0, "NOT DELIVERED", IF(O332=0, "CLEARED", "PARTIALLY DELIVERED"))</f>
        <v>PARTIALLY DELIVERED</v>
      </c>
    </row>
    <row r="333" customFormat="false" ht="14.25" hidden="false" customHeight="true" outlineLevel="0" collapsed="false">
      <c r="A333" s="242" t="n">
        <v>328</v>
      </c>
      <c r="B333" s="243" t="s">
        <v>174</v>
      </c>
      <c r="C333" s="243" t="s">
        <v>2966</v>
      </c>
      <c r="D333" s="243" t="s">
        <v>2967</v>
      </c>
      <c r="E333" s="243" t="s">
        <v>2968</v>
      </c>
      <c r="F333" s="243" t="s">
        <v>1808</v>
      </c>
      <c r="G333" s="243" t="n">
        <v>30</v>
      </c>
      <c r="H333" s="244" t="n">
        <v>9398</v>
      </c>
      <c r="I333" s="243" t="s">
        <v>176</v>
      </c>
      <c r="J333" s="244" t="n">
        <v>9398</v>
      </c>
      <c r="K333" s="243" t="s">
        <v>25</v>
      </c>
      <c r="L333" s="244" t="n">
        <v>9398</v>
      </c>
      <c r="M333" s="243" t="n">
        <v>27.64</v>
      </c>
      <c r="N333" s="246" t="n">
        <v>0</v>
      </c>
      <c r="O333" s="238" t="n">
        <f aca="false">'INPUT DEBT'!$M333-'INPUT DEBT'!$N333</f>
        <v>27.64</v>
      </c>
      <c r="P333" s="239" t="str">
        <f aca="false">IF(N333=0, "NOT DELIVERED", IF(O333=0, "CLEARED", "PARTIALLY DELIVERED"))</f>
        <v>NOT DELIVERED</v>
      </c>
    </row>
    <row r="334" customFormat="false" ht="14.25" hidden="false" customHeight="true" outlineLevel="0" collapsed="false">
      <c r="A334" s="237" t="n">
        <v>329</v>
      </c>
      <c r="B334" s="238" t="s">
        <v>174</v>
      </c>
      <c r="C334" s="238" t="s">
        <v>2969</v>
      </c>
      <c r="D334" s="238" t="s">
        <v>2970</v>
      </c>
      <c r="E334" s="238" t="s">
        <v>2971</v>
      </c>
      <c r="F334" s="238" t="s">
        <v>1808</v>
      </c>
      <c r="G334" s="238" t="n">
        <v>20</v>
      </c>
      <c r="H334" s="240" t="n">
        <v>1634</v>
      </c>
      <c r="I334" s="238" t="s">
        <v>176</v>
      </c>
      <c r="J334" s="240" t="n">
        <v>1634</v>
      </c>
      <c r="K334" s="238" t="s">
        <v>25</v>
      </c>
      <c r="L334" s="240" t="n">
        <v>1634</v>
      </c>
      <c r="M334" s="238" t="n">
        <v>4.8</v>
      </c>
      <c r="N334" s="241" t="n">
        <v>0</v>
      </c>
      <c r="O334" s="238" t="n">
        <f aca="false">'INPUT DEBT'!$M334-'INPUT DEBT'!$N334</f>
        <v>4.8</v>
      </c>
      <c r="P334" s="239" t="str">
        <f aca="false">IF(N334=0, "NOT DELIVERED", IF(O334=0, "CLEARED", "PARTIALLY DELIVERED"))</f>
        <v>NOT DELIVERED</v>
      </c>
    </row>
    <row r="335" customFormat="false" ht="14.25" hidden="false" customHeight="true" outlineLevel="0" collapsed="false">
      <c r="A335" s="242" t="n">
        <v>330</v>
      </c>
      <c r="B335" s="243" t="s">
        <v>174</v>
      </c>
      <c r="C335" s="243" t="s">
        <v>2972</v>
      </c>
      <c r="D335" s="243" t="s">
        <v>1656</v>
      </c>
      <c r="E335" s="243" t="s">
        <v>2973</v>
      </c>
      <c r="F335" s="243" t="s">
        <v>1808</v>
      </c>
      <c r="G335" s="243" t="n">
        <v>50</v>
      </c>
      <c r="H335" s="243" t="s">
        <v>2116</v>
      </c>
      <c r="I335" s="243" t="s">
        <v>176</v>
      </c>
      <c r="J335" s="243" t="s">
        <v>176</v>
      </c>
      <c r="K335" s="243" t="s">
        <v>25</v>
      </c>
      <c r="L335" s="243" t="s">
        <v>176</v>
      </c>
      <c r="M335" s="243" t="n">
        <v>0</v>
      </c>
      <c r="N335" s="246" t="n">
        <v>0</v>
      </c>
      <c r="O335" s="238" t="n">
        <f aca="false">'INPUT DEBT'!$M335-'INPUT DEBT'!$N335</f>
        <v>0</v>
      </c>
      <c r="P335" s="239" t="s">
        <v>2117</v>
      </c>
    </row>
    <row r="336" customFormat="false" ht="14.25" hidden="false" customHeight="true" outlineLevel="0" collapsed="false">
      <c r="A336" s="237" t="n">
        <v>331</v>
      </c>
      <c r="B336" s="238" t="s">
        <v>174</v>
      </c>
      <c r="C336" s="238" t="s">
        <v>2974</v>
      </c>
      <c r="D336" s="238" t="s">
        <v>2975</v>
      </c>
      <c r="E336" s="238" t="s">
        <v>2976</v>
      </c>
      <c r="F336" s="238" t="s">
        <v>1808</v>
      </c>
      <c r="G336" s="238" t="n">
        <v>20</v>
      </c>
      <c r="H336" s="240" t="n">
        <v>4723</v>
      </c>
      <c r="I336" s="238" t="s">
        <v>176</v>
      </c>
      <c r="J336" s="240" t="n">
        <v>4723</v>
      </c>
      <c r="K336" s="238" t="s">
        <v>25</v>
      </c>
      <c r="L336" s="240" t="n">
        <v>4723</v>
      </c>
      <c r="M336" s="238" t="n">
        <v>13.89</v>
      </c>
      <c r="N336" s="241" t="n">
        <v>0</v>
      </c>
      <c r="O336" s="238" t="n">
        <f aca="false">'INPUT DEBT'!$M336-'INPUT DEBT'!$N336</f>
        <v>13.89</v>
      </c>
      <c r="P336" s="239" t="str">
        <f aca="false">IF(N336=0, "NOT DELIVERED", IF(O336=0, "CLEARED", "PARTIALLY DELIVERED"))</f>
        <v>NOT DELIVERED</v>
      </c>
    </row>
    <row r="337" customFormat="false" ht="14.25" hidden="false" customHeight="true" outlineLevel="0" collapsed="false">
      <c r="A337" s="242" t="n">
        <v>332</v>
      </c>
      <c r="B337" s="243" t="s">
        <v>174</v>
      </c>
      <c r="C337" s="243" t="s">
        <v>2977</v>
      </c>
      <c r="D337" s="243" t="s">
        <v>2978</v>
      </c>
      <c r="E337" s="243" t="s">
        <v>2979</v>
      </c>
      <c r="F337" s="243" t="s">
        <v>1808</v>
      </c>
      <c r="G337" s="243" t="n">
        <v>20</v>
      </c>
      <c r="H337" s="244" t="n">
        <v>1871</v>
      </c>
      <c r="I337" s="243" t="s">
        <v>176</v>
      </c>
      <c r="J337" s="244" t="n">
        <v>1871</v>
      </c>
      <c r="K337" s="243" t="s">
        <v>25</v>
      </c>
      <c r="L337" s="244" t="n">
        <v>1871</v>
      </c>
      <c r="M337" s="243" t="n">
        <v>5.5</v>
      </c>
      <c r="N337" s="246" t="n">
        <v>0</v>
      </c>
      <c r="O337" s="238" t="n">
        <f aca="false">'INPUT DEBT'!$M337-'INPUT DEBT'!$N337</f>
        <v>5.5</v>
      </c>
      <c r="P337" s="239" t="str">
        <f aca="false">IF(N337=0, "NOT DELIVERED", IF(O337=0, "CLEARED", "PARTIALLY DELIVERED"))</f>
        <v>NOT DELIVERED</v>
      </c>
    </row>
    <row r="338" customFormat="false" ht="14.25" hidden="false" customHeight="true" outlineLevel="0" collapsed="false">
      <c r="A338" s="237" t="n">
        <v>333</v>
      </c>
      <c r="B338" s="238" t="s">
        <v>174</v>
      </c>
      <c r="C338" s="238" t="s">
        <v>2980</v>
      </c>
      <c r="D338" s="238" t="s">
        <v>2981</v>
      </c>
      <c r="E338" s="238" t="s">
        <v>2982</v>
      </c>
      <c r="F338" s="238" t="s">
        <v>1808</v>
      </c>
      <c r="G338" s="238" t="n">
        <v>30</v>
      </c>
      <c r="H338" s="240" t="n">
        <v>6168</v>
      </c>
      <c r="I338" s="238" t="s">
        <v>176</v>
      </c>
      <c r="J338" s="240" t="n">
        <v>6168</v>
      </c>
      <c r="K338" s="238" t="s">
        <v>25</v>
      </c>
      <c r="L338" s="240" t="n">
        <v>6168</v>
      </c>
      <c r="M338" s="238" t="n">
        <v>18.14</v>
      </c>
      <c r="N338" s="241" t="n">
        <v>0</v>
      </c>
      <c r="O338" s="238" t="n">
        <f aca="false">'INPUT DEBT'!$M338-'INPUT DEBT'!$N338</f>
        <v>18.14</v>
      </c>
      <c r="P338" s="239" t="str">
        <f aca="false">IF(N338=0, "NOT DELIVERED", IF(O338=0, "CLEARED", "PARTIALLY DELIVERED"))</f>
        <v>NOT DELIVERED</v>
      </c>
    </row>
    <row r="339" customFormat="false" ht="14.25" hidden="false" customHeight="true" outlineLevel="0" collapsed="false">
      <c r="A339" s="242" t="n">
        <v>334</v>
      </c>
      <c r="B339" s="243" t="s">
        <v>174</v>
      </c>
      <c r="C339" s="243" t="s">
        <v>2983</v>
      </c>
      <c r="D339" s="243" t="s">
        <v>1657</v>
      </c>
      <c r="E339" s="243" t="s">
        <v>2984</v>
      </c>
      <c r="F339" s="243" t="s">
        <v>1808</v>
      </c>
      <c r="G339" s="243" t="n">
        <v>6</v>
      </c>
      <c r="H339" s="243" t="s">
        <v>2116</v>
      </c>
      <c r="I339" s="243" t="s">
        <v>176</v>
      </c>
      <c r="J339" s="243" t="s">
        <v>176</v>
      </c>
      <c r="K339" s="243" t="s">
        <v>25</v>
      </c>
      <c r="L339" s="243" t="s">
        <v>176</v>
      </c>
      <c r="M339" s="243" t="n">
        <v>0</v>
      </c>
      <c r="N339" s="246" t="n">
        <v>0</v>
      </c>
      <c r="O339" s="238" t="n">
        <f aca="false">'INPUT DEBT'!$M339-'INPUT DEBT'!$N339</f>
        <v>0</v>
      </c>
      <c r="P339" s="239" t="s">
        <v>2117</v>
      </c>
    </row>
    <row r="340" customFormat="false" ht="14.25" hidden="false" customHeight="true" outlineLevel="0" collapsed="false">
      <c r="A340" s="237" t="n">
        <v>335</v>
      </c>
      <c r="B340" s="238" t="s">
        <v>174</v>
      </c>
      <c r="C340" s="238" t="s">
        <v>2985</v>
      </c>
      <c r="D340" s="238" t="s">
        <v>2986</v>
      </c>
      <c r="E340" s="238" t="s">
        <v>2987</v>
      </c>
      <c r="F340" s="238" t="s">
        <v>1808</v>
      </c>
      <c r="G340" s="238" t="n">
        <v>100</v>
      </c>
      <c r="H340" s="240" t="n">
        <v>12264</v>
      </c>
      <c r="I340" s="238" t="s">
        <v>176</v>
      </c>
      <c r="J340" s="240" t="n">
        <v>12264</v>
      </c>
      <c r="K340" s="238" t="s">
        <v>25</v>
      </c>
      <c r="L340" s="240" t="n">
        <v>12264</v>
      </c>
      <c r="M340" s="238" t="n">
        <v>36.07</v>
      </c>
      <c r="N340" s="241" t="n">
        <v>0</v>
      </c>
      <c r="O340" s="238" t="n">
        <f aca="false">'INPUT DEBT'!$M340-'INPUT DEBT'!$N340</f>
        <v>36.07</v>
      </c>
      <c r="P340" s="239" t="str">
        <f aca="false">IF(N340=0, "NOT DELIVERED", IF(O340=0, "CLEARED", "PARTIALLY DELIVERED"))</f>
        <v>NOT DELIVERED</v>
      </c>
    </row>
    <row r="341" customFormat="false" ht="14.25" hidden="false" customHeight="true" outlineLevel="0" collapsed="false">
      <c r="A341" s="242" t="n">
        <v>336</v>
      </c>
      <c r="B341" s="243" t="s">
        <v>174</v>
      </c>
      <c r="C341" s="243" t="s">
        <v>2988</v>
      </c>
      <c r="D341" s="243" t="s">
        <v>2989</v>
      </c>
      <c r="E341" s="243" t="s">
        <v>2990</v>
      </c>
      <c r="F341" s="243" t="s">
        <v>1808</v>
      </c>
      <c r="G341" s="243" t="n">
        <v>20</v>
      </c>
      <c r="H341" s="244" t="n">
        <v>5799</v>
      </c>
      <c r="I341" s="243" t="s">
        <v>176</v>
      </c>
      <c r="J341" s="244" t="n">
        <v>5799</v>
      </c>
      <c r="K341" s="243" t="s">
        <v>25</v>
      </c>
      <c r="L341" s="244" t="n">
        <v>5799</v>
      </c>
      <c r="M341" s="243" t="n">
        <v>17.06</v>
      </c>
      <c r="N341" s="246" t="n">
        <v>0</v>
      </c>
      <c r="O341" s="238" t="n">
        <f aca="false">'INPUT DEBT'!$M341-'INPUT DEBT'!$N341</f>
        <v>17.06</v>
      </c>
      <c r="P341" s="239" t="str">
        <f aca="false">IF(N341=0, "NOT DELIVERED", IF(O341=0, "CLEARED", "PARTIALLY DELIVERED"))</f>
        <v>NOT DELIVERED</v>
      </c>
    </row>
    <row r="342" customFormat="false" ht="14.25" hidden="false" customHeight="true" outlineLevel="0" collapsed="false">
      <c r="A342" s="237" t="n">
        <v>337</v>
      </c>
      <c r="B342" s="238" t="s">
        <v>174</v>
      </c>
      <c r="C342" s="238" t="s">
        <v>2991</v>
      </c>
      <c r="D342" s="238" t="s">
        <v>2992</v>
      </c>
      <c r="E342" s="238" t="s">
        <v>2993</v>
      </c>
      <c r="F342" s="238" t="s">
        <v>1808</v>
      </c>
      <c r="G342" s="238" t="n">
        <v>20</v>
      </c>
      <c r="H342" s="240" t="n">
        <v>6581</v>
      </c>
      <c r="I342" s="238" t="s">
        <v>176</v>
      </c>
      <c r="J342" s="240" t="n">
        <v>6581</v>
      </c>
      <c r="K342" s="238" t="s">
        <v>25</v>
      </c>
      <c r="L342" s="240" t="n">
        <v>6581</v>
      </c>
      <c r="M342" s="238" t="n">
        <v>19.36</v>
      </c>
      <c r="N342" s="241" t="n">
        <v>0</v>
      </c>
      <c r="O342" s="238" t="n">
        <f aca="false">'INPUT DEBT'!$M342-'INPUT DEBT'!$N342</f>
        <v>19.36</v>
      </c>
      <c r="P342" s="239" t="str">
        <f aca="false">IF(N342=0, "NOT DELIVERED", IF(O342=0, "CLEARED", "PARTIALLY DELIVERED"))</f>
        <v>NOT DELIVERED</v>
      </c>
    </row>
    <row r="343" customFormat="false" ht="14.25" hidden="false" customHeight="true" outlineLevel="0" collapsed="false">
      <c r="A343" s="242" t="n">
        <v>338</v>
      </c>
      <c r="B343" s="243" t="s">
        <v>174</v>
      </c>
      <c r="C343" s="243" t="s">
        <v>2994</v>
      </c>
      <c r="D343" s="243" t="s">
        <v>2995</v>
      </c>
      <c r="E343" s="243" t="s">
        <v>2996</v>
      </c>
      <c r="F343" s="243" t="s">
        <v>1808</v>
      </c>
      <c r="G343" s="243" t="n">
        <v>20</v>
      </c>
      <c r="H343" s="244" t="n">
        <v>5383</v>
      </c>
      <c r="I343" s="243" t="s">
        <v>176</v>
      </c>
      <c r="J343" s="244" t="n">
        <v>5383</v>
      </c>
      <c r="K343" s="243" t="s">
        <v>25</v>
      </c>
      <c r="L343" s="244" t="n">
        <v>5383</v>
      </c>
      <c r="M343" s="243" t="n">
        <v>15.83</v>
      </c>
      <c r="N343" s="246" t="n">
        <v>0</v>
      </c>
      <c r="O343" s="238" t="n">
        <f aca="false">'INPUT DEBT'!$M343-'INPUT DEBT'!$N343</f>
        <v>15.83</v>
      </c>
      <c r="P343" s="239" t="str">
        <f aca="false">IF(N343=0, "NOT DELIVERED", IF(O343=0, "CLEARED", "PARTIALLY DELIVERED"))</f>
        <v>NOT DELIVERED</v>
      </c>
    </row>
    <row r="344" customFormat="false" ht="14.25" hidden="false" customHeight="true" outlineLevel="0" collapsed="false">
      <c r="A344" s="237" t="n">
        <v>339</v>
      </c>
      <c r="B344" s="238" t="s">
        <v>174</v>
      </c>
      <c r="C344" s="238" t="s">
        <v>2997</v>
      </c>
      <c r="D344" s="238" t="s">
        <v>2998</v>
      </c>
      <c r="E344" s="238" t="s">
        <v>2999</v>
      </c>
      <c r="F344" s="238" t="s">
        <v>1808</v>
      </c>
      <c r="G344" s="238" t="n">
        <v>6</v>
      </c>
      <c r="H344" s="238" t="n">
        <v>757</v>
      </c>
      <c r="I344" s="238" t="s">
        <v>176</v>
      </c>
      <c r="J344" s="238" t="n">
        <v>757</v>
      </c>
      <c r="K344" s="238" t="s">
        <v>25</v>
      </c>
      <c r="L344" s="238" t="n">
        <v>757</v>
      </c>
      <c r="M344" s="238" t="n">
        <v>2.23</v>
      </c>
      <c r="N344" s="241" t="n">
        <v>0</v>
      </c>
      <c r="O344" s="238" t="n">
        <f aca="false">'INPUT DEBT'!$M344-'INPUT DEBT'!$N344</f>
        <v>2.23</v>
      </c>
      <c r="P344" s="239" t="str">
        <f aca="false">IF(N344=0, "NOT DELIVERED", IF(O344=0, "CLEARED", "PARTIALLY DELIVERED"))</f>
        <v>NOT DELIVERED</v>
      </c>
    </row>
    <row r="345" customFormat="false" ht="14.25" hidden="false" customHeight="true" outlineLevel="0" collapsed="false">
      <c r="A345" s="242" t="n">
        <v>340</v>
      </c>
      <c r="B345" s="243" t="s">
        <v>174</v>
      </c>
      <c r="C345" s="243" t="s">
        <v>3000</v>
      </c>
      <c r="D345" s="243" t="s">
        <v>3001</v>
      </c>
      <c r="E345" s="243" t="s">
        <v>3002</v>
      </c>
      <c r="F345" s="243" t="s">
        <v>1808</v>
      </c>
      <c r="G345" s="243" t="n">
        <v>20</v>
      </c>
      <c r="H345" s="244" t="n">
        <v>4023</v>
      </c>
      <c r="I345" s="243" t="n">
        <v>387</v>
      </c>
      <c r="J345" s="244" t="n">
        <v>3636</v>
      </c>
      <c r="K345" s="243" t="s">
        <v>25</v>
      </c>
      <c r="L345" s="244" t="n">
        <v>3636</v>
      </c>
      <c r="M345" s="243" t="n">
        <v>11.83</v>
      </c>
      <c r="N345" s="246" t="n">
        <v>1.06</v>
      </c>
      <c r="O345" s="238" t="n">
        <f aca="false">'INPUT DEBT'!$M345-'INPUT DEBT'!$N345</f>
        <v>10.77</v>
      </c>
      <c r="P345" s="239" t="str">
        <f aca="false">IF(N345=0, "NOT DELIVERED", IF(O345=0, "CLEARED", "PARTIALLY DELIVERED"))</f>
        <v>PARTIALLY DELIVERED</v>
      </c>
    </row>
    <row r="346" customFormat="false" ht="14.25" hidden="false" customHeight="true" outlineLevel="0" collapsed="false">
      <c r="A346" s="237" t="n">
        <v>341</v>
      </c>
      <c r="B346" s="238" t="s">
        <v>174</v>
      </c>
      <c r="C346" s="238" t="s">
        <v>3003</v>
      </c>
      <c r="D346" s="238" t="s">
        <v>3004</v>
      </c>
      <c r="E346" s="238" t="s">
        <v>3005</v>
      </c>
      <c r="F346" s="238" t="s">
        <v>1808</v>
      </c>
      <c r="G346" s="238" t="n">
        <v>6</v>
      </c>
      <c r="H346" s="238" t="n">
        <v>462</v>
      </c>
      <c r="I346" s="238" t="s">
        <v>176</v>
      </c>
      <c r="J346" s="238" t="n">
        <v>462</v>
      </c>
      <c r="K346" s="238" t="s">
        <v>25</v>
      </c>
      <c r="L346" s="238" t="n">
        <v>462</v>
      </c>
      <c r="M346" s="238" t="n">
        <v>1.36</v>
      </c>
      <c r="N346" s="241" t="n">
        <v>0</v>
      </c>
      <c r="O346" s="238" t="n">
        <f aca="false">'INPUT DEBT'!$M346-'INPUT DEBT'!$N346</f>
        <v>1.36</v>
      </c>
      <c r="P346" s="239" t="str">
        <f aca="false">IF(N346=0, "NOT DELIVERED", IF(O346=0, "CLEARED", "PARTIALLY DELIVERED"))</f>
        <v>NOT DELIVERED</v>
      </c>
    </row>
    <row r="347" customFormat="false" ht="14.25" hidden="false" customHeight="true" outlineLevel="0" collapsed="false">
      <c r="A347" s="242" t="n">
        <v>342</v>
      </c>
      <c r="B347" s="243" t="s">
        <v>174</v>
      </c>
      <c r="C347" s="243" t="s">
        <v>3006</v>
      </c>
      <c r="D347" s="243" t="s">
        <v>3007</v>
      </c>
      <c r="E347" s="243" t="s">
        <v>3008</v>
      </c>
      <c r="F347" s="243" t="s">
        <v>1808</v>
      </c>
      <c r="G347" s="243" t="n">
        <v>30</v>
      </c>
      <c r="H347" s="244" t="n">
        <v>5068</v>
      </c>
      <c r="I347" s="243" t="s">
        <v>176</v>
      </c>
      <c r="J347" s="244" t="n">
        <v>5068</v>
      </c>
      <c r="K347" s="243" t="s">
        <v>25</v>
      </c>
      <c r="L347" s="244" t="n">
        <v>5068</v>
      </c>
      <c r="M347" s="243" t="n">
        <v>14.91</v>
      </c>
      <c r="N347" s="246" t="n">
        <v>0</v>
      </c>
      <c r="O347" s="238" t="n">
        <f aca="false">'INPUT DEBT'!$M347-'INPUT DEBT'!$N347</f>
        <v>14.91</v>
      </c>
      <c r="P347" s="239" t="str">
        <f aca="false">IF(N347=0, "NOT DELIVERED", IF(O347=0, "CLEARED", "PARTIALLY DELIVERED"))</f>
        <v>NOT DELIVERED</v>
      </c>
    </row>
    <row r="348" customFormat="false" ht="14.25" hidden="false" customHeight="true" outlineLevel="0" collapsed="false">
      <c r="A348" s="237" t="n">
        <v>343</v>
      </c>
      <c r="B348" s="238" t="s">
        <v>174</v>
      </c>
      <c r="C348" s="238" t="s">
        <v>3009</v>
      </c>
      <c r="D348" s="238" t="s">
        <v>3010</v>
      </c>
      <c r="E348" s="238" t="s">
        <v>3011</v>
      </c>
      <c r="F348" s="238" t="s">
        <v>1808</v>
      </c>
      <c r="G348" s="238" t="n">
        <v>20</v>
      </c>
      <c r="H348" s="240" t="n">
        <v>6045</v>
      </c>
      <c r="I348" s="238" t="s">
        <v>176</v>
      </c>
      <c r="J348" s="240" t="n">
        <v>6045</v>
      </c>
      <c r="K348" s="238" t="s">
        <v>25</v>
      </c>
      <c r="L348" s="240" t="n">
        <v>6045</v>
      </c>
      <c r="M348" s="238" t="n">
        <v>17.78</v>
      </c>
      <c r="N348" s="241" t="n">
        <v>0</v>
      </c>
      <c r="O348" s="238" t="n">
        <f aca="false">'INPUT DEBT'!$M348-'INPUT DEBT'!$N348</f>
        <v>17.78</v>
      </c>
      <c r="P348" s="239" t="str">
        <f aca="false">IF(N348=0, "NOT DELIVERED", IF(O348=0, "CLEARED", "PARTIALLY DELIVERED"))</f>
        <v>NOT DELIVERED</v>
      </c>
    </row>
    <row r="349" customFormat="false" ht="14.25" hidden="false" customHeight="true" outlineLevel="0" collapsed="false">
      <c r="A349" s="242" t="n">
        <v>344</v>
      </c>
      <c r="B349" s="243" t="s">
        <v>174</v>
      </c>
      <c r="C349" s="18" t="s">
        <v>170</v>
      </c>
      <c r="D349" s="243" t="s">
        <v>3012</v>
      </c>
      <c r="E349" s="243" t="s">
        <v>3013</v>
      </c>
      <c r="F349" s="243" t="s">
        <v>1808</v>
      </c>
      <c r="G349" s="243" t="n">
        <v>20</v>
      </c>
      <c r="H349" s="244" t="n">
        <v>5345</v>
      </c>
      <c r="I349" s="243" t="s">
        <v>176</v>
      </c>
      <c r="J349" s="244" t="n">
        <v>5345</v>
      </c>
      <c r="K349" s="243" t="s">
        <v>25</v>
      </c>
      <c r="L349" s="244" t="n">
        <v>5345</v>
      </c>
      <c r="M349" s="243" t="n">
        <v>15.72</v>
      </c>
      <c r="N349" s="246" t="n">
        <v>0</v>
      </c>
      <c r="O349" s="238" t="n">
        <f aca="false">'INPUT DEBT'!$M349-'INPUT DEBT'!$N349</f>
        <v>15.72</v>
      </c>
      <c r="P349" s="239" t="str">
        <f aca="false">IF(N349=0, "NOT DELIVERED", IF(O349=0, "CLEARED", "PARTIALLY DELIVERED"))</f>
        <v>NOT DELIVERED</v>
      </c>
    </row>
    <row r="350" customFormat="false" ht="14.25" hidden="false" customHeight="true" outlineLevel="0" collapsed="false">
      <c r="A350" s="237" t="n">
        <v>345</v>
      </c>
      <c r="B350" s="238" t="s">
        <v>170</v>
      </c>
      <c r="C350" s="238" t="s">
        <v>170</v>
      </c>
      <c r="D350" s="238" t="s">
        <v>3014</v>
      </c>
      <c r="E350" s="238" t="s">
        <v>3015</v>
      </c>
      <c r="F350" s="238" t="s">
        <v>1808</v>
      </c>
      <c r="G350" s="238" t="n">
        <v>20</v>
      </c>
      <c r="H350" s="240" t="n">
        <v>2389</v>
      </c>
      <c r="I350" s="238" t="s">
        <v>176</v>
      </c>
      <c r="J350" s="240" t="n">
        <v>2389</v>
      </c>
      <c r="K350" s="238" t="s">
        <v>25</v>
      </c>
      <c r="L350" s="240" t="n">
        <v>2389</v>
      </c>
      <c r="M350" s="238" t="n">
        <v>7.03</v>
      </c>
      <c r="N350" s="241" t="n">
        <v>0</v>
      </c>
      <c r="O350" s="238" t="n">
        <f aca="false">'INPUT DEBT'!$M350-'INPUT DEBT'!$N350</f>
        <v>7.03</v>
      </c>
      <c r="P350" s="239" t="str">
        <f aca="false">IF(N350=0, "NOT DELIVERED", IF(O350=0, "CLEARED", "PARTIALLY DELIVERED"))</f>
        <v>NOT DELIVERED</v>
      </c>
    </row>
    <row r="351" customFormat="false" ht="14.25" hidden="false" customHeight="true" outlineLevel="0" collapsed="false">
      <c r="A351" s="242" t="n">
        <v>346</v>
      </c>
      <c r="B351" s="243" t="s">
        <v>174</v>
      </c>
      <c r="C351" s="18" t="s">
        <v>170</v>
      </c>
      <c r="D351" s="243" t="s">
        <v>3016</v>
      </c>
      <c r="E351" s="243" t="s">
        <v>3017</v>
      </c>
      <c r="F351" s="243" t="s">
        <v>1808</v>
      </c>
      <c r="G351" s="243" t="n">
        <v>20</v>
      </c>
      <c r="H351" s="244" t="n">
        <v>4942</v>
      </c>
      <c r="I351" s="243" t="s">
        <v>176</v>
      </c>
      <c r="J351" s="244" t="n">
        <v>4942</v>
      </c>
      <c r="K351" s="243" t="s">
        <v>25</v>
      </c>
      <c r="L351" s="244" t="n">
        <v>4942</v>
      </c>
      <c r="M351" s="243" t="n">
        <v>14.53</v>
      </c>
      <c r="N351" s="246" t="n">
        <v>0</v>
      </c>
      <c r="O351" s="238" t="n">
        <f aca="false">'INPUT DEBT'!$M351-'INPUT DEBT'!$N351</f>
        <v>14.53</v>
      </c>
      <c r="P351" s="239" t="str">
        <f aca="false">IF(N351=0, "NOT DELIVERED", IF(O351=0, "CLEARED", "PARTIALLY DELIVERED"))</f>
        <v>NOT DELIVERED</v>
      </c>
    </row>
    <row r="352" customFormat="false" ht="14.25" hidden="false" customHeight="true" outlineLevel="0" collapsed="false">
      <c r="A352" s="237" t="n">
        <v>347</v>
      </c>
      <c r="B352" s="238" t="s">
        <v>174</v>
      </c>
      <c r="C352" s="238" t="s">
        <v>3018</v>
      </c>
      <c r="D352" s="238" t="s">
        <v>3019</v>
      </c>
      <c r="E352" s="238" t="s">
        <v>3020</v>
      </c>
      <c r="F352" s="238" t="s">
        <v>1808</v>
      </c>
      <c r="G352" s="238" t="n">
        <v>20</v>
      </c>
      <c r="H352" s="240" t="n">
        <v>2417</v>
      </c>
      <c r="I352" s="238" t="s">
        <v>176</v>
      </c>
      <c r="J352" s="240" t="n">
        <v>2417</v>
      </c>
      <c r="K352" s="238" t="s">
        <v>25</v>
      </c>
      <c r="L352" s="240" t="n">
        <v>2417</v>
      </c>
      <c r="M352" s="238" t="n">
        <v>7.11</v>
      </c>
      <c r="N352" s="241" t="n">
        <v>0</v>
      </c>
      <c r="O352" s="238" t="n">
        <f aca="false">'INPUT DEBT'!$M352-'INPUT DEBT'!$N352</f>
        <v>7.11</v>
      </c>
      <c r="P352" s="239" t="str">
        <f aca="false">IF(N352=0, "NOT DELIVERED", IF(O352=0, "CLEARED", "PARTIALLY DELIVERED"))</f>
        <v>NOT DELIVERED</v>
      </c>
    </row>
    <row r="353" customFormat="false" ht="14.25" hidden="false" customHeight="true" outlineLevel="0" collapsed="false">
      <c r="A353" s="242" t="n">
        <v>348</v>
      </c>
      <c r="B353" s="243" t="s">
        <v>174</v>
      </c>
      <c r="C353" s="243" t="s">
        <v>3021</v>
      </c>
      <c r="D353" s="243" t="s">
        <v>3022</v>
      </c>
      <c r="E353" s="243" t="s">
        <v>3023</v>
      </c>
      <c r="F353" s="243" t="s">
        <v>1808</v>
      </c>
      <c r="G353" s="243" t="n">
        <v>30</v>
      </c>
      <c r="H353" s="244" t="n">
        <v>8249</v>
      </c>
      <c r="I353" s="243" t="s">
        <v>176</v>
      </c>
      <c r="J353" s="244" t="n">
        <v>8249</v>
      </c>
      <c r="K353" s="243" t="s">
        <v>25</v>
      </c>
      <c r="L353" s="244" t="n">
        <v>8249</v>
      </c>
      <c r="M353" s="243" t="n">
        <v>24.26</v>
      </c>
      <c r="N353" s="246" t="n">
        <v>0</v>
      </c>
      <c r="O353" s="238" t="n">
        <f aca="false">'INPUT DEBT'!$M353-'INPUT DEBT'!$N353</f>
        <v>24.26</v>
      </c>
      <c r="P353" s="239" t="str">
        <f aca="false">IF(N353=0, "NOT DELIVERED", IF(O353=0, "CLEARED", "PARTIALLY DELIVERED"))</f>
        <v>NOT DELIVERED</v>
      </c>
    </row>
    <row r="354" customFormat="false" ht="14.25" hidden="false" customHeight="true" outlineLevel="0" collapsed="false">
      <c r="A354" s="237" t="n">
        <v>349</v>
      </c>
      <c r="B354" s="238" t="s">
        <v>174</v>
      </c>
      <c r="C354" s="238" t="s">
        <v>3024</v>
      </c>
      <c r="D354" s="238" t="s">
        <v>1658</v>
      </c>
      <c r="E354" s="238" t="s">
        <v>3025</v>
      </c>
      <c r="F354" s="238" t="s">
        <v>1808</v>
      </c>
      <c r="G354" s="238" t="n">
        <v>10</v>
      </c>
      <c r="H354" s="238" t="s">
        <v>2116</v>
      </c>
      <c r="I354" s="238" t="s">
        <v>176</v>
      </c>
      <c r="J354" s="238" t="s">
        <v>176</v>
      </c>
      <c r="K354" s="238" t="s">
        <v>25</v>
      </c>
      <c r="L354" s="238" t="s">
        <v>176</v>
      </c>
      <c r="M354" s="238" t="n">
        <v>0</v>
      </c>
      <c r="N354" s="241" t="n">
        <v>0</v>
      </c>
      <c r="O354" s="238" t="n">
        <f aca="false">'INPUT DEBT'!$M354-'INPUT DEBT'!$N354</f>
        <v>0</v>
      </c>
      <c r="P354" s="239" t="s">
        <v>2117</v>
      </c>
    </row>
    <row r="355" customFormat="false" ht="14.25" hidden="false" customHeight="true" outlineLevel="0" collapsed="false">
      <c r="A355" s="242" t="n">
        <v>350</v>
      </c>
      <c r="B355" s="243" t="s">
        <v>174</v>
      </c>
      <c r="C355" s="243" t="s">
        <v>3026</v>
      </c>
      <c r="D355" s="243" t="s">
        <v>3027</v>
      </c>
      <c r="E355" s="243" t="s">
        <v>3028</v>
      </c>
      <c r="F355" s="243" t="s">
        <v>1808</v>
      </c>
      <c r="G355" s="243" t="n">
        <v>20</v>
      </c>
      <c r="H355" s="244" t="n">
        <v>6958</v>
      </c>
      <c r="I355" s="243" t="s">
        <v>176</v>
      </c>
      <c r="J355" s="244" t="n">
        <v>6958</v>
      </c>
      <c r="K355" s="243" t="s">
        <v>25</v>
      </c>
      <c r="L355" s="244" t="n">
        <v>6958</v>
      </c>
      <c r="M355" s="243" t="n">
        <v>20.46</v>
      </c>
      <c r="N355" s="246" t="n">
        <v>3.08</v>
      </c>
      <c r="O355" s="238" t="n">
        <f aca="false">'INPUT DEBT'!$M355-'INPUT DEBT'!$N355</f>
        <v>17.38</v>
      </c>
      <c r="P355" s="239" t="str">
        <f aca="false">IF(N355=0, "NOT DELIVERED", IF(O355=0, "CLEARED", "PARTIALLY DELIVERED"))</f>
        <v>PARTIALLY DELIVERED</v>
      </c>
    </row>
    <row r="356" customFormat="false" ht="14.25" hidden="false" customHeight="true" outlineLevel="0" collapsed="false">
      <c r="A356" s="237" t="n">
        <v>351</v>
      </c>
      <c r="B356" s="238" t="s">
        <v>174</v>
      </c>
      <c r="C356" s="18" t="s">
        <v>170</v>
      </c>
      <c r="D356" s="238" t="s">
        <v>3029</v>
      </c>
      <c r="E356" s="238" t="s">
        <v>3030</v>
      </c>
      <c r="F356" s="238" t="s">
        <v>1808</v>
      </c>
      <c r="G356" s="238" t="n">
        <v>20</v>
      </c>
      <c r="H356" s="240" t="n">
        <v>3597</v>
      </c>
      <c r="I356" s="238" t="s">
        <v>176</v>
      </c>
      <c r="J356" s="240" t="n">
        <v>3597</v>
      </c>
      <c r="K356" s="238" t="s">
        <v>25</v>
      </c>
      <c r="L356" s="240" t="n">
        <v>3597</v>
      </c>
      <c r="M356" s="238" t="n">
        <v>10.58</v>
      </c>
      <c r="N356" s="241" t="n">
        <v>0</v>
      </c>
      <c r="O356" s="238" t="n">
        <f aca="false">'INPUT DEBT'!$M356-'INPUT DEBT'!$N356</f>
        <v>10.58</v>
      </c>
      <c r="P356" s="239" t="str">
        <f aca="false">IF(N356=0, "NOT DELIVERED", IF(O356=0, "CLEARED", "PARTIALLY DELIVERED"))</f>
        <v>NOT DELIVERED</v>
      </c>
    </row>
    <row r="357" customFormat="false" ht="14.25" hidden="false" customHeight="true" outlineLevel="0" collapsed="false">
      <c r="A357" s="242" t="n">
        <v>352</v>
      </c>
      <c r="B357" s="243" t="s">
        <v>174</v>
      </c>
      <c r="C357" s="243" t="s">
        <v>3031</v>
      </c>
      <c r="D357" s="243" t="s">
        <v>3032</v>
      </c>
      <c r="E357" s="243" t="s">
        <v>3033</v>
      </c>
      <c r="F357" s="243" t="s">
        <v>1808</v>
      </c>
      <c r="G357" s="243" t="n">
        <v>60</v>
      </c>
      <c r="H357" s="244" t="n">
        <v>11045</v>
      </c>
      <c r="I357" s="243" t="s">
        <v>176</v>
      </c>
      <c r="J357" s="244" t="n">
        <v>11045</v>
      </c>
      <c r="K357" s="243" t="s">
        <v>25</v>
      </c>
      <c r="L357" s="244" t="n">
        <v>11045</v>
      </c>
      <c r="M357" s="243" t="n">
        <v>32.48</v>
      </c>
      <c r="N357" s="246" t="n">
        <v>0</v>
      </c>
      <c r="O357" s="238" t="n">
        <f aca="false">'INPUT DEBT'!$M357-'INPUT DEBT'!$N357</f>
        <v>32.48</v>
      </c>
      <c r="P357" s="239" t="str">
        <f aca="false">IF(N357=0, "NOT DELIVERED", IF(O357=0, "CLEARED", "PARTIALLY DELIVERED"))</f>
        <v>NOT DELIVERED</v>
      </c>
    </row>
    <row r="358" customFormat="false" ht="14.25" hidden="false" customHeight="true" outlineLevel="0" collapsed="false">
      <c r="A358" s="237" t="n">
        <v>353</v>
      </c>
      <c r="B358" s="238" t="s">
        <v>174</v>
      </c>
      <c r="C358" s="238" t="s">
        <v>3034</v>
      </c>
      <c r="D358" s="238" t="s">
        <v>1659</v>
      </c>
      <c r="E358" s="238" t="s">
        <v>3035</v>
      </c>
      <c r="F358" s="238" t="s">
        <v>1808</v>
      </c>
      <c r="G358" s="238" t="n">
        <v>10</v>
      </c>
      <c r="H358" s="238" t="s">
        <v>2116</v>
      </c>
      <c r="I358" s="238" t="s">
        <v>176</v>
      </c>
      <c r="J358" s="238" t="s">
        <v>176</v>
      </c>
      <c r="K358" s="238" t="s">
        <v>25</v>
      </c>
      <c r="L358" s="238" t="s">
        <v>176</v>
      </c>
      <c r="M358" s="238" t="n">
        <v>0</v>
      </c>
      <c r="N358" s="241" t="n">
        <v>0</v>
      </c>
      <c r="O358" s="238" t="n">
        <f aca="false">'INPUT DEBT'!$M358-'INPUT DEBT'!$N358</f>
        <v>0</v>
      </c>
      <c r="P358" s="239" t="s">
        <v>2117</v>
      </c>
    </row>
    <row r="359" customFormat="false" ht="14.25" hidden="false" customHeight="true" outlineLevel="0" collapsed="false">
      <c r="A359" s="242" t="n">
        <v>354</v>
      </c>
      <c r="B359" s="243" t="s">
        <v>174</v>
      </c>
      <c r="C359" s="243" t="s">
        <v>3036</v>
      </c>
      <c r="D359" s="243" t="s">
        <v>3037</v>
      </c>
      <c r="E359" s="243" t="s">
        <v>3038</v>
      </c>
      <c r="F359" s="243" t="s">
        <v>1808</v>
      </c>
      <c r="G359" s="243" t="n">
        <v>15</v>
      </c>
      <c r="H359" s="244" t="n">
        <v>1078</v>
      </c>
      <c r="I359" s="243" t="s">
        <v>176</v>
      </c>
      <c r="J359" s="244" t="n">
        <v>1078</v>
      </c>
      <c r="K359" s="243" t="s">
        <v>25</v>
      </c>
      <c r="L359" s="244" t="n">
        <v>1078</v>
      </c>
      <c r="M359" s="243" t="n">
        <v>3.17</v>
      </c>
      <c r="N359" s="246" t="n">
        <v>0</v>
      </c>
      <c r="O359" s="238" t="n">
        <f aca="false">'INPUT DEBT'!$M359-'INPUT DEBT'!$N359</f>
        <v>3.17</v>
      </c>
      <c r="P359" s="239" t="str">
        <f aca="false">IF(N359=0, "NOT DELIVERED", IF(O359=0, "CLEARED", "PARTIALLY DELIVERED"))</f>
        <v>NOT DELIVERED</v>
      </c>
    </row>
    <row r="360" customFormat="false" ht="14.25" hidden="false" customHeight="true" outlineLevel="0" collapsed="false">
      <c r="A360" s="237" t="n">
        <v>355</v>
      </c>
      <c r="B360" s="238" t="s">
        <v>174</v>
      </c>
      <c r="C360" s="238" t="s">
        <v>3039</v>
      </c>
      <c r="D360" s="238" t="s">
        <v>2838</v>
      </c>
      <c r="E360" s="238" t="s">
        <v>3040</v>
      </c>
      <c r="F360" s="238" t="s">
        <v>1808</v>
      </c>
      <c r="G360" s="238" t="n">
        <v>20</v>
      </c>
      <c r="H360" s="240" t="n">
        <v>3907</v>
      </c>
      <c r="I360" s="238" t="s">
        <v>176</v>
      </c>
      <c r="J360" s="240" t="n">
        <v>3907</v>
      </c>
      <c r="K360" s="238" t="s">
        <v>25</v>
      </c>
      <c r="L360" s="240" t="n">
        <v>3907</v>
      </c>
      <c r="M360" s="238" t="n">
        <v>11.49</v>
      </c>
      <c r="N360" s="241" t="n">
        <v>0</v>
      </c>
      <c r="O360" s="238" t="n">
        <f aca="false">'INPUT DEBT'!$M360-'INPUT DEBT'!$N360</f>
        <v>11.49</v>
      </c>
      <c r="P360" s="239" t="str">
        <f aca="false">IF(N360=0, "NOT DELIVERED", IF(O360=0, "CLEARED", "PARTIALLY DELIVERED"))</f>
        <v>NOT DELIVERED</v>
      </c>
    </row>
    <row r="361" customFormat="false" ht="14.25" hidden="false" customHeight="true" outlineLevel="0" collapsed="false">
      <c r="A361" s="242" t="n">
        <v>356</v>
      </c>
      <c r="B361" s="243" t="s">
        <v>174</v>
      </c>
      <c r="C361" s="243" t="s">
        <v>3041</v>
      </c>
      <c r="D361" s="243" t="s">
        <v>3042</v>
      </c>
      <c r="E361" s="243" t="s">
        <v>3043</v>
      </c>
      <c r="F361" s="243" t="s">
        <v>1808</v>
      </c>
      <c r="G361" s="243" t="n">
        <v>20</v>
      </c>
      <c r="H361" s="244" t="n">
        <v>5974</v>
      </c>
      <c r="I361" s="243" t="s">
        <v>176</v>
      </c>
      <c r="J361" s="244" t="n">
        <v>5974</v>
      </c>
      <c r="K361" s="243" t="s">
        <v>25</v>
      </c>
      <c r="L361" s="244" t="n">
        <v>5974</v>
      </c>
      <c r="M361" s="243" t="n">
        <v>17.57</v>
      </c>
      <c r="N361" s="246" t="n">
        <v>0</v>
      </c>
      <c r="O361" s="238" t="n">
        <f aca="false">'INPUT DEBT'!$M361-'INPUT DEBT'!$N361</f>
        <v>17.57</v>
      </c>
      <c r="P361" s="239" t="str">
        <f aca="false">IF(N361=0, "NOT DELIVERED", IF(O361=0, "CLEARED", "PARTIALLY DELIVERED"))</f>
        <v>NOT DELIVERED</v>
      </c>
    </row>
    <row r="362" customFormat="false" ht="14.25" hidden="false" customHeight="true" outlineLevel="0" collapsed="false">
      <c r="A362" s="237" t="n">
        <v>357</v>
      </c>
      <c r="B362" s="238" t="s">
        <v>174</v>
      </c>
      <c r="C362" s="238" t="s">
        <v>3044</v>
      </c>
      <c r="D362" s="238" t="s">
        <v>2989</v>
      </c>
      <c r="E362" s="238" t="s">
        <v>3045</v>
      </c>
      <c r="F362" s="238" t="s">
        <v>1808</v>
      </c>
      <c r="G362" s="238" t="n">
        <v>20</v>
      </c>
      <c r="H362" s="238" t="n">
        <v>546</v>
      </c>
      <c r="I362" s="238" t="s">
        <v>176</v>
      </c>
      <c r="J362" s="238" t="n">
        <v>546</v>
      </c>
      <c r="K362" s="238" t="s">
        <v>25</v>
      </c>
      <c r="L362" s="238" t="n">
        <v>546</v>
      </c>
      <c r="M362" s="238" t="n">
        <v>1.61</v>
      </c>
      <c r="N362" s="241" t="n">
        <v>0</v>
      </c>
      <c r="O362" s="238" t="n">
        <f aca="false">'INPUT DEBT'!$M362-'INPUT DEBT'!$N362</f>
        <v>1.61</v>
      </c>
      <c r="P362" s="239" t="str">
        <f aca="false">IF(N362=0, "NOT DELIVERED", IF(O362=0, "CLEARED", "PARTIALLY DELIVERED"))</f>
        <v>NOT DELIVERED</v>
      </c>
    </row>
    <row r="363" customFormat="false" ht="14.25" hidden="false" customHeight="true" outlineLevel="0" collapsed="false">
      <c r="A363" s="242" t="n">
        <v>358</v>
      </c>
      <c r="B363" s="243" t="s">
        <v>174</v>
      </c>
      <c r="C363" s="243" t="s">
        <v>3046</v>
      </c>
      <c r="D363" s="243" t="s">
        <v>3037</v>
      </c>
      <c r="E363" s="243" t="s">
        <v>3047</v>
      </c>
      <c r="F363" s="243" t="s">
        <v>1808</v>
      </c>
      <c r="G363" s="243" t="n">
        <v>15</v>
      </c>
      <c r="H363" s="244" t="n">
        <v>2855</v>
      </c>
      <c r="I363" s="243" t="s">
        <v>176</v>
      </c>
      <c r="J363" s="244" t="n">
        <v>2855</v>
      </c>
      <c r="K363" s="243" t="s">
        <v>25</v>
      </c>
      <c r="L363" s="244" t="n">
        <v>2855</v>
      </c>
      <c r="M363" s="243" t="n">
        <v>8.4</v>
      </c>
      <c r="N363" s="246" t="n">
        <v>0</v>
      </c>
      <c r="O363" s="238" t="n">
        <f aca="false">'INPUT DEBT'!$M363-'INPUT DEBT'!$N363</f>
        <v>8.4</v>
      </c>
      <c r="P363" s="239" t="str">
        <f aca="false">IF(N363=0, "NOT DELIVERED", IF(O363=0, "CLEARED", "PARTIALLY DELIVERED"))</f>
        <v>NOT DELIVERED</v>
      </c>
    </row>
    <row r="364" customFormat="false" ht="14.25" hidden="false" customHeight="true" outlineLevel="0" collapsed="false">
      <c r="A364" s="237" t="n">
        <v>359</v>
      </c>
      <c r="B364" s="238" t="s">
        <v>174</v>
      </c>
      <c r="C364" s="238" t="s">
        <v>3048</v>
      </c>
      <c r="D364" s="238" t="s">
        <v>3049</v>
      </c>
      <c r="E364" s="238" t="s">
        <v>3050</v>
      </c>
      <c r="F364" s="238" t="s">
        <v>1808</v>
      </c>
      <c r="G364" s="238" t="n">
        <v>15</v>
      </c>
      <c r="H364" s="240" t="n">
        <v>2168</v>
      </c>
      <c r="I364" s="238" t="s">
        <v>176</v>
      </c>
      <c r="J364" s="240" t="n">
        <v>2168</v>
      </c>
      <c r="K364" s="238" t="s">
        <v>25</v>
      </c>
      <c r="L364" s="240" t="n">
        <v>2168</v>
      </c>
      <c r="M364" s="238" t="n">
        <v>6.38</v>
      </c>
      <c r="N364" s="241" t="n">
        <v>0</v>
      </c>
      <c r="O364" s="238" t="n">
        <f aca="false">'INPUT DEBT'!$M364-'INPUT DEBT'!$N364</f>
        <v>6.38</v>
      </c>
      <c r="P364" s="239" t="str">
        <f aca="false">IF(N364=0, "NOT DELIVERED", IF(O364=0, "CLEARED", "PARTIALLY DELIVERED"))</f>
        <v>NOT DELIVERED</v>
      </c>
    </row>
    <row r="365" customFormat="false" ht="14.25" hidden="false" customHeight="true" outlineLevel="0" collapsed="false">
      <c r="A365" s="242" t="n">
        <v>360</v>
      </c>
      <c r="B365" s="243" t="s">
        <v>174</v>
      </c>
      <c r="C365" s="243" t="s">
        <v>3051</v>
      </c>
      <c r="D365" s="243" t="s">
        <v>3052</v>
      </c>
      <c r="E365" s="243" t="s">
        <v>3053</v>
      </c>
      <c r="F365" s="243" t="s">
        <v>1808</v>
      </c>
      <c r="G365" s="243" t="n">
        <v>60</v>
      </c>
      <c r="H365" s="244" t="n">
        <v>14946</v>
      </c>
      <c r="I365" s="243" t="s">
        <v>176</v>
      </c>
      <c r="J365" s="244" t="n">
        <v>14946</v>
      </c>
      <c r="K365" s="243" t="s">
        <v>25</v>
      </c>
      <c r="L365" s="244" t="n">
        <v>14946</v>
      </c>
      <c r="M365" s="243" t="n">
        <v>43.96</v>
      </c>
      <c r="N365" s="246" t="n">
        <v>0</v>
      </c>
      <c r="O365" s="238" t="n">
        <f aca="false">'INPUT DEBT'!$M365-'INPUT DEBT'!$N365</f>
        <v>43.96</v>
      </c>
      <c r="P365" s="239" t="str">
        <f aca="false">IF(N365=0, "NOT DELIVERED", IF(O365=0, "CLEARED", "PARTIALLY DELIVERED"))</f>
        <v>NOT DELIVERED</v>
      </c>
    </row>
    <row r="366" customFormat="false" ht="14.25" hidden="false" customHeight="true" outlineLevel="0" collapsed="false">
      <c r="A366" s="237" t="n">
        <v>361</v>
      </c>
      <c r="B366" s="238" t="s">
        <v>174</v>
      </c>
      <c r="C366" s="238" t="s">
        <v>3054</v>
      </c>
      <c r="D366" s="238" t="s">
        <v>3055</v>
      </c>
      <c r="E366" s="238" t="s">
        <v>3056</v>
      </c>
      <c r="F366" s="238" t="s">
        <v>1808</v>
      </c>
      <c r="G366" s="238" t="n">
        <v>100</v>
      </c>
      <c r="H366" s="240" t="n">
        <v>16192</v>
      </c>
      <c r="I366" s="240" t="n">
        <v>3648</v>
      </c>
      <c r="J366" s="240" t="n">
        <v>12544</v>
      </c>
      <c r="K366" s="238" t="s">
        <v>25</v>
      </c>
      <c r="L366" s="240" t="n">
        <v>12544</v>
      </c>
      <c r="M366" s="238" t="n">
        <v>47.62</v>
      </c>
      <c r="N366" s="241" t="n">
        <v>10</v>
      </c>
      <c r="O366" s="238" t="n">
        <f aca="false">'INPUT DEBT'!$M366-'INPUT DEBT'!$N366</f>
        <v>37.62</v>
      </c>
      <c r="P366" s="239" t="str">
        <f aca="false">IF(N366=0, "NOT DELIVERED", IF(O366=0, "CLEARED", "PARTIALLY DELIVERED"))</f>
        <v>PARTIALLY DELIVERED</v>
      </c>
    </row>
    <row r="367" customFormat="false" ht="14.25" hidden="false" customHeight="true" outlineLevel="0" collapsed="false">
      <c r="A367" s="242" t="n">
        <v>362</v>
      </c>
      <c r="B367" s="243" t="s">
        <v>174</v>
      </c>
      <c r="C367" s="243" t="s">
        <v>3057</v>
      </c>
      <c r="D367" s="243" t="s">
        <v>3058</v>
      </c>
      <c r="E367" s="243" t="s">
        <v>3059</v>
      </c>
      <c r="F367" s="243" t="s">
        <v>1808</v>
      </c>
      <c r="G367" s="243" t="n">
        <v>10</v>
      </c>
      <c r="H367" s="244" t="n">
        <v>1285</v>
      </c>
      <c r="I367" s="243" t="s">
        <v>176</v>
      </c>
      <c r="J367" s="244" t="n">
        <v>1285</v>
      </c>
      <c r="K367" s="243" t="s">
        <v>25</v>
      </c>
      <c r="L367" s="244" t="n">
        <v>1285</v>
      </c>
      <c r="M367" s="243" t="n">
        <v>3.78</v>
      </c>
      <c r="N367" s="246" t="n">
        <v>0</v>
      </c>
      <c r="O367" s="238" t="n">
        <f aca="false">'INPUT DEBT'!$M367-'INPUT DEBT'!$N367</f>
        <v>3.78</v>
      </c>
      <c r="P367" s="239" t="str">
        <f aca="false">IF(N367=0, "NOT DELIVERED", IF(O367=0, "CLEARED", "PARTIALLY DELIVERED"))</f>
        <v>NOT DELIVERED</v>
      </c>
    </row>
    <row r="368" customFormat="false" ht="14.25" hidden="false" customHeight="true" outlineLevel="0" collapsed="false">
      <c r="A368" s="237" t="n">
        <v>363</v>
      </c>
      <c r="B368" s="238" t="s">
        <v>174</v>
      </c>
      <c r="C368" s="238" t="s">
        <v>3060</v>
      </c>
      <c r="D368" s="238" t="s">
        <v>3061</v>
      </c>
      <c r="E368" s="238" t="s">
        <v>3062</v>
      </c>
      <c r="F368" s="238" t="s">
        <v>1808</v>
      </c>
      <c r="G368" s="238" t="n">
        <v>20</v>
      </c>
      <c r="H368" s="240" t="n">
        <v>6273</v>
      </c>
      <c r="I368" s="240" t="n">
        <v>2714</v>
      </c>
      <c r="J368" s="240" t="n">
        <v>3559</v>
      </c>
      <c r="K368" s="238" t="s">
        <v>25</v>
      </c>
      <c r="L368" s="240" t="n">
        <v>3559</v>
      </c>
      <c r="M368" s="238" t="n">
        <v>18.45</v>
      </c>
      <c r="N368" s="241" t="n">
        <v>7.44</v>
      </c>
      <c r="O368" s="238" t="n">
        <f aca="false">'INPUT DEBT'!$M368-'INPUT DEBT'!$N368</f>
        <v>11.01</v>
      </c>
      <c r="P368" s="239" t="str">
        <f aca="false">IF(N368=0, "NOT DELIVERED", IF(O368=0, "CLEARED", "PARTIALLY DELIVERED"))</f>
        <v>PARTIALLY DELIVERED</v>
      </c>
    </row>
    <row r="369" customFormat="false" ht="14.25" hidden="false" customHeight="true" outlineLevel="0" collapsed="false">
      <c r="A369" s="242" t="n">
        <v>364</v>
      </c>
      <c r="B369" s="243" t="s">
        <v>174</v>
      </c>
      <c r="C369" s="243" t="s">
        <v>3063</v>
      </c>
      <c r="D369" s="243" t="s">
        <v>3064</v>
      </c>
      <c r="E369" s="243" t="s">
        <v>3065</v>
      </c>
      <c r="F369" s="243" t="s">
        <v>1808</v>
      </c>
      <c r="G369" s="243" t="n">
        <v>20</v>
      </c>
      <c r="H369" s="244" t="n">
        <v>5224</v>
      </c>
      <c r="I369" s="244" t="n">
        <v>4012</v>
      </c>
      <c r="J369" s="244" t="n">
        <v>1212</v>
      </c>
      <c r="K369" s="243" t="s">
        <v>25</v>
      </c>
      <c r="L369" s="244" t="n">
        <v>1212</v>
      </c>
      <c r="M369" s="243" t="n">
        <v>15.37</v>
      </c>
      <c r="N369" s="246" t="n">
        <v>11</v>
      </c>
      <c r="O369" s="238" t="n">
        <f aca="false">'INPUT DEBT'!$M369-'INPUT DEBT'!$N369</f>
        <v>4.37</v>
      </c>
      <c r="P369" s="239" t="str">
        <f aca="false">IF(N369=0, "NOT DELIVERED", IF(O369=0, "CLEARED", "PARTIALLY DELIVERED"))</f>
        <v>PARTIALLY DELIVERED</v>
      </c>
    </row>
    <row r="370" customFormat="false" ht="14.25" hidden="false" customHeight="true" outlineLevel="0" collapsed="false">
      <c r="A370" s="237" t="n">
        <v>365</v>
      </c>
      <c r="B370" s="238" t="s">
        <v>174</v>
      </c>
      <c r="C370" s="238" t="s">
        <v>3066</v>
      </c>
      <c r="D370" s="238" t="s">
        <v>1660</v>
      </c>
      <c r="E370" s="238" t="s">
        <v>3067</v>
      </c>
      <c r="F370" s="238" t="s">
        <v>1808</v>
      </c>
      <c r="G370" s="238" t="n">
        <v>135</v>
      </c>
      <c r="H370" s="238" t="s">
        <v>2116</v>
      </c>
      <c r="I370" s="238" t="s">
        <v>176</v>
      </c>
      <c r="J370" s="238" t="s">
        <v>176</v>
      </c>
      <c r="K370" s="238" t="s">
        <v>25</v>
      </c>
      <c r="L370" s="238" t="s">
        <v>176</v>
      </c>
      <c r="M370" s="238" t="n">
        <v>0</v>
      </c>
      <c r="N370" s="241" t="n">
        <v>0</v>
      </c>
      <c r="O370" s="238" t="n">
        <f aca="false">'INPUT DEBT'!$M370-'INPUT DEBT'!$N370</f>
        <v>0</v>
      </c>
      <c r="P370" s="239" t="s">
        <v>2117</v>
      </c>
    </row>
    <row r="371" customFormat="false" ht="14.25" hidden="false" customHeight="true" outlineLevel="0" collapsed="false">
      <c r="A371" s="242" t="n">
        <v>366</v>
      </c>
      <c r="B371" s="243" t="s">
        <v>174</v>
      </c>
      <c r="C371" s="243" t="s">
        <v>3068</v>
      </c>
      <c r="D371" s="243" t="s">
        <v>3069</v>
      </c>
      <c r="E371" s="243" t="s">
        <v>3070</v>
      </c>
      <c r="F371" s="243" t="s">
        <v>1808</v>
      </c>
      <c r="G371" s="243" t="n">
        <v>10</v>
      </c>
      <c r="H371" s="243" t="n">
        <v>273</v>
      </c>
      <c r="I371" s="243" t="s">
        <v>176</v>
      </c>
      <c r="J371" s="243" t="n">
        <v>273</v>
      </c>
      <c r="K371" s="243" t="s">
        <v>25</v>
      </c>
      <c r="L371" s="243" t="n">
        <v>273</v>
      </c>
      <c r="M371" s="243" t="n">
        <v>0.8</v>
      </c>
      <c r="N371" s="246" t="n">
        <v>0</v>
      </c>
      <c r="O371" s="238" t="n">
        <f aca="false">'INPUT DEBT'!$M371-'INPUT DEBT'!$N371</f>
        <v>0.8</v>
      </c>
      <c r="P371" s="239" t="s">
        <v>2117</v>
      </c>
    </row>
    <row r="372" customFormat="false" ht="14.25" hidden="false" customHeight="true" outlineLevel="0" collapsed="false">
      <c r="A372" s="237" t="n">
        <v>367</v>
      </c>
      <c r="B372" s="238" t="s">
        <v>174</v>
      </c>
      <c r="C372" s="238" t="s">
        <v>3071</v>
      </c>
      <c r="D372" s="238" t="s">
        <v>3072</v>
      </c>
      <c r="E372" s="238" t="s">
        <v>3073</v>
      </c>
      <c r="F372" s="238" t="s">
        <v>1808</v>
      </c>
      <c r="G372" s="238" t="n">
        <v>20</v>
      </c>
      <c r="H372" s="240" t="n">
        <v>3881</v>
      </c>
      <c r="I372" s="238" t="s">
        <v>176</v>
      </c>
      <c r="J372" s="240" t="n">
        <v>3881</v>
      </c>
      <c r="K372" s="238" t="s">
        <v>25</v>
      </c>
      <c r="L372" s="240" t="n">
        <v>3881</v>
      </c>
      <c r="M372" s="238" t="n">
        <v>11.41</v>
      </c>
      <c r="N372" s="241" t="n">
        <v>0</v>
      </c>
      <c r="O372" s="238" t="n">
        <f aca="false">'INPUT DEBT'!$M372-'INPUT DEBT'!$N372</f>
        <v>11.41</v>
      </c>
      <c r="P372" s="239" t="str">
        <f aca="false">IF(N372=0, "NOT DELIVERED", IF(O372=0, "CLEARED", "PARTIALLY DELIVERED"))</f>
        <v>NOT DELIVERED</v>
      </c>
    </row>
    <row r="373" customFormat="false" ht="14.25" hidden="false" customHeight="true" outlineLevel="0" collapsed="false">
      <c r="A373" s="242" t="n">
        <v>368</v>
      </c>
      <c r="B373" s="243" t="s">
        <v>174</v>
      </c>
      <c r="C373" s="243" t="s">
        <v>3074</v>
      </c>
      <c r="D373" s="243" t="s">
        <v>3075</v>
      </c>
      <c r="E373" s="243" t="s">
        <v>3076</v>
      </c>
      <c r="F373" s="243" t="s">
        <v>1808</v>
      </c>
      <c r="G373" s="243" t="n">
        <v>20</v>
      </c>
      <c r="H373" s="244" t="n">
        <v>2453</v>
      </c>
      <c r="I373" s="243" t="s">
        <v>176</v>
      </c>
      <c r="J373" s="244" t="n">
        <v>2453</v>
      </c>
      <c r="K373" s="243" t="s">
        <v>25</v>
      </c>
      <c r="L373" s="244" t="n">
        <v>2453</v>
      </c>
      <c r="M373" s="243" t="n">
        <v>7.21</v>
      </c>
      <c r="N373" s="246" t="n">
        <v>0</v>
      </c>
      <c r="O373" s="238" t="n">
        <f aca="false">'INPUT DEBT'!$M373-'INPUT DEBT'!$N373</f>
        <v>7.21</v>
      </c>
      <c r="P373" s="239" t="str">
        <f aca="false">IF(N373=0, "NOT DELIVERED", IF(O373=0, "CLEARED", "PARTIALLY DELIVERED"))</f>
        <v>NOT DELIVERED</v>
      </c>
    </row>
    <row r="374" customFormat="false" ht="14.25" hidden="false" customHeight="true" outlineLevel="0" collapsed="false">
      <c r="A374" s="237" t="n">
        <v>369</v>
      </c>
      <c r="B374" s="238" t="s">
        <v>174</v>
      </c>
      <c r="C374" s="238" t="s">
        <v>3077</v>
      </c>
      <c r="D374" s="238" t="s">
        <v>3078</v>
      </c>
      <c r="E374" s="238" t="s">
        <v>3079</v>
      </c>
      <c r="F374" s="238" t="s">
        <v>1808</v>
      </c>
      <c r="G374" s="238" t="n">
        <v>10</v>
      </c>
      <c r="H374" s="240" t="n">
        <v>3652</v>
      </c>
      <c r="I374" s="238" t="s">
        <v>176</v>
      </c>
      <c r="J374" s="240" t="n">
        <v>3652</v>
      </c>
      <c r="K374" s="238" t="s">
        <v>25</v>
      </c>
      <c r="L374" s="240" t="n">
        <v>3652</v>
      </c>
      <c r="M374" s="238" t="n">
        <v>10.74</v>
      </c>
      <c r="N374" s="241" t="n">
        <v>0</v>
      </c>
      <c r="O374" s="238" t="n">
        <f aca="false">'INPUT DEBT'!$M374-'INPUT DEBT'!$N374</f>
        <v>10.74</v>
      </c>
      <c r="P374" s="239" t="str">
        <f aca="false">IF(N374=0, "NOT DELIVERED", IF(O374=0, "CLEARED", "PARTIALLY DELIVERED"))</f>
        <v>NOT DELIVERED</v>
      </c>
    </row>
    <row r="375" customFormat="false" ht="14.25" hidden="false" customHeight="true" outlineLevel="0" collapsed="false">
      <c r="A375" s="242" t="n">
        <v>370</v>
      </c>
      <c r="B375" s="243" t="s">
        <v>174</v>
      </c>
      <c r="C375" s="18" t="s">
        <v>170</v>
      </c>
      <c r="D375" s="243" t="s">
        <v>3080</v>
      </c>
      <c r="E375" s="243" t="s">
        <v>3081</v>
      </c>
      <c r="F375" s="243" t="s">
        <v>1808</v>
      </c>
      <c r="G375" s="243" t="n">
        <v>40</v>
      </c>
      <c r="H375" s="244" t="n">
        <v>10325</v>
      </c>
      <c r="I375" s="243" t="s">
        <v>176</v>
      </c>
      <c r="J375" s="244" t="n">
        <v>10325</v>
      </c>
      <c r="K375" s="243" t="s">
        <v>25</v>
      </c>
      <c r="L375" s="244" t="n">
        <v>10325</v>
      </c>
      <c r="M375" s="243" t="n">
        <v>30.37</v>
      </c>
      <c r="N375" s="246" t="n">
        <v>0</v>
      </c>
      <c r="O375" s="238" t="n">
        <f aca="false">'INPUT DEBT'!$M375-'INPUT DEBT'!$N375</f>
        <v>30.37</v>
      </c>
      <c r="P375" s="239" t="str">
        <f aca="false">IF(N375=0, "NOT DELIVERED", IF(O375=0, "CLEARED", "PARTIALLY DELIVERED"))</f>
        <v>NOT DELIVERED</v>
      </c>
    </row>
    <row r="376" customFormat="false" ht="14.25" hidden="false" customHeight="true" outlineLevel="0" collapsed="false">
      <c r="A376" s="237" t="n">
        <v>371</v>
      </c>
      <c r="B376" s="238" t="s">
        <v>174</v>
      </c>
      <c r="C376" s="18" t="s">
        <v>170</v>
      </c>
      <c r="D376" s="238" t="s">
        <v>3082</v>
      </c>
      <c r="E376" s="238" t="s">
        <v>3083</v>
      </c>
      <c r="F376" s="238" t="s">
        <v>1808</v>
      </c>
      <c r="G376" s="238" t="n">
        <v>40</v>
      </c>
      <c r="H376" s="240" t="n">
        <v>9697</v>
      </c>
      <c r="I376" s="240" t="n">
        <v>5944</v>
      </c>
      <c r="J376" s="240" t="n">
        <v>3753</v>
      </c>
      <c r="K376" s="238" t="s">
        <v>25</v>
      </c>
      <c r="L376" s="240" t="n">
        <v>3753</v>
      </c>
      <c r="M376" s="238" t="n">
        <v>28.52</v>
      </c>
      <c r="N376" s="241" t="n">
        <v>16.3</v>
      </c>
      <c r="O376" s="238" t="n">
        <f aca="false">'INPUT DEBT'!$M376-'INPUT DEBT'!$N376</f>
        <v>12.22</v>
      </c>
      <c r="P376" s="239" t="str">
        <f aca="false">IF(N376=0, "NOT DELIVERED", IF(O376=0, "CLEARED", "PARTIALLY DELIVERED"))</f>
        <v>PARTIALLY DELIVERED</v>
      </c>
    </row>
    <row r="377" customFormat="false" ht="14.25" hidden="false" customHeight="true" outlineLevel="0" collapsed="false">
      <c r="A377" s="242" t="n">
        <v>372</v>
      </c>
      <c r="B377" s="243" t="s">
        <v>174</v>
      </c>
      <c r="C377" s="18" t="s">
        <v>170</v>
      </c>
      <c r="D377" s="243" t="s">
        <v>3084</v>
      </c>
      <c r="E377" s="243" t="s">
        <v>3085</v>
      </c>
      <c r="F377" s="243" t="s">
        <v>1808</v>
      </c>
      <c r="G377" s="243" t="n">
        <v>10</v>
      </c>
      <c r="H377" s="244" t="n">
        <v>1311</v>
      </c>
      <c r="I377" s="243" t="s">
        <v>176</v>
      </c>
      <c r="J377" s="244" t="n">
        <v>1311</v>
      </c>
      <c r="K377" s="243" t="s">
        <v>25</v>
      </c>
      <c r="L377" s="244" t="n">
        <v>1311</v>
      </c>
      <c r="M377" s="243" t="n">
        <v>3.86</v>
      </c>
      <c r="N377" s="246" t="n">
        <v>0</v>
      </c>
      <c r="O377" s="238" t="n">
        <f aca="false">'INPUT DEBT'!$M377-'INPUT DEBT'!$N377</f>
        <v>3.86</v>
      </c>
      <c r="P377" s="239" t="str">
        <f aca="false">IF(N377=0, "NOT DELIVERED", IF(O377=0, "CLEARED", "PARTIALLY DELIVERED"))</f>
        <v>NOT DELIVERED</v>
      </c>
    </row>
    <row r="378" customFormat="false" ht="14.25" hidden="false" customHeight="true" outlineLevel="0" collapsed="false">
      <c r="A378" s="237" t="n">
        <v>373</v>
      </c>
      <c r="B378" s="238" t="s">
        <v>174</v>
      </c>
      <c r="C378" s="18" t="s">
        <v>170</v>
      </c>
      <c r="D378" s="238" t="s">
        <v>1477</v>
      </c>
      <c r="E378" s="238" t="s">
        <v>3086</v>
      </c>
      <c r="F378" s="238" t="s">
        <v>1808</v>
      </c>
      <c r="G378" s="238" t="n">
        <v>70</v>
      </c>
      <c r="H378" s="240" t="n">
        <v>4191</v>
      </c>
      <c r="I378" s="238" t="s">
        <v>176</v>
      </c>
      <c r="J378" s="240" t="n">
        <v>4191</v>
      </c>
      <c r="K378" s="238" t="s">
        <v>25</v>
      </c>
      <c r="L378" s="240" t="n">
        <v>4191</v>
      </c>
      <c r="M378" s="238" t="n">
        <v>12.33</v>
      </c>
      <c r="N378" s="241" t="n">
        <v>0</v>
      </c>
      <c r="O378" s="238" t="n">
        <f aca="false">'INPUT DEBT'!$M378-'INPUT DEBT'!$N378</f>
        <v>12.33</v>
      </c>
      <c r="P378" s="239" t="str">
        <f aca="false">IF(N378=0, "NOT DELIVERED", IF(O378=0, "CLEARED", "PARTIALLY DELIVERED"))</f>
        <v>NOT DELIVERED</v>
      </c>
    </row>
    <row r="379" customFormat="false" ht="14.25" hidden="false" customHeight="true" outlineLevel="0" collapsed="false">
      <c r="A379" s="242" t="n">
        <v>374</v>
      </c>
      <c r="B379" s="243" t="s">
        <v>174</v>
      </c>
      <c r="C379" s="243" t="s">
        <v>3087</v>
      </c>
      <c r="D379" s="243" t="s">
        <v>3088</v>
      </c>
      <c r="E379" s="243" t="s">
        <v>3089</v>
      </c>
      <c r="F379" s="243" t="s">
        <v>1808</v>
      </c>
      <c r="G379" s="243" t="n">
        <v>20</v>
      </c>
      <c r="H379" s="244" t="n">
        <v>3481</v>
      </c>
      <c r="I379" s="244" t="n">
        <v>3720</v>
      </c>
      <c r="J379" s="243" t="n">
        <v>-239</v>
      </c>
      <c r="K379" s="243" t="s">
        <v>25</v>
      </c>
      <c r="L379" s="243" t="n">
        <v>-239</v>
      </c>
      <c r="M379" s="243" t="n">
        <v>10.24</v>
      </c>
      <c r="N379" s="246" t="n">
        <v>10.2</v>
      </c>
      <c r="O379" s="238" t="n">
        <f aca="false">'INPUT DEBT'!$M379-'INPUT DEBT'!$N379</f>
        <v>0.0400000000000009</v>
      </c>
      <c r="P379" s="239" t="s">
        <v>2117</v>
      </c>
    </row>
    <row r="380" customFormat="false" ht="14.25" hidden="false" customHeight="true" outlineLevel="0" collapsed="false">
      <c r="A380" s="237" t="n">
        <v>375</v>
      </c>
      <c r="B380" s="238" t="s">
        <v>174</v>
      </c>
      <c r="C380" s="18" t="s">
        <v>170</v>
      </c>
      <c r="D380" s="238" t="s">
        <v>3090</v>
      </c>
      <c r="E380" s="238" t="s">
        <v>3091</v>
      </c>
      <c r="F380" s="238" t="s">
        <v>1808</v>
      </c>
      <c r="G380" s="238" t="n">
        <v>100</v>
      </c>
      <c r="H380" s="240" t="n">
        <v>28323</v>
      </c>
      <c r="I380" s="240" t="n">
        <v>14763</v>
      </c>
      <c r="J380" s="240" t="n">
        <v>13560</v>
      </c>
      <c r="K380" s="238" t="s">
        <v>25</v>
      </c>
      <c r="L380" s="240" t="n">
        <v>13560</v>
      </c>
      <c r="M380" s="238" t="n">
        <v>83.3</v>
      </c>
      <c r="N380" s="241" t="n">
        <v>40.47</v>
      </c>
      <c r="O380" s="238" t="n">
        <f aca="false">'INPUT DEBT'!$M380-'INPUT DEBT'!$N380</f>
        <v>42.83</v>
      </c>
      <c r="P380" s="239" t="str">
        <f aca="false">IF(N380=0, "NOT DELIVERED", IF(O380=0, "CLEARED", "PARTIALLY DELIVERED"))</f>
        <v>PARTIALLY DELIVERED</v>
      </c>
    </row>
    <row r="381" customFormat="false" ht="14.25" hidden="false" customHeight="true" outlineLevel="0" collapsed="false">
      <c r="A381" s="242" t="n">
        <v>376</v>
      </c>
      <c r="B381" s="243" t="s">
        <v>174</v>
      </c>
      <c r="C381" s="243" t="s">
        <v>3092</v>
      </c>
      <c r="D381" s="243" t="s">
        <v>3093</v>
      </c>
      <c r="E381" s="243" t="s">
        <v>3094</v>
      </c>
      <c r="F381" s="243" t="s">
        <v>1808</v>
      </c>
      <c r="G381" s="243" t="n">
        <v>100</v>
      </c>
      <c r="H381" s="244" t="n">
        <v>14578</v>
      </c>
      <c r="I381" s="243" t="s">
        <v>176</v>
      </c>
      <c r="J381" s="244" t="n">
        <v>14578</v>
      </c>
      <c r="K381" s="243" t="s">
        <v>25</v>
      </c>
      <c r="L381" s="244" t="n">
        <v>14578</v>
      </c>
      <c r="M381" s="243" t="n">
        <v>42.88</v>
      </c>
      <c r="N381" s="246" t="n">
        <v>0</v>
      </c>
      <c r="O381" s="238" t="n">
        <f aca="false">'INPUT DEBT'!$M381-'INPUT DEBT'!$N381</f>
        <v>42.88</v>
      </c>
      <c r="P381" s="239" t="str">
        <f aca="false">IF(N381=0, "NOT DELIVERED", IF(O381=0, "CLEARED", "PARTIALLY DELIVERED"))</f>
        <v>NOT DELIVERED</v>
      </c>
    </row>
    <row r="382" customFormat="false" ht="14.25" hidden="false" customHeight="true" outlineLevel="0" collapsed="false">
      <c r="A382" s="237" t="n">
        <v>377</v>
      </c>
      <c r="B382" s="238" t="s">
        <v>174</v>
      </c>
      <c r="C382" s="18" t="s">
        <v>170</v>
      </c>
      <c r="D382" s="238" t="s">
        <v>3095</v>
      </c>
      <c r="E382" s="238" t="s">
        <v>3096</v>
      </c>
      <c r="F382" s="238" t="s">
        <v>1808</v>
      </c>
      <c r="G382" s="238" t="n">
        <v>200</v>
      </c>
      <c r="H382" s="240" t="n">
        <v>32552</v>
      </c>
      <c r="I382" s="240" t="n">
        <v>10966</v>
      </c>
      <c r="J382" s="240" t="n">
        <v>21586</v>
      </c>
      <c r="K382" s="240" t="n">
        <v>26120</v>
      </c>
      <c r="L382" s="240" t="n">
        <v>-4535</v>
      </c>
      <c r="M382" s="238" t="n">
        <v>95.74</v>
      </c>
      <c r="N382" s="241" t="n">
        <v>30.07</v>
      </c>
      <c r="O382" s="238" t="n">
        <f aca="false">'INPUT DEBT'!$M382-'INPUT DEBT'!$N382</f>
        <v>65.67</v>
      </c>
      <c r="P382" s="239" t="str">
        <f aca="false">IF(N382=0, "NOT DELIVERED", IF(O382=0, "CLEARED", "PARTIALLY DELIVERED"))</f>
        <v>PARTIALLY DELIVERED</v>
      </c>
    </row>
    <row r="383" customFormat="false" ht="14.25" hidden="false" customHeight="true" outlineLevel="0" collapsed="false">
      <c r="A383" s="242" t="n">
        <v>378</v>
      </c>
      <c r="B383" s="243" t="s">
        <v>174</v>
      </c>
      <c r="C383" s="243" t="s">
        <v>3097</v>
      </c>
      <c r="D383" s="243" t="s">
        <v>3098</v>
      </c>
      <c r="E383" s="243" t="s">
        <v>3099</v>
      </c>
      <c r="F383" s="243" t="s">
        <v>1808</v>
      </c>
      <c r="G383" s="243" t="n">
        <v>20</v>
      </c>
      <c r="H383" s="244" t="n">
        <v>4944</v>
      </c>
      <c r="I383" s="243" t="s">
        <v>176</v>
      </c>
      <c r="J383" s="244" t="n">
        <v>4944</v>
      </c>
      <c r="K383" s="243" t="s">
        <v>25</v>
      </c>
      <c r="L383" s="244" t="n">
        <v>4944</v>
      </c>
      <c r="M383" s="243" t="n">
        <v>14.54</v>
      </c>
      <c r="N383" s="246" t="n">
        <v>0</v>
      </c>
      <c r="O383" s="238" t="n">
        <f aca="false">'INPUT DEBT'!$M383-'INPUT DEBT'!$N383</f>
        <v>14.54</v>
      </c>
      <c r="P383" s="239" t="str">
        <f aca="false">IF(N383=0, "NOT DELIVERED", IF(O383=0, "CLEARED", "PARTIALLY DELIVERED"))</f>
        <v>NOT DELIVERED</v>
      </c>
    </row>
    <row r="384" customFormat="false" ht="14.25" hidden="false" customHeight="true" outlineLevel="0" collapsed="false">
      <c r="A384" s="237" t="n">
        <v>379</v>
      </c>
      <c r="B384" s="238" t="s">
        <v>174</v>
      </c>
      <c r="C384" s="238" t="s">
        <v>3100</v>
      </c>
      <c r="D384" s="238" t="s">
        <v>3101</v>
      </c>
      <c r="E384" s="238" t="s">
        <v>3102</v>
      </c>
      <c r="F384" s="238" t="s">
        <v>1808</v>
      </c>
      <c r="G384" s="238" t="n">
        <v>40</v>
      </c>
      <c r="H384" s="240" t="n">
        <v>8461</v>
      </c>
      <c r="I384" s="240" t="n">
        <v>1142</v>
      </c>
      <c r="J384" s="240" t="n">
        <v>7319</v>
      </c>
      <c r="K384" s="238" t="s">
        <v>25</v>
      </c>
      <c r="L384" s="240" t="n">
        <v>7319</v>
      </c>
      <c r="M384" s="238" t="n">
        <v>24.89</v>
      </c>
      <c r="N384" s="241" t="n">
        <v>3.13</v>
      </c>
      <c r="O384" s="238" t="n">
        <f aca="false">'INPUT DEBT'!$M384-'INPUT DEBT'!$N384</f>
        <v>21.76</v>
      </c>
      <c r="P384" s="239" t="str">
        <f aca="false">IF(N384=0, "NOT DELIVERED", IF(O384=0, "CLEARED", "PARTIALLY DELIVERED"))</f>
        <v>PARTIALLY DELIVERED</v>
      </c>
    </row>
    <row r="385" customFormat="false" ht="14.25" hidden="false" customHeight="true" outlineLevel="0" collapsed="false">
      <c r="A385" s="242" t="n">
        <v>380</v>
      </c>
      <c r="B385" s="243" t="s">
        <v>174</v>
      </c>
      <c r="C385" s="243" t="s">
        <v>3103</v>
      </c>
      <c r="D385" s="243" t="s">
        <v>3104</v>
      </c>
      <c r="E385" s="243" t="s">
        <v>3105</v>
      </c>
      <c r="F385" s="243" t="s">
        <v>1808</v>
      </c>
      <c r="G385" s="243" t="n">
        <v>20</v>
      </c>
      <c r="H385" s="243" t="n">
        <v>844</v>
      </c>
      <c r="I385" s="243" t="s">
        <v>176</v>
      </c>
      <c r="J385" s="243" t="n">
        <v>844</v>
      </c>
      <c r="K385" s="243" t="s">
        <v>25</v>
      </c>
      <c r="L385" s="243" t="n">
        <v>844</v>
      </c>
      <c r="M385" s="243" t="n">
        <v>2.48</v>
      </c>
      <c r="N385" s="246" t="n">
        <v>0</v>
      </c>
      <c r="O385" s="238" t="n">
        <f aca="false">'INPUT DEBT'!$M385-'INPUT DEBT'!$N385</f>
        <v>2.48</v>
      </c>
      <c r="P385" s="239" t="str">
        <f aca="false">IF(N385=0, "NOT DELIVERED", IF(O385=0, "CLEARED", "PARTIALLY DELIVERED"))</f>
        <v>NOT DELIVERED</v>
      </c>
    </row>
    <row r="386" customFormat="false" ht="14.25" hidden="false" customHeight="true" outlineLevel="0" collapsed="false">
      <c r="A386" s="237" t="n">
        <v>381</v>
      </c>
      <c r="B386" s="238" t="s">
        <v>174</v>
      </c>
      <c r="C386" s="18" t="s">
        <v>170</v>
      </c>
      <c r="D386" s="238" t="s">
        <v>3106</v>
      </c>
      <c r="E386" s="238" t="s">
        <v>3107</v>
      </c>
      <c r="F386" s="238" t="s">
        <v>1808</v>
      </c>
      <c r="G386" s="238" t="n">
        <v>300</v>
      </c>
      <c r="H386" s="240" t="n">
        <v>64397</v>
      </c>
      <c r="I386" s="238" t="s">
        <v>176</v>
      </c>
      <c r="J386" s="240" t="n">
        <v>64397</v>
      </c>
      <c r="K386" s="238" t="s">
        <v>25</v>
      </c>
      <c r="L386" s="240" t="n">
        <v>64397</v>
      </c>
      <c r="M386" s="238" t="n">
        <v>189.4</v>
      </c>
      <c r="N386" s="241" t="n">
        <v>0</v>
      </c>
      <c r="O386" s="238" t="n">
        <f aca="false">'INPUT DEBT'!$M386-'INPUT DEBT'!$N386</f>
        <v>189.4</v>
      </c>
      <c r="P386" s="239" t="str">
        <f aca="false">IF(N386=0, "NOT DELIVERED", IF(O386=0, "CLEARED", "PARTIALLY DELIVERED"))</f>
        <v>NOT DELIVERED</v>
      </c>
    </row>
    <row r="387" customFormat="false" ht="14.25" hidden="false" customHeight="true" outlineLevel="0" collapsed="false">
      <c r="A387" s="242" t="n">
        <v>382</v>
      </c>
      <c r="B387" s="243" t="s">
        <v>174</v>
      </c>
      <c r="C387" s="18" t="s">
        <v>170</v>
      </c>
      <c r="D387" s="243" t="s">
        <v>1661</v>
      </c>
      <c r="E387" s="243" t="s">
        <v>3108</v>
      </c>
      <c r="F387" s="243" t="s">
        <v>1808</v>
      </c>
      <c r="G387" s="243" t="n">
        <v>20</v>
      </c>
      <c r="H387" s="244" t="n">
        <v>2124</v>
      </c>
      <c r="I387" s="243" t="s">
        <v>176</v>
      </c>
      <c r="J387" s="244" t="n">
        <v>2124</v>
      </c>
      <c r="K387" s="243" t="s">
        <v>25</v>
      </c>
      <c r="L387" s="244" t="n">
        <v>2124</v>
      </c>
      <c r="M387" s="243" t="n">
        <v>6.25</v>
      </c>
      <c r="N387" s="246" t="n">
        <v>0</v>
      </c>
      <c r="O387" s="238" t="n">
        <f aca="false">'INPUT DEBT'!$M387-'INPUT DEBT'!$N387</f>
        <v>6.25</v>
      </c>
      <c r="P387" s="239" t="str">
        <f aca="false">IF(N387=0, "NOT DELIVERED", IF(O387=0, "CLEARED", "PARTIALLY DELIVERED"))</f>
        <v>NOT DELIVERED</v>
      </c>
    </row>
    <row r="388" customFormat="false" ht="14.25" hidden="false" customHeight="true" outlineLevel="0" collapsed="false">
      <c r="A388" s="237" t="n">
        <v>383</v>
      </c>
      <c r="B388" s="238" t="s">
        <v>174</v>
      </c>
      <c r="C388" s="18" t="s">
        <v>170</v>
      </c>
      <c r="D388" s="238" t="s">
        <v>3109</v>
      </c>
      <c r="E388" s="238" t="s">
        <v>3110</v>
      </c>
      <c r="F388" s="238" t="s">
        <v>1808</v>
      </c>
      <c r="G388" s="238" t="n">
        <v>25</v>
      </c>
      <c r="H388" s="240" t="n">
        <v>5447</v>
      </c>
      <c r="I388" s="238" t="s">
        <v>176</v>
      </c>
      <c r="J388" s="240" t="n">
        <v>5447</v>
      </c>
      <c r="K388" s="238" t="s">
        <v>25</v>
      </c>
      <c r="L388" s="240" t="n">
        <v>5447</v>
      </c>
      <c r="M388" s="238" t="n">
        <v>16.02</v>
      </c>
      <c r="N388" s="241" t="n">
        <v>0</v>
      </c>
      <c r="O388" s="238" t="n">
        <f aca="false">'INPUT DEBT'!$M388-'INPUT DEBT'!$N388</f>
        <v>16.02</v>
      </c>
      <c r="P388" s="239" t="str">
        <f aca="false">IF(N388=0, "NOT DELIVERED", IF(O388=0, "CLEARED", "PARTIALLY DELIVERED"))</f>
        <v>NOT DELIVERED</v>
      </c>
    </row>
    <row r="389" customFormat="false" ht="14.25" hidden="false" customHeight="true" outlineLevel="0" collapsed="false">
      <c r="A389" s="242" t="n">
        <v>384</v>
      </c>
      <c r="B389" s="243" t="s">
        <v>174</v>
      </c>
      <c r="C389" s="18" t="s">
        <v>170</v>
      </c>
      <c r="D389" s="243" t="s">
        <v>3104</v>
      </c>
      <c r="E389" s="243" t="s">
        <v>3111</v>
      </c>
      <c r="F389" s="243" t="s">
        <v>1808</v>
      </c>
      <c r="G389" s="243" t="n">
        <v>20</v>
      </c>
      <c r="H389" s="243" t="n">
        <v>546</v>
      </c>
      <c r="I389" s="243" t="s">
        <v>176</v>
      </c>
      <c r="J389" s="243" t="n">
        <v>546</v>
      </c>
      <c r="K389" s="243" t="s">
        <v>25</v>
      </c>
      <c r="L389" s="243" t="n">
        <v>546</v>
      </c>
      <c r="M389" s="243" t="n">
        <v>1.61</v>
      </c>
      <c r="N389" s="246" t="n">
        <v>0</v>
      </c>
      <c r="O389" s="238" t="n">
        <f aca="false">'INPUT DEBT'!$M389-'INPUT DEBT'!$N389</f>
        <v>1.61</v>
      </c>
      <c r="P389" s="239" t="str">
        <f aca="false">IF(N389=0, "NOT DELIVERED", IF(O389=0, "CLEARED", "PARTIALLY DELIVERED"))</f>
        <v>NOT DELIVERED</v>
      </c>
    </row>
    <row r="390" customFormat="false" ht="14.25" hidden="false" customHeight="true" outlineLevel="0" collapsed="false">
      <c r="A390" s="237" t="n">
        <v>385</v>
      </c>
      <c r="B390" s="238" t="s">
        <v>174</v>
      </c>
      <c r="C390" s="18" t="s">
        <v>170</v>
      </c>
      <c r="D390" s="238" t="s">
        <v>3112</v>
      </c>
      <c r="E390" s="238" t="s">
        <v>3113</v>
      </c>
      <c r="F390" s="238" t="s">
        <v>1808</v>
      </c>
      <c r="G390" s="238" t="n">
        <v>15</v>
      </c>
      <c r="H390" s="240" t="n">
        <v>4425</v>
      </c>
      <c r="I390" s="238" t="s">
        <v>176</v>
      </c>
      <c r="J390" s="240" t="n">
        <v>4425</v>
      </c>
      <c r="K390" s="238" t="s">
        <v>25</v>
      </c>
      <c r="L390" s="240" t="n">
        <v>4425</v>
      </c>
      <c r="M390" s="238" t="n">
        <v>13.02</v>
      </c>
      <c r="N390" s="241" t="n">
        <v>0</v>
      </c>
      <c r="O390" s="238" t="n">
        <f aca="false">'INPUT DEBT'!$M390-'INPUT DEBT'!$N390</f>
        <v>13.02</v>
      </c>
      <c r="P390" s="239" t="str">
        <f aca="false">IF(N390=0, "NOT DELIVERED", IF(O390=0, "CLEARED", "PARTIALLY DELIVERED"))</f>
        <v>NOT DELIVERED</v>
      </c>
    </row>
    <row r="391" customFormat="false" ht="14.25" hidden="false" customHeight="true" outlineLevel="0" collapsed="false">
      <c r="A391" s="242" t="n">
        <v>386</v>
      </c>
      <c r="B391" s="243" t="s">
        <v>174</v>
      </c>
      <c r="C391" s="18" t="s">
        <v>170</v>
      </c>
      <c r="D391" s="243" t="s">
        <v>3114</v>
      </c>
      <c r="E391" s="243" t="s">
        <v>3115</v>
      </c>
      <c r="F391" s="243" t="s">
        <v>1808</v>
      </c>
      <c r="G391" s="243" t="n">
        <v>15</v>
      </c>
      <c r="H391" s="244" t="n">
        <v>2729</v>
      </c>
      <c r="I391" s="243" t="s">
        <v>176</v>
      </c>
      <c r="J391" s="244" t="n">
        <v>2729</v>
      </c>
      <c r="K391" s="243" t="s">
        <v>25</v>
      </c>
      <c r="L391" s="244" t="n">
        <v>2729</v>
      </c>
      <c r="M391" s="243" t="n">
        <v>8.03</v>
      </c>
      <c r="N391" s="246" t="n">
        <v>0</v>
      </c>
      <c r="O391" s="238" t="n">
        <f aca="false">'INPUT DEBT'!$M391-'INPUT DEBT'!$N391</f>
        <v>8.03</v>
      </c>
      <c r="P391" s="239" t="str">
        <f aca="false">IF(N391=0, "NOT DELIVERED", IF(O391=0, "CLEARED", "PARTIALLY DELIVERED"))</f>
        <v>NOT DELIVERED</v>
      </c>
    </row>
    <row r="392" customFormat="false" ht="14.25" hidden="false" customHeight="true" outlineLevel="0" collapsed="false">
      <c r="A392" s="237" t="n">
        <v>387</v>
      </c>
      <c r="B392" s="238" t="s">
        <v>170</v>
      </c>
      <c r="C392" s="238" t="s">
        <v>170</v>
      </c>
      <c r="D392" s="238" t="s">
        <v>3116</v>
      </c>
      <c r="E392" s="238" t="s">
        <v>3117</v>
      </c>
      <c r="F392" s="238" t="s">
        <v>1808</v>
      </c>
      <c r="G392" s="238" t="n">
        <v>10</v>
      </c>
      <c r="H392" s="240" t="n">
        <v>2169</v>
      </c>
      <c r="I392" s="238" t="s">
        <v>176</v>
      </c>
      <c r="J392" s="240" t="n">
        <v>2169</v>
      </c>
      <c r="K392" s="238" t="s">
        <v>25</v>
      </c>
      <c r="L392" s="240" t="n">
        <v>2169</v>
      </c>
      <c r="M392" s="238" t="n">
        <v>6.38</v>
      </c>
      <c r="N392" s="241" t="n">
        <v>0</v>
      </c>
      <c r="O392" s="238" t="n">
        <f aca="false">'INPUT DEBT'!$M392-'INPUT DEBT'!$N392</f>
        <v>6.38</v>
      </c>
      <c r="P392" s="239" t="str">
        <f aca="false">IF(N392=0, "NOT DELIVERED", IF(O392=0, "CLEARED", "PARTIALLY DELIVERED"))</f>
        <v>NOT DELIVERED</v>
      </c>
    </row>
    <row r="393" customFormat="false" ht="14.25" hidden="false" customHeight="true" outlineLevel="0" collapsed="false">
      <c r="A393" s="242" t="n">
        <v>388</v>
      </c>
      <c r="B393" s="243" t="s">
        <v>174</v>
      </c>
      <c r="C393" s="18" t="s">
        <v>170</v>
      </c>
      <c r="D393" s="243" t="s">
        <v>3118</v>
      </c>
      <c r="E393" s="243" t="s">
        <v>3119</v>
      </c>
      <c r="F393" s="243" t="s">
        <v>1808</v>
      </c>
      <c r="G393" s="243" t="n">
        <v>20</v>
      </c>
      <c r="H393" s="244" t="n">
        <v>2751</v>
      </c>
      <c r="I393" s="243" t="s">
        <v>176</v>
      </c>
      <c r="J393" s="244" t="n">
        <v>2751</v>
      </c>
      <c r="K393" s="243" t="s">
        <v>25</v>
      </c>
      <c r="L393" s="244" t="n">
        <v>2751</v>
      </c>
      <c r="M393" s="243" t="n">
        <v>8.09</v>
      </c>
      <c r="N393" s="246" t="n">
        <v>0</v>
      </c>
      <c r="O393" s="238" t="n">
        <f aca="false">'INPUT DEBT'!$M393-'INPUT DEBT'!$N393</f>
        <v>8.09</v>
      </c>
      <c r="P393" s="239" t="str">
        <f aca="false">IF(N393=0, "NOT DELIVERED", IF(O393=0, "CLEARED", "PARTIALLY DELIVERED"))</f>
        <v>NOT DELIVERED</v>
      </c>
    </row>
    <row r="394" customFormat="false" ht="14.25" hidden="false" customHeight="true" outlineLevel="0" collapsed="false">
      <c r="A394" s="237" t="n">
        <v>389</v>
      </c>
      <c r="B394" s="238" t="s">
        <v>174</v>
      </c>
      <c r="C394" s="18" t="s">
        <v>170</v>
      </c>
      <c r="D394" s="238" t="s">
        <v>3120</v>
      </c>
      <c r="E394" s="238" t="s">
        <v>3121</v>
      </c>
      <c r="F394" s="238" t="s">
        <v>1808</v>
      </c>
      <c r="G394" s="238" t="n">
        <v>40</v>
      </c>
      <c r="H394" s="240" t="n">
        <v>11581</v>
      </c>
      <c r="I394" s="238" t="s">
        <v>176</v>
      </c>
      <c r="J394" s="240" t="n">
        <v>11581</v>
      </c>
      <c r="K394" s="240" t="n">
        <v>11943</v>
      </c>
      <c r="L394" s="238" t="n">
        <v>-363</v>
      </c>
      <c r="M394" s="238" t="n">
        <v>34.06</v>
      </c>
      <c r="N394" s="241" t="n">
        <v>0</v>
      </c>
      <c r="O394" s="238" t="n">
        <f aca="false">'INPUT DEBT'!$M394-'INPUT DEBT'!$N394</f>
        <v>34.06</v>
      </c>
      <c r="P394" s="239" t="str">
        <f aca="false">IF(N394=0, "NOT DELIVERED", IF(O394=0, "CLEARED", "PARTIALLY DELIVERED"))</f>
        <v>NOT DELIVERED</v>
      </c>
    </row>
    <row r="395" customFormat="false" ht="14.25" hidden="false" customHeight="true" outlineLevel="0" collapsed="false">
      <c r="A395" s="242" t="n">
        <v>390</v>
      </c>
      <c r="B395" s="243" t="s">
        <v>174</v>
      </c>
      <c r="C395" s="18" t="s">
        <v>170</v>
      </c>
      <c r="D395" s="243" t="s">
        <v>3122</v>
      </c>
      <c r="E395" s="243" t="s">
        <v>3123</v>
      </c>
      <c r="F395" s="243" t="s">
        <v>1808</v>
      </c>
      <c r="G395" s="243" t="n">
        <v>20</v>
      </c>
      <c r="H395" s="244" t="n">
        <v>2531</v>
      </c>
      <c r="I395" s="244" t="n">
        <v>3020</v>
      </c>
      <c r="J395" s="243" t="n">
        <v>-488</v>
      </c>
      <c r="K395" s="243" t="n">
        <f aca="false">'INPUT DEBT'!$J395+2733.9</f>
        <v>2245.9</v>
      </c>
      <c r="L395" s="243" t="n">
        <v>-488</v>
      </c>
      <c r="M395" s="243" t="n">
        <v>7.45</v>
      </c>
      <c r="N395" s="246" t="n">
        <v>8.28</v>
      </c>
      <c r="O395" s="238" t="n">
        <f aca="false">'INPUT DEBT'!$M395-'INPUT DEBT'!$N395</f>
        <v>-0.829999999999999</v>
      </c>
      <c r="P395" s="239" t="s">
        <v>2117</v>
      </c>
    </row>
    <row r="396" customFormat="false" ht="14.25" hidden="false" customHeight="true" outlineLevel="0" collapsed="false">
      <c r="A396" s="237" t="n">
        <v>391</v>
      </c>
      <c r="B396" s="238" t="s">
        <v>174</v>
      </c>
      <c r="C396" s="238" t="s">
        <v>3124</v>
      </c>
      <c r="D396" s="238" t="s">
        <v>3125</v>
      </c>
      <c r="E396" s="238" t="s">
        <v>3126</v>
      </c>
      <c r="F396" s="238" t="s">
        <v>1808</v>
      </c>
      <c r="G396" s="238" t="n">
        <v>125</v>
      </c>
      <c r="H396" s="240" t="n">
        <v>18352</v>
      </c>
      <c r="I396" s="238" t="s">
        <v>176</v>
      </c>
      <c r="J396" s="240" t="n">
        <v>18352</v>
      </c>
      <c r="K396" s="238" t="s">
        <v>25</v>
      </c>
      <c r="L396" s="240" t="n">
        <v>18352</v>
      </c>
      <c r="M396" s="238" t="n">
        <v>53.98</v>
      </c>
      <c r="N396" s="241" t="n">
        <v>0</v>
      </c>
      <c r="O396" s="238" t="n">
        <f aca="false">'INPUT DEBT'!$M396-'INPUT DEBT'!$N396</f>
        <v>53.98</v>
      </c>
      <c r="P396" s="239" t="str">
        <f aca="false">IF(N396=0, "NOT DELIVERED", IF(O396=0, "CLEARED", "PARTIALLY DELIVERED"))</f>
        <v>NOT DELIVERED</v>
      </c>
    </row>
    <row r="397" customFormat="false" ht="14.25" hidden="false" customHeight="true" outlineLevel="0" collapsed="false">
      <c r="A397" s="242" t="n">
        <v>392</v>
      </c>
      <c r="B397" s="243" t="s">
        <v>174</v>
      </c>
      <c r="C397" s="18" t="s">
        <v>170</v>
      </c>
      <c r="D397" s="243" t="s">
        <v>3127</v>
      </c>
      <c r="E397" s="243" t="s">
        <v>3128</v>
      </c>
      <c r="F397" s="243" t="s">
        <v>1808</v>
      </c>
      <c r="G397" s="243" t="n">
        <v>10</v>
      </c>
      <c r="H397" s="244" t="n">
        <v>4137</v>
      </c>
      <c r="I397" s="243" t="s">
        <v>176</v>
      </c>
      <c r="J397" s="244" t="n">
        <v>4137</v>
      </c>
      <c r="K397" s="243" t="s">
        <v>25</v>
      </c>
      <c r="L397" s="244" t="n">
        <v>4137</v>
      </c>
      <c r="M397" s="243" t="n">
        <v>12.17</v>
      </c>
      <c r="N397" s="246" t="n">
        <v>0</v>
      </c>
      <c r="O397" s="238" t="n">
        <f aca="false">'INPUT DEBT'!$M397-'INPUT DEBT'!$N397</f>
        <v>12.17</v>
      </c>
      <c r="P397" s="239" t="str">
        <f aca="false">IF(N397=0, "NOT DELIVERED", IF(O397=0, "CLEARED", "PARTIALLY DELIVERED"))</f>
        <v>NOT DELIVERED</v>
      </c>
    </row>
    <row r="398" customFormat="false" ht="14.25" hidden="false" customHeight="true" outlineLevel="0" collapsed="false">
      <c r="A398" s="237" t="n">
        <v>393</v>
      </c>
      <c r="B398" s="238" t="s">
        <v>174</v>
      </c>
      <c r="C398" s="238" t="s">
        <v>3129</v>
      </c>
      <c r="D398" s="238" t="s">
        <v>3130</v>
      </c>
      <c r="E398" s="238" t="s">
        <v>3131</v>
      </c>
      <c r="F398" s="238" t="s">
        <v>1808</v>
      </c>
      <c r="G398" s="238" t="n">
        <v>10</v>
      </c>
      <c r="H398" s="240" t="n">
        <v>1881</v>
      </c>
      <c r="I398" s="238" t="s">
        <v>176</v>
      </c>
      <c r="J398" s="240" t="n">
        <v>1881</v>
      </c>
      <c r="K398" s="238" t="s">
        <v>25</v>
      </c>
      <c r="L398" s="240" t="n">
        <v>1881</v>
      </c>
      <c r="M398" s="238" t="n">
        <v>5.53</v>
      </c>
      <c r="N398" s="241" t="n">
        <v>0</v>
      </c>
      <c r="O398" s="238" t="n">
        <f aca="false">'INPUT DEBT'!$M398-'INPUT DEBT'!$N398</f>
        <v>5.53</v>
      </c>
      <c r="P398" s="239" t="str">
        <f aca="false">IF(N398=0, "NOT DELIVERED", IF(O398=0, "CLEARED", "PARTIALLY DELIVERED"))</f>
        <v>NOT DELIVERED</v>
      </c>
    </row>
    <row r="399" customFormat="false" ht="14.25" hidden="false" customHeight="true" outlineLevel="0" collapsed="false">
      <c r="A399" s="242" t="n">
        <v>394</v>
      </c>
      <c r="B399" s="243" t="s">
        <v>174</v>
      </c>
      <c r="C399" s="18" t="s">
        <v>170</v>
      </c>
      <c r="D399" s="243" t="s">
        <v>3132</v>
      </c>
      <c r="E399" s="243" t="s">
        <v>3133</v>
      </c>
      <c r="F399" s="243" t="s">
        <v>1808</v>
      </c>
      <c r="G399" s="243" t="n">
        <v>20</v>
      </c>
      <c r="H399" s="244" t="n">
        <v>5694</v>
      </c>
      <c r="I399" s="243" t="s">
        <v>176</v>
      </c>
      <c r="J399" s="244" t="n">
        <v>5694</v>
      </c>
      <c r="K399" s="243" t="s">
        <v>25</v>
      </c>
      <c r="L399" s="244" t="n">
        <v>5694</v>
      </c>
      <c r="M399" s="243" t="n">
        <v>16.75</v>
      </c>
      <c r="N399" s="246" t="n">
        <v>0</v>
      </c>
      <c r="O399" s="238" t="n">
        <f aca="false">'INPUT DEBT'!$M399-'INPUT DEBT'!$N399</f>
        <v>16.75</v>
      </c>
      <c r="P399" s="239" t="str">
        <f aca="false">IF(N399=0, "NOT DELIVERED", IF(O399=0, "CLEARED", "PARTIALLY DELIVERED"))</f>
        <v>NOT DELIVERED</v>
      </c>
    </row>
    <row r="400" customFormat="false" ht="14.25" hidden="false" customHeight="true" outlineLevel="0" collapsed="false">
      <c r="A400" s="237" t="n">
        <v>395</v>
      </c>
      <c r="B400" s="238" t="s">
        <v>174</v>
      </c>
      <c r="C400" s="18" t="s">
        <v>170</v>
      </c>
      <c r="D400" s="238" t="s">
        <v>3134</v>
      </c>
      <c r="E400" s="238" t="s">
        <v>3135</v>
      </c>
      <c r="F400" s="238" t="s">
        <v>1808</v>
      </c>
      <c r="G400" s="238" t="n">
        <v>10</v>
      </c>
      <c r="H400" s="240" t="n">
        <v>4619</v>
      </c>
      <c r="I400" s="238" t="s">
        <v>176</v>
      </c>
      <c r="J400" s="240" t="n">
        <v>4619</v>
      </c>
      <c r="K400" s="238" t="s">
        <v>25</v>
      </c>
      <c r="L400" s="240" t="n">
        <v>4619</v>
      </c>
      <c r="M400" s="238" t="n">
        <v>13.59</v>
      </c>
      <c r="N400" s="241" t="n">
        <v>0</v>
      </c>
      <c r="O400" s="238" t="n">
        <f aca="false">'INPUT DEBT'!$M400-'INPUT DEBT'!$N400</f>
        <v>13.59</v>
      </c>
      <c r="P400" s="239" t="str">
        <f aca="false">IF(N400=0, "NOT DELIVERED", IF(O400=0, "CLEARED", "PARTIALLY DELIVERED"))</f>
        <v>NOT DELIVERED</v>
      </c>
    </row>
    <row r="401" customFormat="false" ht="14.25" hidden="false" customHeight="true" outlineLevel="0" collapsed="false">
      <c r="A401" s="242" t="n">
        <v>396</v>
      </c>
      <c r="B401" s="243" t="s">
        <v>174</v>
      </c>
      <c r="C401" s="18" t="s">
        <v>170</v>
      </c>
      <c r="D401" s="243" t="s">
        <v>3136</v>
      </c>
      <c r="E401" s="243" t="s">
        <v>3137</v>
      </c>
      <c r="F401" s="243" t="s">
        <v>1808</v>
      </c>
      <c r="G401" s="243" t="n">
        <v>50</v>
      </c>
      <c r="H401" s="244" t="n">
        <v>10123</v>
      </c>
      <c r="I401" s="244" t="n">
        <v>1695</v>
      </c>
      <c r="J401" s="244" t="n">
        <v>8427</v>
      </c>
      <c r="K401" s="243" t="s">
        <v>25</v>
      </c>
      <c r="L401" s="244" t="n">
        <v>8427</v>
      </c>
      <c r="M401" s="243" t="n">
        <v>29.77</v>
      </c>
      <c r="N401" s="246" t="n">
        <v>4.65</v>
      </c>
      <c r="O401" s="238" t="n">
        <f aca="false">'INPUT DEBT'!$M401-'INPUT DEBT'!$N401</f>
        <v>25.12</v>
      </c>
      <c r="P401" s="239" t="str">
        <f aca="false">IF(N401=0, "NOT DELIVERED", IF(O401=0, "CLEARED", "PARTIALLY DELIVERED"))</f>
        <v>PARTIALLY DELIVERED</v>
      </c>
    </row>
    <row r="402" customFormat="false" ht="14.25" hidden="false" customHeight="true" outlineLevel="0" collapsed="false">
      <c r="A402" s="237" t="n">
        <v>397</v>
      </c>
      <c r="B402" s="238" t="s">
        <v>174</v>
      </c>
      <c r="C402" s="238" t="s">
        <v>3138</v>
      </c>
      <c r="D402" s="238" t="s">
        <v>3139</v>
      </c>
      <c r="E402" s="238" t="s">
        <v>3140</v>
      </c>
      <c r="F402" s="238" t="s">
        <v>1808</v>
      </c>
      <c r="G402" s="238" t="n">
        <v>10</v>
      </c>
      <c r="H402" s="240" t="n">
        <v>1285</v>
      </c>
      <c r="I402" s="238" t="s">
        <v>176</v>
      </c>
      <c r="J402" s="240" t="n">
        <v>1285</v>
      </c>
      <c r="K402" s="238" t="s">
        <v>25</v>
      </c>
      <c r="L402" s="240" t="n">
        <v>1285</v>
      </c>
      <c r="M402" s="238" t="n">
        <v>3.78</v>
      </c>
      <c r="N402" s="241" t="n">
        <v>0</v>
      </c>
      <c r="O402" s="238" t="n">
        <f aca="false">'INPUT DEBT'!$M402-'INPUT DEBT'!$N402</f>
        <v>3.78</v>
      </c>
      <c r="P402" s="239" t="str">
        <f aca="false">IF(N402=0, "NOT DELIVERED", IF(O402=0, "CLEARED", "PARTIALLY DELIVERED"))</f>
        <v>NOT DELIVERED</v>
      </c>
    </row>
    <row r="403" customFormat="false" ht="14.25" hidden="false" customHeight="true" outlineLevel="0" collapsed="false">
      <c r="A403" s="242" t="n">
        <v>398</v>
      </c>
      <c r="B403" s="243" t="s">
        <v>174</v>
      </c>
      <c r="C403" s="18" t="s">
        <v>170</v>
      </c>
      <c r="D403" s="243" t="s">
        <v>3141</v>
      </c>
      <c r="E403" s="243" t="s">
        <v>3142</v>
      </c>
      <c r="F403" s="243" t="s">
        <v>1808</v>
      </c>
      <c r="G403" s="243" t="n">
        <v>10</v>
      </c>
      <c r="H403" s="244" t="n">
        <v>3840</v>
      </c>
      <c r="I403" s="243" t="s">
        <v>176</v>
      </c>
      <c r="J403" s="244" t="n">
        <v>3840</v>
      </c>
      <c r="K403" s="243" t="s">
        <v>25</v>
      </c>
      <c r="L403" s="244" t="n">
        <v>3840</v>
      </c>
      <c r="M403" s="243" t="n">
        <v>11.29</v>
      </c>
      <c r="N403" s="246" t="n">
        <v>0</v>
      </c>
      <c r="O403" s="238" t="n">
        <f aca="false">'INPUT DEBT'!$M403-'INPUT DEBT'!$N403</f>
        <v>11.29</v>
      </c>
      <c r="P403" s="239" t="str">
        <f aca="false">IF(N403=0, "NOT DELIVERED", IF(O403=0, "CLEARED", "PARTIALLY DELIVERED"))</f>
        <v>NOT DELIVERED</v>
      </c>
    </row>
    <row r="404" customFormat="false" ht="14.25" hidden="false" customHeight="true" outlineLevel="0" collapsed="false">
      <c r="A404" s="237" t="n">
        <v>399</v>
      </c>
      <c r="B404" s="238" t="s">
        <v>174</v>
      </c>
      <c r="C404" s="18" t="s">
        <v>170</v>
      </c>
      <c r="D404" s="238" t="s">
        <v>3143</v>
      </c>
      <c r="E404" s="238" t="s">
        <v>3144</v>
      </c>
      <c r="F404" s="238" t="s">
        <v>1808</v>
      </c>
      <c r="G404" s="238" t="n">
        <v>10</v>
      </c>
      <c r="H404" s="238" t="n">
        <v>273</v>
      </c>
      <c r="I404" s="238" t="s">
        <v>176</v>
      </c>
      <c r="J404" s="238" t="n">
        <v>273</v>
      </c>
      <c r="K404" s="238" t="s">
        <v>25</v>
      </c>
      <c r="L404" s="238" t="n">
        <v>273</v>
      </c>
      <c r="M404" s="238" t="n">
        <v>0.8</v>
      </c>
      <c r="N404" s="241" t="n">
        <v>0</v>
      </c>
      <c r="O404" s="238" t="n">
        <f aca="false">'INPUT DEBT'!$M404-'INPUT DEBT'!$N404</f>
        <v>0.8</v>
      </c>
      <c r="P404" s="239" t="s">
        <v>2117</v>
      </c>
    </row>
    <row r="405" customFormat="false" ht="14.25" hidden="false" customHeight="true" outlineLevel="0" collapsed="false">
      <c r="A405" s="242" t="n">
        <v>400</v>
      </c>
      <c r="B405" s="243" t="s">
        <v>174</v>
      </c>
      <c r="C405" s="18" t="s">
        <v>170</v>
      </c>
      <c r="D405" s="243" t="s">
        <v>3145</v>
      </c>
      <c r="E405" s="243" t="s">
        <v>3146</v>
      </c>
      <c r="F405" s="243" t="s">
        <v>1808</v>
      </c>
      <c r="G405" s="243" t="n">
        <v>20</v>
      </c>
      <c r="H405" s="244" t="n">
        <v>2745</v>
      </c>
      <c r="I405" s="243" t="s">
        <v>176</v>
      </c>
      <c r="J405" s="244" t="n">
        <v>2745</v>
      </c>
      <c r="K405" s="243" t="s">
        <v>25</v>
      </c>
      <c r="L405" s="244" t="n">
        <v>2745</v>
      </c>
      <c r="M405" s="243" t="n">
        <v>8.07</v>
      </c>
      <c r="N405" s="246" t="n">
        <v>0</v>
      </c>
      <c r="O405" s="238" t="n">
        <f aca="false">'INPUT DEBT'!$M405-'INPUT DEBT'!$N405</f>
        <v>8.07</v>
      </c>
      <c r="P405" s="239" t="str">
        <f aca="false">IF(N405=0, "NOT DELIVERED", IF(O405=0, "CLEARED", "PARTIALLY DELIVERED"))</f>
        <v>NOT DELIVERED</v>
      </c>
    </row>
    <row r="406" customFormat="false" ht="14.25" hidden="false" customHeight="true" outlineLevel="0" collapsed="false">
      <c r="A406" s="237" t="n">
        <v>401</v>
      </c>
      <c r="B406" s="238" t="s">
        <v>174</v>
      </c>
      <c r="C406" s="238" t="s">
        <v>3147</v>
      </c>
      <c r="D406" s="238" t="s">
        <v>3148</v>
      </c>
      <c r="E406" s="238" t="s">
        <v>3149</v>
      </c>
      <c r="F406" s="238" t="s">
        <v>1808</v>
      </c>
      <c r="G406" s="238" t="n">
        <v>10</v>
      </c>
      <c r="H406" s="240" t="n">
        <v>3435</v>
      </c>
      <c r="I406" s="238" t="s">
        <v>176</v>
      </c>
      <c r="J406" s="240" t="n">
        <v>3435</v>
      </c>
      <c r="K406" s="238" t="s">
        <v>25</v>
      </c>
      <c r="L406" s="240" t="n">
        <v>3435</v>
      </c>
      <c r="M406" s="238" t="n">
        <v>10.1</v>
      </c>
      <c r="N406" s="241" t="n">
        <v>0</v>
      </c>
      <c r="O406" s="238" t="n">
        <f aca="false">'INPUT DEBT'!$M406-'INPUT DEBT'!$N406</f>
        <v>10.1</v>
      </c>
      <c r="P406" s="239" t="str">
        <f aca="false">IF(N406=0, "NOT DELIVERED", IF(O406=0, "CLEARED", "PARTIALLY DELIVERED"))</f>
        <v>NOT DELIVERED</v>
      </c>
    </row>
    <row r="407" customFormat="false" ht="14.25" hidden="false" customHeight="true" outlineLevel="0" collapsed="false">
      <c r="A407" s="242" t="n">
        <v>402</v>
      </c>
      <c r="B407" s="243" t="s">
        <v>193</v>
      </c>
      <c r="C407" s="18" t="s">
        <v>170</v>
      </c>
      <c r="D407" s="243" t="s">
        <v>3150</v>
      </c>
      <c r="E407" s="243" t="s">
        <v>3151</v>
      </c>
      <c r="F407" s="243" t="s">
        <v>1808</v>
      </c>
      <c r="G407" s="243" t="n">
        <v>10</v>
      </c>
      <c r="H407" s="244" t="n">
        <v>3800</v>
      </c>
      <c r="I407" s="243" t="s">
        <v>176</v>
      </c>
      <c r="J407" s="244" t="n">
        <v>3800</v>
      </c>
      <c r="K407" s="243" t="s">
        <v>25</v>
      </c>
      <c r="L407" s="244" t="n">
        <v>3800</v>
      </c>
      <c r="M407" s="243" t="n">
        <v>11.18</v>
      </c>
      <c r="N407" s="246" t="n">
        <v>0</v>
      </c>
      <c r="O407" s="238" t="n">
        <f aca="false">'INPUT DEBT'!$M407-'INPUT DEBT'!$N407</f>
        <v>11.18</v>
      </c>
      <c r="P407" s="239" t="str">
        <f aca="false">IF(N407=0, "NOT DELIVERED", IF(O407=0, "CLEARED", "PARTIALLY DELIVERED"))</f>
        <v>NOT DELIVERED</v>
      </c>
    </row>
    <row r="408" customFormat="false" ht="14.25" hidden="false" customHeight="true" outlineLevel="0" collapsed="false">
      <c r="A408" s="237" t="n">
        <v>403</v>
      </c>
      <c r="B408" s="238" t="s">
        <v>174</v>
      </c>
      <c r="C408" s="18" t="s">
        <v>170</v>
      </c>
      <c r="D408" s="238" t="s">
        <v>3152</v>
      </c>
      <c r="E408" s="238" t="s">
        <v>3153</v>
      </c>
      <c r="F408" s="238" t="s">
        <v>1808</v>
      </c>
      <c r="G408" s="238" t="n">
        <v>40</v>
      </c>
      <c r="H408" s="240" t="n">
        <v>9211</v>
      </c>
      <c r="I408" s="238" t="s">
        <v>176</v>
      </c>
      <c r="J408" s="240" t="n">
        <v>9211</v>
      </c>
      <c r="K408" s="238" t="s">
        <v>25</v>
      </c>
      <c r="L408" s="240" t="n">
        <v>9211</v>
      </c>
      <c r="M408" s="238" t="n">
        <v>27.09</v>
      </c>
      <c r="N408" s="241" t="n">
        <v>0</v>
      </c>
      <c r="O408" s="238" t="n">
        <f aca="false">'INPUT DEBT'!$M408-'INPUT DEBT'!$N408</f>
        <v>27.09</v>
      </c>
      <c r="P408" s="239" t="str">
        <f aca="false">IF(N408=0, "NOT DELIVERED", IF(O408=0, "CLEARED", "PARTIALLY DELIVERED"))</f>
        <v>NOT DELIVERED</v>
      </c>
    </row>
    <row r="409" customFormat="false" ht="14.25" hidden="false" customHeight="true" outlineLevel="0" collapsed="false">
      <c r="A409" s="242" t="n">
        <v>404</v>
      </c>
      <c r="B409" s="243" t="s">
        <v>174</v>
      </c>
      <c r="C409" s="243" t="s">
        <v>3154</v>
      </c>
      <c r="D409" s="243" t="s">
        <v>3155</v>
      </c>
      <c r="E409" s="243" t="s">
        <v>3156</v>
      </c>
      <c r="F409" s="243" t="s">
        <v>1808</v>
      </c>
      <c r="G409" s="243" t="n">
        <v>10</v>
      </c>
      <c r="H409" s="244" t="n">
        <v>2014</v>
      </c>
      <c r="I409" s="243" t="s">
        <v>176</v>
      </c>
      <c r="J409" s="244" t="n">
        <v>2014</v>
      </c>
      <c r="K409" s="243" t="s">
        <v>25</v>
      </c>
      <c r="L409" s="244" t="n">
        <v>2014</v>
      </c>
      <c r="M409" s="243" t="n">
        <v>5.92</v>
      </c>
      <c r="N409" s="246" t="n">
        <v>0</v>
      </c>
      <c r="O409" s="238" t="n">
        <f aca="false">'INPUT DEBT'!$M409-'INPUT DEBT'!$N409</f>
        <v>5.92</v>
      </c>
      <c r="P409" s="239" t="str">
        <f aca="false">IF(N409=0, "NOT DELIVERED", IF(O409=0, "CLEARED", "PARTIALLY DELIVERED"))</f>
        <v>NOT DELIVERED</v>
      </c>
    </row>
    <row r="410" customFormat="false" ht="14.25" hidden="false" customHeight="true" outlineLevel="0" collapsed="false">
      <c r="A410" s="237" t="n">
        <v>405</v>
      </c>
      <c r="B410" s="238" t="s">
        <v>174</v>
      </c>
      <c r="C410" s="238" t="s">
        <v>3157</v>
      </c>
      <c r="D410" s="238" t="s">
        <v>3158</v>
      </c>
      <c r="E410" s="238" t="s">
        <v>3159</v>
      </c>
      <c r="F410" s="238" t="s">
        <v>1808</v>
      </c>
      <c r="G410" s="238" t="n">
        <v>20</v>
      </c>
      <c r="H410" s="240" t="n">
        <v>4241</v>
      </c>
      <c r="I410" s="238" t="s">
        <v>176</v>
      </c>
      <c r="J410" s="240" t="n">
        <v>4241</v>
      </c>
      <c r="K410" s="238" t="s">
        <v>25</v>
      </c>
      <c r="L410" s="240" t="n">
        <v>4241</v>
      </c>
      <c r="M410" s="238" t="n">
        <v>12.47</v>
      </c>
      <c r="N410" s="241" t="n">
        <v>0</v>
      </c>
      <c r="O410" s="238" t="n">
        <f aca="false">'INPUT DEBT'!$M410-'INPUT DEBT'!$N410</f>
        <v>12.47</v>
      </c>
      <c r="P410" s="239" t="str">
        <f aca="false">IF(N410=0, "NOT DELIVERED", IF(O410=0, "CLEARED", "PARTIALLY DELIVERED"))</f>
        <v>NOT DELIVERED</v>
      </c>
    </row>
    <row r="411" customFormat="false" ht="14.25" hidden="false" customHeight="true" outlineLevel="0" collapsed="false">
      <c r="A411" s="242" t="n">
        <v>406</v>
      </c>
      <c r="B411" s="243" t="s">
        <v>174</v>
      </c>
      <c r="C411" s="243" t="s">
        <v>3160</v>
      </c>
      <c r="D411" s="243" t="s">
        <v>3161</v>
      </c>
      <c r="E411" s="243" t="s">
        <v>3162</v>
      </c>
      <c r="F411" s="243" t="s">
        <v>1808</v>
      </c>
      <c r="G411" s="243" t="n">
        <v>10</v>
      </c>
      <c r="H411" s="244" t="n">
        <v>1375</v>
      </c>
      <c r="I411" s="243" t="s">
        <v>176</v>
      </c>
      <c r="J411" s="244" t="n">
        <v>1375</v>
      </c>
      <c r="K411" s="243" t="s">
        <v>25</v>
      </c>
      <c r="L411" s="244" t="n">
        <v>1375</v>
      </c>
      <c r="M411" s="243" t="n">
        <v>4.05</v>
      </c>
      <c r="N411" s="246" t="n">
        <v>0</v>
      </c>
      <c r="O411" s="238" t="n">
        <f aca="false">'INPUT DEBT'!$M411-'INPUT DEBT'!$N411</f>
        <v>4.05</v>
      </c>
      <c r="P411" s="239" t="str">
        <f aca="false">IF(N411=0, "NOT DELIVERED", IF(O411=0, "CLEARED", "PARTIALLY DELIVERED"))</f>
        <v>NOT DELIVERED</v>
      </c>
    </row>
    <row r="412" customFormat="false" ht="14.25" hidden="false" customHeight="true" outlineLevel="0" collapsed="false">
      <c r="A412" s="237" t="n">
        <v>407</v>
      </c>
      <c r="B412" s="238" t="s">
        <v>174</v>
      </c>
      <c r="C412" s="238" t="s">
        <v>3163</v>
      </c>
      <c r="D412" s="238" t="s">
        <v>1545</v>
      </c>
      <c r="E412" s="238" t="s">
        <v>3164</v>
      </c>
      <c r="F412" s="238" t="s">
        <v>1808</v>
      </c>
      <c r="G412" s="238" t="n">
        <v>15</v>
      </c>
      <c r="H412" s="240" t="n">
        <v>3725</v>
      </c>
      <c r="I412" s="238" t="s">
        <v>176</v>
      </c>
      <c r="J412" s="240" t="n">
        <v>3725</v>
      </c>
      <c r="K412" s="238" t="s">
        <v>25</v>
      </c>
      <c r="L412" s="240" t="n">
        <v>3725</v>
      </c>
      <c r="M412" s="238" t="n">
        <v>10.96</v>
      </c>
      <c r="N412" s="241" t="n">
        <v>0</v>
      </c>
      <c r="O412" s="238" t="n">
        <f aca="false">'INPUT DEBT'!$M412-'INPUT DEBT'!$N412</f>
        <v>10.96</v>
      </c>
      <c r="P412" s="239" t="str">
        <f aca="false">IF(N412=0, "NOT DELIVERED", IF(O412=0, "CLEARED", "PARTIALLY DELIVERED"))</f>
        <v>NOT DELIVERED</v>
      </c>
    </row>
    <row r="413" customFormat="false" ht="14.25" hidden="false" customHeight="true" outlineLevel="0" collapsed="false">
      <c r="A413" s="242" t="n">
        <v>408</v>
      </c>
      <c r="B413" s="243" t="s">
        <v>174</v>
      </c>
      <c r="C413" s="243" t="s">
        <v>3165</v>
      </c>
      <c r="D413" s="243" t="s">
        <v>1662</v>
      </c>
      <c r="E413" s="243" t="s">
        <v>3166</v>
      </c>
      <c r="F413" s="243" t="s">
        <v>1808</v>
      </c>
      <c r="G413" s="243" t="n">
        <v>15</v>
      </c>
      <c r="H413" s="244" t="n">
        <v>2729</v>
      </c>
      <c r="I413" s="243" t="s">
        <v>176</v>
      </c>
      <c r="J413" s="244" t="n">
        <v>2729</v>
      </c>
      <c r="K413" s="243" t="s">
        <v>25</v>
      </c>
      <c r="L413" s="244" t="n">
        <v>2729</v>
      </c>
      <c r="M413" s="243" t="n">
        <v>8.03</v>
      </c>
      <c r="N413" s="246" t="n">
        <v>0</v>
      </c>
      <c r="O413" s="238" t="n">
        <f aca="false">'INPUT DEBT'!$M413-'INPUT DEBT'!$N413</f>
        <v>8.03</v>
      </c>
      <c r="P413" s="239" t="str">
        <f aca="false">IF(N413=0, "NOT DELIVERED", IF(O413=0, "CLEARED", "PARTIALLY DELIVERED"))</f>
        <v>NOT DELIVERED</v>
      </c>
    </row>
    <row r="414" customFormat="false" ht="14.25" hidden="false" customHeight="true" outlineLevel="0" collapsed="false">
      <c r="A414" s="237" t="n">
        <v>409</v>
      </c>
      <c r="B414" s="238" t="s">
        <v>174</v>
      </c>
      <c r="C414" s="238" t="s">
        <v>3167</v>
      </c>
      <c r="D414" s="238" t="s">
        <v>1663</v>
      </c>
      <c r="E414" s="238" t="s">
        <v>3168</v>
      </c>
      <c r="F414" s="238" t="s">
        <v>1808</v>
      </c>
      <c r="G414" s="238" t="n">
        <v>15</v>
      </c>
      <c r="H414" s="240" t="n">
        <v>4589</v>
      </c>
      <c r="I414" s="238" t="s">
        <v>176</v>
      </c>
      <c r="J414" s="240" t="n">
        <v>4589</v>
      </c>
      <c r="K414" s="253" t="n">
        <f aca="false">'INPUT DEBT'!$J414-1366.95</f>
        <v>3222.05</v>
      </c>
      <c r="L414" s="240" t="n">
        <v>4589</v>
      </c>
      <c r="M414" s="238" t="n">
        <v>13.5</v>
      </c>
      <c r="N414" s="241" t="n">
        <v>0</v>
      </c>
      <c r="O414" s="238" t="n">
        <f aca="false">'INPUT DEBT'!$M414-'INPUT DEBT'!$N414</f>
        <v>13.5</v>
      </c>
      <c r="P414" s="239" t="str">
        <f aca="false">IF(N414=0, "NOT DELIVERED", IF(O414=0, "CLEARED", "PARTIALLY DELIVERED"))</f>
        <v>NOT DELIVERED</v>
      </c>
    </row>
    <row r="415" customFormat="false" ht="14.25" hidden="false" customHeight="true" outlineLevel="0" collapsed="false">
      <c r="A415" s="242" t="n">
        <v>410</v>
      </c>
      <c r="B415" s="243" t="s">
        <v>174</v>
      </c>
      <c r="C415" s="243" t="s">
        <v>3169</v>
      </c>
      <c r="D415" s="243" t="s">
        <v>1664</v>
      </c>
      <c r="E415" s="243" t="s">
        <v>3170</v>
      </c>
      <c r="F415" s="243" t="s">
        <v>1808</v>
      </c>
      <c r="G415" s="243" t="n">
        <v>10</v>
      </c>
      <c r="H415" s="244" t="n">
        <v>1285</v>
      </c>
      <c r="I415" s="243" t="s">
        <v>176</v>
      </c>
      <c r="J415" s="244" t="n">
        <v>1285</v>
      </c>
      <c r="K415" s="243" t="s">
        <v>25</v>
      </c>
      <c r="L415" s="244" t="n">
        <v>1285</v>
      </c>
      <c r="M415" s="243" t="n">
        <v>3.78</v>
      </c>
      <c r="N415" s="246" t="n">
        <v>0</v>
      </c>
      <c r="O415" s="238" t="n">
        <f aca="false">'INPUT DEBT'!$M415-'INPUT DEBT'!$N415</f>
        <v>3.78</v>
      </c>
      <c r="P415" s="239" t="str">
        <f aca="false">IF(N415=0, "NOT DELIVERED", IF(O415=0, "CLEARED", "PARTIALLY DELIVERED"))</f>
        <v>NOT DELIVERED</v>
      </c>
    </row>
    <row r="416" customFormat="false" ht="14.25" hidden="false" customHeight="true" outlineLevel="0" collapsed="false">
      <c r="A416" s="237" t="n">
        <v>411</v>
      </c>
      <c r="B416" s="238" t="s">
        <v>174</v>
      </c>
      <c r="C416" s="238" t="s">
        <v>3171</v>
      </c>
      <c r="D416" s="238" t="s">
        <v>1667</v>
      </c>
      <c r="E416" s="238" t="s">
        <v>3172</v>
      </c>
      <c r="F416" s="238" t="s">
        <v>1808</v>
      </c>
      <c r="G416" s="238" t="n">
        <v>10</v>
      </c>
      <c r="H416" s="240" t="n">
        <v>1285</v>
      </c>
      <c r="I416" s="238" t="s">
        <v>176</v>
      </c>
      <c r="J416" s="240" t="n">
        <v>1285</v>
      </c>
      <c r="K416" s="238" t="s">
        <v>25</v>
      </c>
      <c r="L416" s="240" t="n">
        <v>1285</v>
      </c>
      <c r="M416" s="238" t="n">
        <v>3.78</v>
      </c>
      <c r="N416" s="241" t="n">
        <v>0</v>
      </c>
      <c r="O416" s="238" t="n">
        <f aca="false">'INPUT DEBT'!$M416-'INPUT DEBT'!$N416</f>
        <v>3.78</v>
      </c>
      <c r="P416" s="239" t="str">
        <f aca="false">IF(N416=0, "NOT DELIVERED", IF(O416=0, "CLEARED", "PARTIALLY DELIVERED"))</f>
        <v>NOT DELIVERED</v>
      </c>
    </row>
    <row r="417" customFormat="false" ht="14.25" hidden="false" customHeight="true" outlineLevel="0" collapsed="false">
      <c r="A417" s="242" t="n">
        <v>412</v>
      </c>
      <c r="B417" s="243" t="s">
        <v>174</v>
      </c>
      <c r="C417" s="243" t="s">
        <v>3173</v>
      </c>
      <c r="D417" s="243" t="s">
        <v>3174</v>
      </c>
      <c r="E417" s="243" t="s">
        <v>3175</v>
      </c>
      <c r="F417" s="243" t="s">
        <v>1808</v>
      </c>
      <c r="G417" s="243" t="n">
        <v>4</v>
      </c>
      <c r="H417" s="243" t="n">
        <v>864</v>
      </c>
      <c r="I417" s="243" t="s">
        <v>176</v>
      </c>
      <c r="J417" s="243" t="n">
        <v>864</v>
      </c>
      <c r="K417" s="243" t="s">
        <v>25</v>
      </c>
      <c r="L417" s="243" t="n">
        <v>864</v>
      </c>
      <c r="M417" s="243" t="n">
        <v>2.54</v>
      </c>
      <c r="N417" s="246" t="n">
        <v>0.47</v>
      </c>
      <c r="O417" s="238" t="n">
        <f aca="false">'INPUT DEBT'!$M417-'INPUT DEBT'!$N417</f>
        <v>2.07</v>
      </c>
      <c r="P417" s="239" t="str">
        <f aca="false">IF(N417=0, "NOT DELIVERED", IF(O417=0, "CLEARED", "PARTIALLY DELIVERED"))</f>
        <v>PARTIALLY DELIVERED</v>
      </c>
    </row>
    <row r="418" customFormat="false" ht="14.25" hidden="false" customHeight="true" outlineLevel="0" collapsed="false">
      <c r="A418" s="237" t="n">
        <v>413</v>
      </c>
      <c r="B418" s="238" t="s">
        <v>174</v>
      </c>
      <c r="C418" s="238" t="s">
        <v>3176</v>
      </c>
      <c r="D418" s="238" t="s">
        <v>3177</v>
      </c>
      <c r="E418" s="238" t="s">
        <v>3178</v>
      </c>
      <c r="F418" s="238" t="s">
        <v>1808</v>
      </c>
      <c r="G418" s="238" t="n">
        <v>6</v>
      </c>
      <c r="H418" s="238" t="n">
        <v>164</v>
      </c>
      <c r="I418" s="238" t="s">
        <v>176</v>
      </c>
      <c r="J418" s="238" t="n">
        <v>164</v>
      </c>
      <c r="K418" s="238" t="s">
        <v>25</v>
      </c>
      <c r="L418" s="238" t="n">
        <v>164</v>
      </c>
      <c r="M418" s="238" t="n">
        <v>0.48</v>
      </c>
      <c r="N418" s="241" t="n">
        <v>0</v>
      </c>
      <c r="O418" s="238" t="n">
        <f aca="false">'INPUT DEBT'!$M418-'INPUT DEBT'!$N418</f>
        <v>0.48</v>
      </c>
      <c r="P418" s="239" t="s">
        <v>2117</v>
      </c>
    </row>
    <row r="419" customFormat="false" ht="14.25" hidden="false" customHeight="true" outlineLevel="0" collapsed="false">
      <c r="A419" s="242" t="n">
        <v>414</v>
      </c>
      <c r="B419" s="243" t="s">
        <v>174</v>
      </c>
      <c r="C419" s="243" t="s">
        <v>3179</v>
      </c>
      <c r="D419" s="243" t="s">
        <v>3180</v>
      </c>
      <c r="E419" s="243" t="s">
        <v>3181</v>
      </c>
      <c r="F419" s="243" t="s">
        <v>1808</v>
      </c>
      <c r="G419" s="243" t="n">
        <v>6</v>
      </c>
      <c r="H419" s="243" t="n">
        <v>892</v>
      </c>
      <c r="I419" s="243" t="s">
        <v>176</v>
      </c>
      <c r="J419" s="243" t="n">
        <v>892</v>
      </c>
      <c r="K419" s="243" t="s">
        <v>25</v>
      </c>
      <c r="L419" s="243" t="n">
        <v>892</v>
      </c>
      <c r="M419" s="243" t="n">
        <v>2.62</v>
      </c>
      <c r="N419" s="246" t="n">
        <v>0</v>
      </c>
      <c r="O419" s="238" t="n">
        <f aca="false">'INPUT DEBT'!$M419-'INPUT DEBT'!$N419</f>
        <v>2.62</v>
      </c>
      <c r="P419" s="239" t="str">
        <f aca="false">IF(N419=0, "NOT DELIVERED", IF(O419=0, "CLEARED", "PARTIALLY DELIVERED"))</f>
        <v>NOT DELIVERED</v>
      </c>
    </row>
    <row r="420" customFormat="false" ht="14.25" hidden="false" customHeight="true" outlineLevel="0" collapsed="false">
      <c r="A420" s="237" t="n">
        <v>415</v>
      </c>
      <c r="B420" s="238" t="s">
        <v>174</v>
      </c>
      <c r="C420" s="238" t="s">
        <v>3182</v>
      </c>
      <c r="D420" s="238" t="s">
        <v>3183</v>
      </c>
      <c r="E420" s="238" t="s">
        <v>3184</v>
      </c>
      <c r="F420" s="238" t="s">
        <v>1808</v>
      </c>
      <c r="G420" s="238" t="n">
        <v>20</v>
      </c>
      <c r="H420" s="240" t="n">
        <v>4445</v>
      </c>
      <c r="I420" s="238" t="s">
        <v>176</v>
      </c>
      <c r="J420" s="240" t="n">
        <v>4445</v>
      </c>
      <c r="K420" s="240" t="n">
        <v>4628</v>
      </c>
      <c r="L420" s="238" t="n">
        <v>-182</v>
      </c>
      <c r="M420" s="238" t="n">
        <v>13.07</v>
      </c>
      <c r="N420" s="241" t="n">
        <v>0</v>
      </c>
      <c r="O420" s="238" t="n">
        <f aca="false">'INPUT DEBT'!$M420-'INPUT DEBT'!$N420</f>
        <v>13.07</v>
      </c>
      <c r="P420" s="239" t="str">
        <f aca="false">IF(N420=0, "NOT DELIVERED", IF(O420=0, "CLEARED", "PARTIALLY DELIVERED"))</f>
        <v>NOT DELIVERED</v>
      </c>
    </row>
    <row r="421" customFormat="false" ht="14.25" hidden="false" customHeight="true" outlineLevel="0" collapsed="false">
      <c r="A421" s="242" t="n">
        <v>416</v>
      </c>
      <c r="B421" s="243" t="s">
        <v>174</v>
      </c>
      <c r="C421" s="243" t="s">
        <v>3185</v>
      </c>
      <c r="D421" s="243" t="s">
        <v>3186</v>
      </c>
      <c r="E421" s="243" t="s">
        <v>3187</v>
      </c>
      <c r="F421" s="243" t="s">
        <v>1808</v>
      </c>
      <c r="G421" s="243" t="n">
        <v>20</v>
      </c>
      <c r="H421" s="244" t="n">
        <v>2447</v>
      </c>
      <c r="I421" s="243" t="s">
        <v>176</v>
      </c>
      <c r="J421" s="244" t="n">
        <v>2447</v>
      </c>
      <c r="K421" s="244" t="n">
        <v>2628</v>
      </c>
      <c r="L421" s="243" t="n">
        <v>-181</v>
      </c>
      <c r="M421" s="243" t="n">
        <v>7.2</v>
      </c>
      <c r="N421" s="246" t="n">
        <v>0</v>
      </c>
      <c r="O421" s="238" t="n">
        <f aca="false">'INPUT DEBT'!$M421-'INPUT DEBT'!$N421</f>
        <v>7.2</v>
      </c>
      <c r="P421" s="239" t="str">
        <f aca="false">IF(N421=0, "NOT DELIVERED", IF(O421=0, "CLEARED", "PARTIALLY DELIVERED"))</f>
        <v>NOT DELIVERED</v>
      </c>
    </row>
    <row r="422" customFormat="false" ht="14.25" hidden="false" customHeight="true" outlineLevel="0" collapsed="false">
      <c r="A422" s="237" t="n">
        <v>417</v>
      </c>
      <c r="B422" s="238" t="s">
        <v>174</v>
      </c>
      <c r="C422" s="238" t="s">
        <v>3188</v>
      </c>
      <c r="D422" s="238" t="s">
        <v>3189</v>
      </c>
      <c r="E422" s="238" t="s">
        <v>3190</v>
      </c>
      <c r="F422" s="238" t="s">
        <v>1808</v>
      </c>
      <c r="G422" s="238" t="n">
        <v>10</v>
      </c>
      <c r="H422" s="240" t="n">
        <v>3651</v>
      </c>
      <c r="I422" s="238" t="s">
        <v>176</v>
      </c>
      <c r="J422" s="240" t="n">
        <v>3651</v>
      </c>
      <c r="K422" s="238" t="s">
        <v>25</v>
      </c>
      <c r="L422" s="240" t="n">
        <v>3651</v>
      </c>
      <c r="M422" s="238" t="n">
        <v>10.74</v>
      </c>
      <c r="N422" s="241" t="n">
        <v>0</v>
      </c>
      <c r="O422" s="238" t="n">
        <f aca="false">'INPUT DEBT'!$M422-'INPUT DEBT'!$N422</f>
        <v>10.74</v>
      </c>
      <c r="P422" s="239" t="str">
        <f aca="false">IF(N422=0, "NOT DELIVERED", IF(O422=0, "CLEARED", "PARTIALLY DELIVERED"))</f>
        <v>NOT DELIVERED</v>
      </c>
    </row>
    <row r="423" customFormat="false" ht="14.25" hidden="false" customHeight="true" outlineLevel="0" collapsed="false">
      <c r="A423" s="242" t="n">
        <v>418</v>
      </c>
      <c r="B423" s="243" t="s">
        <v>174</v>
      </c>
      <c r="C423" s="243" t="s">
        <v>3191</v>
      </c>
      <c r="D423" s="243" t="s">
        <v>3192</v>
      </c>
      <c r="E423" s="243" t="s">
        <v>3193</v>
      </c>
      <c r="F423" s="243" t="s">
        <v>1808</v>
      </c>
      <c r="G423" s="243" t="n">
        <v>60</v>
      </c>
      <c r="H423" s="244" t="n">
        <v>7341</v>
      </c>
      <c r="I423" s="243" t="s">
        <v>176</v>
      </c>
      <c r="J423" s="244" t="n">
        <v>7341</v>
      </c>
      <c r="K423" s="244" t="n">
        <v>7885</v>
      </c>
      <c r="L423" s="243" t="n">
        <v>-544</v>
      </c>
      <c r="M423" s="243" t="n">
        <v>21.59</v>
      </c>
      <c r="N423" s="246" t="n">
        <v>0</v>
      </c>
      <c r="O423" s="238" t="n">
        <f aca="false">'INPUT DEBT'!$M423-'INPUT DEBT'!$N423</f>
        <v>21.59</v>
      </c>
      <c r="P423" s="239" t="str">
        <f aca="false">IF(N423=0, "NOT DELIVERED", IF(O423=0, "CLEARED", "PARTIALLY DELIVERED"))</f>
        <v>NOT DELIVERED</v>
      </c>
    </row>
    <row r="424" customFormat="false" ht="14.25" hidden="false" customHeight="true" outlineLevel="0" collapsed="false">
      <c r="A424" s="237" t="n">
        <v>419</v>
      </c>
      <c r="B424" s="238" t="s">
        <v>367</v>
      </c>
      <c r="C424" s="238" t="s">
        <v>3194</v>
      </c>
      <c r="D424" s="238" t="s">
        <v>3195</v>
      </c>
      <c r="E424" s="238" t="s">
        <v>3196</v>
      </c>
      <c r="F424" s="238" t="s">
        <v>1808</v>
      </c>
      <c r="G424" s="238" t="n">
        <v>70</v>
      </c>
      <c r="H424" s="240" t="n">
        <v>4466</v>
      </c>
      <c r="I424" s="240" t="n">
        <v>3514</v>
      </c>
      <c r="J424" s="238" t="n">
        <v>952</v>
      </c>
      <c r="K424" s="238" t="s">
        <v>25</v>
      </c>
      <c r="L424" s="238" t="n">
        <v>952</v>
      </c>
      <c r="M424" s="238" t="n">
        <v>13.14</v>
      </c>
      <c r="N424" s="241" t="n">
        <v>9.64</v>
      </c>
      <c r="O424" s="238" t="n">
        <f aca="false">'INPUT DEBT'!$M424-'INPUT DEBT'!$N424</f>
        <v>3.5</v>
      </c>
      <c r="P424" s="239" t="str">
        <f aca="false">IF(N424=0, "NOT DELIVERED", IF(O424=0, "CLEARED", "PARTIALLY DELIVERED"))</f>
        <v>PARTIALLY DELIVERED</v>
      </c>
    </row>
    <row r="425" customFormat="false" ht="14.25" hidden="false" customHeight="true" outlineLevel="0" collapsed="false">
      <c r="A425" s="242" t="n">
        <v>420</v>
      </c>
      <c r="B425" s="243" t="s">
        <v>174</v>
      </c>
      <c r="C425" s="243" t="s">
        <v>3197</v>
      </c>
      <c r="D425" s="243" t="s">
        <v>3198</v>
      </c>
      <c r="E425" s="243" t="s">
        <v>3199</v>
      </c>
      <c r="F425" s="243" t="s">
        <v>1808</v>
      </c>
      <c r="G425" s="243" t="n">
        <v>40</v>
      </c>
      <c r="H425" s="244" t="n">
        <v>9299</v>
      </c>
      <c r="I425" s="243" t="s">
        <v>176</v>
      </c>
      <c r="J425" s="244" t="n">
        <v>9299</v>
      </c>
      <c r="K425" s="244" t="n">
        <v>9661</v>
      </c>
      <c r="L425" s="243" t="n">
        <v>-363</v>
      </c>
      <c r="M425" s="243" t="n">
        <v>27.35</v>
      </c>
      <c r="N425" s="246" t="n">
        <v>0</v>
      </c>
      <c r="O425" s="238" t="n">
        <f aca="false">'INPUT DEBT'!$M425-'INPUT DEBT'!$N425</f>
        <v>27.35</v>
      </c>
      <c r="P425" s="239" t="str">
        <f aca="false">IF(N425=0, "NOT DELIVERED", IF(O425=0, "CLEARED", "PARTIALLY DELIVERED"))</f>
        <v>NOT DELIVERED</v>
      </c>
    </row>
    <row r="426" customFormat="false" ht="14.25" hidden="false" customHeight="true" outlineLevel="0" collapsed="false">
      <c r="A426" s="237" t="n">
        <v>421</v>
      </c>
      <c r="B426" s="238" t="s">
        <v>174</v>
      </c>
      <c r="C426" s="238" t="s">
        <v>3200</v>
      </c>
      <c r="D426" s="238" t="s">
        <v>3201</v>
      </c>
      <c r="E426" s="238" t="s">
        <v>3202</v>
      </c>
      <c r="F426" s="238" t="s">
        <v>1808</v>
      </c>
      <c r="G426" s="238" t="n">
        <v>15</v>
      </c>
      <c r="H426" s="240" t="n">
        <v>4173</v>
      </c>
      <c r="I426" s="238" t="s">
        <v>176</v>
      </c>
      <c r="J426" s="240" t="n">
        <v>4173</v>
      </c>
      <c r="K426" s="238" t="s">
        <v>25</v>
      </c>
      <c r="L426" s="240" t="n">
        <v>4173</v>
      </c>
      <c r="M426" s="238" t="n">
        <v>12.27</v>
      </c>
      <c r="N426" s="241" t="n">
        <v>0</v>
      </c>
      <c r="O426" s="238" t="n">
        <f aca="false">'INPUT DEBT'!$M426-'INPUT DEBT'!$N426</f>
        <v>12.27</v>
      </c>
      <c r="P426" s="239" t="str">
        <f aca="false">IF(N426=0, "NOT DELIVERED", IF(O426=0, "CLEARED", "PARTIALLY DELIVERED"))</f>
        <v>NOT DELIVERED</v>
      </c>
    </row>
    <row r="427" customFormat="false" ht="14.25" hidden="false" customHeight="true" outlineLevel="0" collapsed="false">
      <c r="A427" s="242" t="n">
        <v>422</v>
      </c>
      <c r="B427" s="243" t="s">
        <v>174</v>
      </c>
      <c r="C427" s="243" t="s">
        <v>3203</v>
      </c>
      <c r="D427" s="243" t="s">
        <v>3204</v>
      </c>
      <c r="E427" s="243" t="s">
        <v>3205</v>
      </c>
      <c r="F427" s="243" t="s">
        <v>1808</v>
      </c>
      <c r="G427" s="243" t="n">
        <v>5</v>
      </c>
      <c r="H427" s="243" t="n">
        <v>568</v>
      </c>
      <c r="I427" s="243" t="s">
        <v>176</v>
      </c>
      <c r="J427" s="243" t="n">
        <v>568</v>
      </c>
      <c r="K427" s="243" t="s">
        <v>25</v>
      </c>
      <c r="L427" s="243" t="n">
        <v>568</v>
      </c>
      <c r="M427" s="243" t="n">
        <v>1.67</v>
      </c>
      <c r="N427" s="246" t="n">
        <v>0</v>
      </c>
      <c r="O427" s="238" t="n">
        <f aca="false">'INPUT DEBT'!$M427-'INPUT DEBT'!$N427</f>
        <v>1.67</v>
      </c>
      <c r="P427" s="239" t="str">
        <f aca="false">IF(N427=0, "NOT DELIVERED", IF(O427=0, "CLEARED", "PARTIALLY DELIVERED"))</f>
        <v>NOT DELIVERED</v>
      </c>
    </row>
    <row r="428" customFormat="false" ht="14.25" hidden="false" customHeight="true" outlineLevel="0" collapsed="false">
      <c r="A428" s="237" t="n">
        <v>423</v>
      </c>
      <c r="B428" s="238" t="s">
        <v>174</v>
      </c>
      <c r="C428" s="238" t="s">
        <v>3206</v>
      </c>
      <c r="D428" s="238" t="s">
        <v>3207</v>
      </c>
      <c r="E428" s="238" t="s">
        <v>3208</v>
      </c>
      <c r="F428" s="238" t="s">
        <v>1808</v>
      </c>
      <c r="G428" s="238" t="n">
        <v>5</v>
      </c>
      <c r="H428" s="238" t="n">
        <v>671</v>
      </c>
      <c r="I428" s="238" t="s">
        <v>176</v>
      </c>
      <c r="J428" s="238" t="n">
        <v>671</v>
      </c>
      <c r="K428" s="238" t="s">
        <v>25</v>
      </c>
      <c r="L428" s="238" t="n">
        <v>671</v>
      </c>
      <c r="M428" s="238" t="n">
        <v>1.97</v>
      </c>
      <c r="N428" s="241" t="n">
        <v>0</v>
      </c>
      <c r="O428" s="238" t="n">
        <f aca="false">'INPUT DEBT'!$M428-'INPUT DEBT'!$N428</f>
        <v>1.97</v>
      </c>
      <c r="P428" s="239" t="str">
        <f aca="false">IF(N428=0, "NOT DELIVERED", IF(O428=0, "CLEARED", "PARTIALLY DELIVERED"))</f>
        <v>NOT DELIVERED</v>
      </c>
    </row>
    <row r="429" customFormat="false" ht="14.25" hidden="false" customHeight="true" outlineLevel="0" collapsed="false">
      <c r="A429" s="242" t="n">
        <v>424</v>
      </c>
      <c r="B429" s="243" t="s">
        <v>174</v>
      </c>
      <c r="C429" s="243" t="s">
        <v>3209</v>
      </c>
      <c r="D429" s="243" t="s">
        <v>3210</v>
      </c>
      <c r="E429" s="243" t="s">
        <v>3211</v>
      </c>
      <c r="F429" s="243" t="s">
        <v>1808</v>
      </c>
      <c r="G429" s="243" t="n">
        <v>5</v>
      </c>
      <c r="H429" s="243" t="n">
        <v>671</v>
      </c>
      <c r="I429" s="243" t="s">
        <v>176</v>
      </c>
      <c r="J429" s="243" t="n">
        <v>671</v>
      </c>
      <c r="K429" s="243" t="s">
        <v>25</v>
      </c>
      <c r="L429" s="243" t="n">
        <v>671</v>
      </c>
      <c r="M429" s="243" t="n">
        <v>1.97</v>
      </c>
      <c r="N429" s="246" t="n">
        <v>0</v>
      </c>
      <c r="O429" s="238" t="n">
        <f aca="false">'INPUT DEBT'!$M429-'INPUT DEBT'!$N429</f>
        <v>1.97</v>
      </c>
      <c r="P429" s="239" t="str">
        <f aca="false">IF(N429=0, "NOT DELIVERED", IF(O429=0, "CLEARED", "PARTIALLY DELIVERED"))</f>
        <v>NOT DELIVERED</v>
      </c>
    </row>
    <row r="430" customFormat="false" ht="14.25" hidden="false" customHeight="true" outlineLevel="0" collapsed="false">
      <c r="A430" s="237" t="n">
        <v>425</v>
      </c>
      <c r="B430" s="238" t="s">
        <v>174</v>
      </c>
      <c r="C430" s="238" t="s">
        <v>3212</v>
      </c>
      <c r="D430" s="238" t="s">
        <v>3213</v>
      </c>
      <c r="E430" s="238" t="s">
        <v>3214</v>
      </c>
      <c r="F430" s="238" t="s">
        <v>1808</v>
      </c>
      <c r="G430" s="238" t="n">
        <v>25</v>
      </c>
      <c r="H430" s="240" t="n">
        <v>5514</v>
      </c>
      <c r="I430" s="238" t="s">
        <v>176</v>
      </c>
      <c r="J430" s="240" t="n">
        <v>5514</v>
      </c>
      <c r="K430" s="240" t="n">
        <v>6057</v>
      </c>
      <c r="L430" s="238" t="n">
        <v>-544</v>
      </c>
      <c r="M430" s="238" t="n">
        <v>16.22</v>
      </c>
      <c r="N430" s="241" t="n">
        <v>0</v>
      </c>
      <c r="O430" s="238" t="n">
        <f aca="false">'INPUT DEBT'!$M430-'INPUT DEBT'!$N430</f>
        <v>16.22</v>
      </c>
      <c r="P430" s="239" t="str">
        <f aca="false">IF(N430=0, "NOT DELIVERED", IF(O430=0, "CLEARED", "PARTIALLY DELIVERED"))</f>
        <v>NOT DELIVERED</v>
      </c>
    </row>
    <row r="431" customFormat="false" ht="14.25" hidden="false" customHeight="true" outlineLevel="0" collapsed="false">
      <c r="A431" s="242" t="n">
        <v>426</v>
      </c>
      <c r="B431" s="243" t="s">
        <v>174</v>
      </c>
      <c r="C431" s="243" t="s">
        <v>3215</v>
      </c>
      <c r="D431" s="243" t="s">
        <v>3216</v>
      </c>
      <c r="E431" s="243" t="s">
        <v>3217</v>
      </c>
      <c r="F431" s="243" t="s">
        <v>1808</v>
      </c>
      <c r="G431" s="243" t="n">
        <v>20</v>
      </c>
      <c r="H431" s="244" t="n">
        <v>2447</v>
      </c>
      <c r="I431" s="243" t="s">
        <v>176</v>
      </c>
      <c r="J431" s="244" t="n">
        <v>2447</v>
      </c>
      <c r="K431" s="244" t="n">
        <v>2628</v>
      </c>
      <c r="L431" s="243" t="n">
        <v>-181</v>
      </c>
      <c r="M431" s="243" t="n">
        <v>7.2</v>
      </c>
      <c r="N431" s="246" t="n">
        <v>0</v>
      </c>
      <c r="O431" s="238" t="n">
        <f aca="false">'INPUT DEBT'!$M431-'INPUT DEBT'!$N431</f>
        <v>7.2</v>
      </c>
      <c r="P431" s="239" t="str">
        <f aca="false">IF(N431=0, "NOT DELIVERED", IF(O431=0, "CLEARED", "PARTIALLY DELIVERED"))</f>
        <v>NOT DELIVERED</v>
      </c>
    </row>
    <row r="432" customFormat="false" ht="14.25" hidden="false" customHeight="true" outlineLevel="0" collapsed="false">
      <c r="A432" s="237" t="n">
        <v>427</v>
      </c>
      <c r="B432" s="238" t="s">
        <v>174</v>
      </c>
      <c r="C432" s="238" t="s">
        <v>3218</v>
      </c>
      <c r="D432" s="238" t="s">
        <v>3219</v>
      </c>
      <c r="E432" s="238" t="s">
        <v>3162</v>
      </c>
      <c r="F432" s="238" t="s">
        <v>1808</v>
      </c>
      <c r="G432" s="238" t="n">
        <v>10</v>
      </c>
      <c r="H432" s="240" t="n">
        <v>1375</v>
      </c>
      <c r="I432" s="238" t="s">
        <v>176</v>
      </c>
      <c r="J432" s="240" t="n">
        <v>1375</v>
      </c>
      <c r="K432" s="238" t="s">
        <v>25</v>
      </c>
      <c r="L432" s="240" t="n">
        <v>1375</v>
      </c>
      <c r="M432" s="238" t="n">
        <v>4.05</v>
      </c>
      <c r="N432" s="241" t="n">
        <v>0</v>
      </c>
      <c r="O432" s="238" t="n">
        <f aca="false">'INPUT DEBT'!$M432-'INPUT DEBT'!$N432</f>
        <v>4.05</v>
      </c>
      <c r="P432" s="239" t="str">
        <f aca="false">IF(N432=0, "NOT DELIVERED", IF(O432=0, "CLEARED", "PARTIALLY DELIVERED"))</f>
        <v>NOT DELIVERED</v>
      </c>
    </row>
    <row r="433" customFormat="false" ht="14.25" hidden="false" customHeight="true" outlineLevel="0" collapsed="false">
      <c r="A433" s="242" t="n">
        <v>428</v>
      </c>
      <c r="B433" s="243" t="s">
        <v>193</v>
      </c>
      <c r="C433" s="18" t="s">
        <v>170</v>
      </c>
      <c r="D433" s="243" t="s">
        <v>3220</v>
      </c>
      <c r="E433" s="243" t="s">
        <v>3221</v>
      </c>
      <c r="F433" s="243" t="s">
        <v>1808</v>
      </c>
      <c r="G433" s="243" t="n">
        <v>10</v>
      </c>
      <c r="H433" s="244" t="n">
        <v>4167</v>
      </c>
      <c r="I433" s="243" t="s">
        <v>176</v>
      </c>
      <c r="J433" s="244" t="n">
        <v>4167</v>
      </c>
      <c r="K433" s="243" t="s">
        <v>25</v>
      </c>
      <c r="L433" s="244" t="n">
        <v>4167</v>
      </c>
      <c r="M433" s="243" t="n">
        <v>12.26</v>
      </c>
      <c r="N433" s="246" t="n">
        <v>0</v>
      </c>
      <c r="O433" s="238" t="n">
        <f aca="false">'INPUT DEBT'!$M433-'INPUT DEBT'!$N433</f>
        <v>12.26</v>
      </c>
      <c r="P433" s="239" t="str">
        <f aca="false">IF(N433=0, "NOT DELIVERED", IF(O433=0, "CLEARED", "PARTIALLY DELIVERED"))</f>
        <v>NOT DELIVERED</v>
      </c>
    </row>
    <row r="434" customFormat="false" ht="14.25" hidden="false" customHeight="true" outlineLevel="0" collapsed="false">
      <c r="A434" s="237" t="n">
        <v>429</v>
      </c>
      <c r="B434" s="238" t="s">
        <v>174</v>
      </c>
      <c r="C434" s="238" t="s">
        <v>3222</v>
      </c>
      <c r="D434" s="238" t="s">
        <v>3223</v>
      </c>
      <c r="E434" s="238" t="s">
        <v>3224</v>
      </c>
      <c r="F434" s="238" t="s">
        <v>1808</v>
      </c>
      <c r="G434" s="238" t="n">
        <v>25</v>
      </c>
      <c r="H434" s="240" t="n">
        <v>9914</v>
      </c>
      <c r="I434" s="238" t="s">
        <v>176</v>
      </c>
      <c r="J434" s="240" t="n">
        <v>9914</v>
      </c>
      <c r="K434" s="238" t="s">
        <v>25</v>
      </c>
      <c r="L434" s="240" t="n">
        <v>9914</v>
      </c>
      <c r="M434" s="238" t="n">
        <v>29.16</v>
      </c>
      <c r="N434" s="241" t="n">
        <v>0</v>
      </c>
      <c r="O434" s="238" t="n">
        <f aca="false">'INPUT DEBT'!$M434-'INPUT DEBT'!$N434</f>
        <v>29.16</v>
      </c>
      <c r="P434" s="239" t="str">
        <f aca="false">IF(N434=0, "NOT DELIVERED", IF(O434=0, "CLEARED", "PARTIALLY DELIVERED"))</f>
        <v>NOT DELIVERED</v>
      </c>
    </row>
    <row r="435" customFormat="false" ht="14.25" hidden="false" customHeight="true" outlineLevel="0" collapsed="false">
      <c r="A435" s="242" t="n">
        <v>430</v>
      </c>
      <c r="B435" s="243" t="s">
        <v>174</v>
      </c>
      <c r="C435" s="243" t="s">
        <v>3225</v>
      </c>
      <c r="D435" s="243" t="s">
        <v>3226</v>
      </c>
      <c r="E435" s="243" t="s">
        <v>3227</v>
      </c>
      <c r="F435" s="243" t="s">
        <v>1808</v>
      </c>
      <c r="G435" s="243" t="n">
        <v>50</v>
      </c>
      <c r="H435" s="244" t="n">
        <v>8330</v>
      </c>
      <c r="I435" s="243" t="s">
        <v>176</v>
      </c>
      <c r="J435" s="244" t="n">
        <v>8330</v>
      </c>
      <c r="K435" s="243" t="s">
        <v>25</v>
      </c>
      <c r="L435" s="244" t="n">
        <v>8330</v>
      </c>
      <c r="M435" s="243" t="n">
        <v>24.5</v>
      </c>
      <c r="N435" s="246" t="n">
        <v>0</v>
      </c>
      <c r="O435" s="238" t="n">
        <f aca="false">'INPUT DEBT'!$M435-'INPUT DEBT'!$N435</f>
        <v>24.5</v>
      </c>
      <c r="P435" s="239" t="str">
        <f aca="false">IF(N435=0, "NOT DELIVERED", IF(O435=0, "CLEARED", "PARTIALLY DELIVERED"))</f>
        <v>NOT DELIVERED</v>
      </c>
    </row>
    <row r="436" customFormat="false" ht="14.25" hidden="false" customHeight="true" outlineLevel="0" collapsed="false">
      <c r="A436" s="237" t="n">
        <v>431</v>
      </c>
      <c r="B436" s="238" t="s">
        <v>174</v>
      </c>
      <c r="C436" s="238" t="s">
        <v>3228</v>
      </c>
      <c r="D436" s="238" t="s">
        <v>3229</v>
      </c>
      <c r="E436" s="238" t="s">
        <v>3230</v>
      </c>
      <c r="F436" s="238" t="s">
        <v>1808</v>
      </c>
      <c r="G436" s="238" t="n">
        <v>10</v>
      </c>
      <c r="H436" s="240" t="n">
        <v>1226</v>
      </c>
      <c r="I436" s="238" t="s">
        <v>176</v>
      </c>
      <c r="J436" s="240" t="n">
        <v>1226</v>
      </c>
      <c r="K436" s="238" t="s">
        <v>25</v>
      </c>
      <c r="L436" s="240" t="n">
        <v>1226</v>
      </c>
      <c r="M436" s="238" t="n">
        <v>3.61</v>
      </c>
      <c r="N436" s="241" t="n">
        <v>0</v>
      </c>
      <c r="O436" s="238" t="n">
        <f aca="false">'INPUT DEBT'!$M436-'INPUT DEBT'!$N436</f>
        <v>3.61</v>
      </c>
      <c r="P436" s="239" t="str">
        <f aca="false">IF(N436=0, "NOT DELIVERED", IF(O436=0, "CLEARED", "PARTIALLY DELIVERED"))</f>
        <v>NOT DELIVERED</v>
      </c>
    </row>
    <row r="437" customFormat="false" ht="14.25" hidden="false" customHeight="true" outlineLevel="0" collapsed="false">
      <c r="A437" s="242" t="n">
        <v>432</v>
      </c>
      <c r="B437" s="243" t="s">
        <v>193</v>
      </c>
      <c r="C437" s="243" t="s">
        <v>3231</v>
      </c>
      <c r="D437" s="243" t="s">
        <v>3232</v>
      </c>
      <c r="E437" s="243" t="s">
        <v>3233</v>
      </c>
      <c r="F437" s="243" t="s">
        <v>1808</v>
      </c>
      <c r="G437" s="243" t="n">
        <v>15</v>
      </c>
      <c r="H437" s="244" t="n">
        <v>3727</v>
      </c>
      <c r="I437" s="243" t="s">
        <v>176</v>
      </c>
      <c r="J437" s="244" t="n">
        <v>3727</v>
      </c>
      <c r="K437" s="243" t="s">
        <v>25</v>
      </c>
      <c r="L437" s="244" t="n">
        <v>3727</v>
      </c>
      <c r="M437" s="243" t="n">
        <v>10.96</v>
      </c>
      <c r="N437" s="246" t="n">
        <v>0</v>
      </c>
      <c r="O437" s="238" t="n">
        <f aca="false">'INPUT DEBT'!$M437-'INPUT DEBT'!$N437</f>
        <v>10.96</v>
      </c>
      <c r="P437" s="239" t="str">
        <f aca="false">IF(N437=0, "NOT DELIVERED", IF(O437=0, "CLEARED", "PARTIALLY DELIVERED"))</f>
        <v>NOT DELIVERED</v>
      </c>
    </row>
    <row r="438" customFormat="false" ht="14.25" hidden="false" customHeight="true" outlineLevel="0" collapsed="false">
      <c r="A438" s="237" t="n">
        <v>433</v>
      </c>
      <c r="B438" s="238" t="s">
        <v>170</v>
      </c>
      <c r="C438" s="238" t="s">
        <v>170</v>
      </c>
      <c r="D438" s="238" t="s">
        <v>3234</v>
      </c>
      <c r="E438" s="238" t="s">
        <v>3235</v>
      </c>
      <c r="F438" s="238" t="s">
        <v>1808</v>
      </c>
      <c r="G438" s="238" t="n">
        <v>10</v>
      </c>
      <c r="H438" s="240" t="n">
        <v>2227</v>
      </c>
      <c r="I438" s="238" t="s">
        <v>176</v>
      </c>
      <c r="J438" s="240" t="n">
        <v>2227</v>
      </c>
      <c r="K438" s="238" t="s">
        <v>25</v>
      </c>
      <c r="L438" s="240" t="n">
        <v>2227</v>
      </c>
      <c r="M438" s="238" t="n">
        <v>6.55</v>
      </c>
      <c r="N438" s="241" t="n">
        <v>0</v>
      </c>
      <c r="O438" s="238" t="n">
        <f aca="false">'INPUT DEBT'!$M438-'INPUT DEBT'!$N438</f>
        <v>6.55</v>
      </c>
      <c r="P438" s="239" t="str">
        <f aca="false">IF(N438=0, "NOT DELIVERED", IF(O438=0, "CLEARED", "PARTIALLY DELIVERED"))</f>
        <v>NOT DELIVERED</v>
      </c>
    </row>
    <row r="439" customFormat="false" ht="14.25" hidden="false" customHeight="true" outlineLevel="0" collapsed="false">
      <c r="A439" s="242" t="n">
        <v>434</v>
      </c>
      <c r="B439" s="243" t="s">
        <v>174</v>
      </c>
      <c r="C439" s="243" t="s">
        <v>3236</v>
      </c>
      <c r="D439" s="243" t="s">
        <v>1668</v>
      </c>
      <c r="E439" s="243" t="s">
        <v>3237</v>
      </c>
      <c r="F439" s="243" t="s">
        <v>1808</v>
      </c>
      <c r="G439" s="243" t="n">
        <v>10</v>
      </c>
      <c r="H439" s="243" t="s">
        <v>2116</v>
      </c>
      <c r="I439" s="243" t="s">
        <v>176</v>
      </c>
      <c r="J439" s="243" t="s">
        <v>176</v>
      </c>
      <c r="K439" s="243" t="s">
        <v>25</v>
      </c>
      <c r="L439" s="243" t="s">
        <v>176</v>
      </c>
      <c r="M439" s="243" t="n">
        <v>0</v>
      </c>
      <c r="N439" s="246" t="n">
        <v>0</v>
      </c>
      <c r="O439" s="238" t="n">
        <f aca="false">'INPUT DEBT'!$M439-'INPUT DEBT'!$N439</f>
        <v>0</v>
      </c>
      <c r="P439" s="239" t="s">
        <v>2117</v>
      </c>
    </row>
    <row r="440" customFormat="false" ht="14.25" hidden="false" customHeight="true" outlineLevel="0" collapsed="false">
      <c r="A440" s="237" t="n">
        <v>435</v>
      </c>
      <c r="B440" s="238" t="s">
        <v>193</v>
      </c>
      <c r="C440" s="238" t="s">
        <v>3238</v>
      </c>
      <c r="D440" s="238" t="s">
        <v>3239</v>
      </c>
      <c r="E440" s="238" t="s">
        <v>3240</v>
      </c>
      <c r="F440" s="238" t="s">
        <v>1808</v>
      </c>
      <c r="G440" s="238" t="n">
        <v>20</v>
      </c>
      <c r="H440" s="240" t="n">
        <v>2286</v>
      </c>
      <c r="I440" s="238" t="s">
        <v>176</v>
      </c>
      <c r="J440" s="240" t="n">
        <v>2286</v>
      </c>
      <c r="K440" s="238" t="s">
        <v>25</v>
      </c>
      <c r="L440" s="240" t="n">
        <v>2286</v>
      </c>
      <c r="M440" s="238" t="n">
        <v>6.72</v>
      </c>
      <c r="N440" s="241" t="n">
        <v>0</v>
      </c>
      <c r="O440" s="238" t="n">
        <f aca="false">'INPUT DEBT'!$M440-'INPUT DEBT'!$N440</f>
        <v>6.72</v>
      </c>
      <c r="P440" s="239" t="str">
        <f aca="false">IF(N440=0, "NOT DELIVERED", IF(O440=0, "CLEARED", "PARTIALLY DELIVERED"))</f>
        <v>NOT DELIVERED</v>
      </c>
    </row>
    <row r="441" customFormat="false" ht="14.25" hidden="false" customHeight="true" outlineLevel="0" collapsed="false">
      <c r="A441" s="242" t="n">
        <v>436</v>
      </c>
      <c r="B441" s="243" t="s">
        <v>367</v>
      </c>
      <c r="C441" s="243" t="s">
        <v>3241</v>
      </c>
      <c r="D441" s="243" t="s">
        <v>3242</v>
      </c>
      <c r="E441" s="243" t="s">
        <v>3243</v>
      </c>
      <c r="F441" s="243" t="s">
        <v>1808</v>
      </c>
      <c r="G441" s="243" t="n">
        <v>20</v>
      </c>
      <c r="H441" s="244" t="n">
        <v>2704</v>
      </c>
      <c r="I441" s="243" t="s">
        <v>176</v>
      </c>
      <c r="J441" s="244" t="n">
        <v>2704</v>
      </c>
      <c r="K441" s="243" t="s">
        <v>25</v>
      </c>
      <c r="L441" s="244" t="n">
        <v>2704</v>
      </c>
      <c r="M441" s="243" t="n">
        <v>7.95</v>
      </c>
      <c r="N441" s="246" t="n">
        <v>0</v>
      </c>
      <c r="O441" s="238" t="n">
        <f aca="false">'INPUT DEBT'!$M441-'INPUT DEBT'!$N441</f>
        <v>7.95</v>
      </c>
      <c r="P441" s="239" t="str">
        <f aca="false">IF(N441=0, "NOT DELIVERED", IF(O441=0, "CLEARED", "PARTIALLY DELIVERED"))</f>
        <v>NOT DELIVERED</v>
      </c>
    </row>
    <row r="442" customFormat="false" ht="14.25" hidden="false" customHeight="true" outlineLevel="0" collapsed="false">
      <c r="A442" s="237" t="n">
        <v>437</v>
      </c>
      <c r="B442" s="238" t="s">
        <v>174</v>
      </c>
      <c r="C442" s="239" t="s">
        <v>170</v>
      </c>
      <c r="D442" s="238" t="s">
        <v>3244</v>
      </c>
      <c r="E442" s="238" t="s">
        <v>3245</v>
      </c>
      <c r="F442" s="238" t="s">
        <v>1808</v>
      </c>
      <c r="G442" s="238" t="n">
        <v>20</v>
      </c>
      <c r="H442" s="240" t="n">
        <v>7266</v>
      </c>
      <c r="I442" s="238" t="s">
        <v>176</v>
      </c>
      <c r="J442" s="240" t="n">
        <v>7266</v>
      </c>
      <c r="K442" s="238" t="s">
        <v>25</v>
      </c>
      <c r="L442" s="240" t="n">
        <v>7266</v>
      </c>
      <c r="M442" s="238" t="n">
        <v>21.37</v>
      </c>
      <c r="N442" s="241" t="n">
        <v>0</v>
      </c>
      <c r="O442" s="238" t="n">
        <f aca="false">'INPUT DEBT'!$M442-'INPUT DEBT'!$N442</f>
        <v>21.37</v>
      </c>
      <c r="P442" s="239" t="str">
        <f aca="false">IF(N442=0, "NOT DELIVERED", IF(O442=0, "CLEARED", "PARTIALLY DELIVERED"))</f>
        <v>NOT DELIVERED</v>
      </c>
    </row>
    <row r="443" customFormat="false" ht="14.25" hidden="false" customHeight="true" outlineLevel="0" collapsed="false">
      <c r="A443" s="242" t="n">
        <v>438</v>
      </c>
      <c r="B443" s="243" t="s">
        <v>174</v>
      </c>
      <c r="C443" s="18" t="s">
        <v>170</v>
      </c>
      <c r="D443" s="243" t="s">
        <v>3246</v>
      </c>
      <c r="E443" s="243" t="s">
        <v>3247</v>
      </c>
      <c r="F443" s="243" t="s">
        <v>1808</v>
      </c>
      <c r="G443" s="243" t="n">
        <v>20</v>
      </c>
      <c r="H443" s="244" t="n">
        <v>5798</v>
      </c>
      <c r="I443" s="243" t="s">
        <v>176</v>
      </c>
      <c r="J443" s="244" t="n">
        <v>5798</v>
      </c>
      <c r="K443" s="243" t="s">
        <v>25</v>
      </c>
      <c r="L443" s="244" t="n">
        <v>5798</v>
      </c>
      <c r="M443" s="243" t="n">
        <v>17.05</v>
      </c>
      <c r="N443" s="246" t="n">
        <v>0</v>
      </c>
      <c r="O443" s="238" t="n">
        <f aca="false">'INPUT DEBT'!$M443-'INPUT DEBT'!$N443</f>
        <v>17.05</v>
      </c>
      <c r="P443" s="239" t="str">
        <f aca="false">IF(N443=0, "NOT DELIVERED", IF(O443=0, "CLEARED", "PARTIALLY DELIVERED"))</f>
        <v>NOT DELIVERED</v>
      </c>
    </row>
    <row r="444" customFormat="false" ht="14.25" hidden="false" customHeight="true" outlineLevel="0" collapsed="false">
      <c r="A444" s="237" t="n">
        <v>439</v>
      </c>
      <c r="B444" s="238" t="s">
        <v>174</v>
      </c>
      <c r="C444" s="239" t="s">
        <v>170</v>
      </c>
      <c r="D444" s="238" t="s">
        <v>3248</v>
      </c>
      <c r="E444" s="238" t="s">
        <v>3249</v>
      </c>
      <c r="F444" s="238" t="s">
        <v>1808</v>
      </c>
      <c r="G444" s="238" t="n">
        <v>20</v>
      </c>
      <c r="H444" s="240" t="n">
        <v>5540</v>
      </c>
      <c r="I444" s="238" t="s">
        <v>176</v>
      </c>
      <c r="J444" s="240" t="n">
        <v>5540</v>
      </c>
      <c r="K444" s="238" t="s">
        <v>25</v>
      </c>
      <c r="L444" s="240" t="n">
        <v>5540</v>
      </c>
      <c r="M444" s="238" t="n">
        <v>16.3</v>
      </c>
      <c r="N444" s="241" t="n">
        <v>5.68</v>
      </c>
      <c r="O444" s="238" t="n">
        <f aca="false">'INPUT DEBT'!$M444-'INPUT DEBT'!$N444</f>
        <v>10.62</v>
      </c>
      <c r="P444" s="239" t="str">
        <f aca="false">IF(N444=0, "NOT DELIVERED", IF(O444=0, "CLEARED", "PARTIALLY DELIVERED"))</f>
        <v>PARTIALLY DELIVERED</v>
      </c>
    </row>
    <row r="445" customFormat="false" ht="14.25" hidden="false" customHeight="true" outlineLevel="0" collapsed="false">
      <c r="A445" s="242" t="n">
        <v>440</v>
      </c>
      <c r="B445" s="243" t="s">
        <v>170</v>
      </c>
      <c r="C445" s="18" t="s">
        <v>170</v>
      </c>
      <c r="D445" s="243" t="s">
        <v>3250</v>
      </c>
      <c r="E445" s="254" t="n">
        <v>777000000</v>
      </c>
      <c r="F445" s="243" t="s">
        <v>174</v>
      </c>
      <c r="G445" s="243" t="n">
        <v>20</v>
      </c>
      <c r="H445" s="243" t="n">
        <v>4146.91</v>
      </c>
      <c r="I445" s="243" t="s">
        <v>2116</v>
      </c>
      <c r="J445" s="244" t="n">
        <v>4147</v>
      </c>
      <c r="K445" s="245" t="n">
        <v>8961.03</v>
      </c>
      <c r="L445" s="244" t="n">
        <v>-4814</v>
      </c>
      <c r="M445" s="243" t="n">
        <v>12.2</v>
      </c>
      <c r="N445" s="246" t="n">
        <v>0</v>
      </c>
      <c r="O445" s="238" t="n">
        <f aca="false">'INPUT DEBT'!$M445-'INPUT DEBT'!$N445</f>
        <v>12.2</v>
      </c>
      <c r="P445" s="239" t="s">
        <v>2117</v>
      </c>
      <c r="Q445" s="103"/>
      <c r="R445" s="103"/>
      <c r="S445" s="103"/>
      <c r="T445" s="103"/>
      <c r="U445" s="103"/>
      <c r="V445" s="103"/>
    </row>
    <row r="446" customFormat="false" ht="14.25" hidden="false" customHeight="true" outlineLevel="0" collapsed="false">
      <c r="A446" s="237" t="n">
        <v>441</v>
      </c>
      <c r="B446" s="238" t="s">
        <v>170</v>
      </c>
      <c r="C446" s="238" t="s">
        <v>170</v>
      </c>
      <c r="D446" s="238" t="s">
        <v>3251</v>
      </c>
      <c r="E446" s="238" t="s">
        <v>3252</v>
      </c>
      <c r="F446" s="238" t="s">
        <v>1808</v>
      </c>
      <c r="G446" s="238" t="n">
        <v>40</v>
      </c>
      <c r="H446" s="240" t="n">
        <v>3647</v>
      </c>
      <c r="I446" s="240" t="n">
        <v>4191</v>
      </c>
      <c r="J446" s="238" t="n">
        <v>-543</v>
      </c>
      <c r="K446" s="240" t="n">
        <v>3104</v>
      </c>
      <c r="L446" s="240" t="n">
        <v>-3647</v>
      </c>
      <c r="M446" s="238" t="n">
        <v>10.73</v>
      </c>
      <c r="N446" s="241" t="n">
        <v>11.49</v>
      </c>
      <c r="O446" s="238" t="n">
        <f aca="false">'INPUT DEBT'!$M446-'INPUT DEBT'!$N446</f>
        <v>-0.76</v>
      </c>
      <c r="P446" s="239" t="str">
        <f aca="false">IF(N446=0, "NOT DELIVERED", IF(O446=0, "CLEARED", "PARTIALLY DELIVERED"))</f>
        <v>PARTIALLY DELIVERED</v>
      </c>
    </row>
    <row r="447" customFormat="false" ht="15" hidden="false" customHeight="true" outlineLevel="0" collapsed="false">
      <c r="A447" s="242" t="n">
        <v>442</v>
      </c>
      <c r="B447" s="255" t="s">
        <v>174</v>
      </c>
      <c r="C447" s="255" t="s">
        <v>346</v>
      </c>
      <c r="D447" s="255" t="s">
        <v>3253</v>
      </c>
      <c r="E447" s="255" t="s">
        <v>349</v>
      </c>
      <c r="F447" s="255" t="s">
        <v>1808</v>
      </c>
      <c r="G447" s="255" t="n">
        <v>200</v>
      </c>
      <c r="H447" s="255" t="n">
        <v>0</v>
      </c>
      <c r="I447" s="255" t="s">
        <v>25</v>
      </c>
      <c r="J447" s="255" t="n">
        <v>0</v>
      </c>
      <c r="K447" s="255" t="s">
        <v>25</v>
      </c>
      <c r="L447" s="255" t="s">
        <v>25</v>
      </c>
      <c r="M447" s="255"/>
      <c r="N447" s="255" t="n">
        <v>0</v>
      </c>
      <c r="O447" s="238" t="n">
        <v>0</v>
      </c>
      <c r="P447" s="239"/>
    </row>
    <row r="448" customFormat="false" ht="15" hidden="false" customHeight="true" outlineLevel="0" collapsed="false">
      <c r="A448" s="237" t="n">
        <v>443</v>
      </c>
      <c r="B448" s="255" t="s">
        <v>174</v>
      </c>
      <c r="C448" s="255" t="s">
        <v>346</v>
      </c>
      <c r="D448" s="255" t="s">
        <v>3254</v>
      </c>
      <c r="E448" s="255" t="s">
        <v>352</v>
      </c>
      <c r="F448" s="255" t="s">
        <v>1808</v>
      </c>
      <c r="G448" s="255" t="n">
        <v>20</v>
      </c>
      <c r="H448" s="255" t="n">
        <v>0</v>
      </c>
      <c r="I448" s="255" t="s">
        <v>25</v>
      </c>
      <c r="J448" s="255" t="n">
        <v>0</v>
      </c>
      <c r="K448" s="255" t="s">
        <v>25</v>
      </c>
      <c r="L448" s="255" t="s">
        <v>25</v>
      </c>
      <c r="M448" s="255" t="n">
        <v>0</v>
      </c>
      <c r="N448" s="255" t="n">
        <v>0</v>
      </c>
      <c r="O448" s="238" t="n">
        <f aca="false">'INPUT DEBT'!$M448-'INPUT DEBT'!$N448</f>
        <v>0</v>
      </c>
      <c r="P448" s="239"/>
    </row>
    <row r="449" customFormat="false" ht="15" hidden="false" customHeight="true" outlineLevel="0" collapsed="false">
      <c r="A449" s="242" t="n">
        <v>444</v>
      </c>
      <c r="B449" s="255" t="s">
        <v>174</v>
      </c>
      <c r="C449" s="255" t="s">
        <v>346</v>
      </c>
      <c r="D449" s="255" t="s">
        <v>3255</v>
      </c>
      <c r="E449" s="255" t="s">
        <v>354</v>
      </c>
      <c r="F449" s="255" t="s">
        <v>1808</v>
      </c>
      <c r="G449" s="255" t="n">
        <v>20</v>
      </c>
      <c r="H449" s="255" t="n">
        <v>0</v>
      </c>
      <c r="I449" s="255" t="s">
        <v>25</v>
      </c>
      <c r="J449" s="255" t="n">
        <v>0</v>
      </c>
      <c r="K449" s="255" t="s">
        <v>25</v>
      </c>
      <c r="L449" s="255" t="s">
        <v>25</v>
      </c>
      <c r="M449" s="255" t="n">
        <v>0</v>
      </c>
      <c r="N449" s="255" t="n">
        <v>0</v>
      </c>
      <c r="O449" s="238" t="n">
        <f aca="false">'INPUT DEBT'!$M449-'INPUT DEBT'!$N449</f>
        <v>0</v>
      </c>
      <c r="P449" s="239"/>
    </row>
    <row r="450" customFormat="false" ht="15" hidden="false" customHeight="true" outlineLevel="0" collapsed="false">
      <c r="A450" s="237" t="n">
        <v>445</v>
      </c>
      <c r="B450" s="255" t="s">
        <v>174</v>
      </c>
      <c r="C450" s="256" t="s">
        <v>170</v>
      </c>
      <c r="D450" s="255" t="s">
        <v>3256</v>
      </c>
      <c r="E450" s="255" t="s">
        <v>761</v>
      </c>
      <c r="F450" s="255" t="s">
        <v>1808</v>
      </c>
      <c r="G450" s="255" t="n">
        <v>20</v>
      </c>
      <c r="H450" s="257" t="n">
        <v>4147</v>
      </c>
      <c r="I450" s="255" t="s">
        <v>25</v>
      </c>
      <c r="J450" s="257" t="n">
        <v>4147</v>
      </c>
      <c r="K450" s="255" t="n">
        <v>4814.12</v>
      </c>
      <c r="L450" s="255" t="s">
        <v>25</v>
      </c>
      <c r="M450" s="255" t="n">
        <v>0</v>
      </c>
      <c r="N450" s="255" t="n">
        <v>0</v>
      </c>
      <c r="O450" s="238" t="n">
        <f aca="false">'INPUT DEBT'!$M450-'INPUT DEBT'!$N450</f>
        <v>0</v>
      </c>
      <c r="P450" s="239"/>
    </row>
    <row r="451" customFormat="false" ht="15" hidden="false" customHeight="true" outlineLevel="0" collapsed="false">
      <c r="A451" s="242" t="n">
        <v>446</v>
      </c>
      <c r="B451" s="255" t="s">
        <v>174</v>
      </c>
      <c r="C451" s="256" t="s">
        <v>170</v>
      </c>
      <c r="D451" s="255" t="s">
        <v>762</v>
      </c>
      <c r="E451" s="256"/>
      <c r="F451" s="255" t="s">
        <v>3257</v>
      </c>
      <c r="G451" s="255" t="n">
        <v>60</v>
      </c>
      <c r="H451" s="255" t="n">
        <v>0</v>
      </c>
      <c r="I451" s="255" t="s">
        <v>25</v>
      </c>
      <c r="J451" s="255" t="n">
        <v>0</v>
      </c>
      <c r="K451" s="255" t="s">
        <v>25</v>
      </c>
      <c r="L451" s="255" t="s">
        <v>25</v>
      </c>
      <c r="M451" s="255" t="n">
        <v>0</v>
      </c>
      <c r="N451" s="255" t="n">
        <v>0</v>
      </c>
      <c r="O451" s="238" t="n">
        <f aca="false">'INPUT DEBT'!$M451-'INPUT DEBT'!$N451</f>
        <v>0</v>
      </c>
      <c r="P451" s="239"/>
    </row>
    <row r="452" customFormat="false" ht="15" hidden="false" customHeight="true" outlineLevel="0" collapsed="false">
      <c r="A452" s="237" t="n">
        <v>447</v>
      </c>
      <c r="B452" s="255" t="s">
        <v>174</v>
      </c>
      <c r="C452" s="255" t="s">
        <v>870</v>
      </c>
      <c r="D452" s="255" t="s">
        <v>3258</v>
      </c>
      <c r="E452" s="255" t="s">
        <v>871</v>
      </c>
      <c r="F452" s="255" t="s">
        <v>1808</v>
      </c>
      <c r="G452" s="255" t="n">
        <v>30</v>
      </c>
      <c r="H452" s="257" t="n">
        <v>3694</v>
      </c>
      <c r="I452" s="255" t="s">
        <v>25</v>
      </c>
      <c r="J452" s="257" t="n">
        <v>3694</v>
      </c>
      <c r="K452" s="255" t="s">
        <v>25</v>
      </c>
      <c r="L452" s="255" t="s">
        <v>25</v>
      </c>
      <c r="M452" s="255" t="n">
        <v>0</v>
      </c>
      <c r="N452" s="255" t="n">
        <v>0</v>
      </c>
      <c r="O452" s="238" t="n">
        <f aca="false">'INPUT DEBT'!$M452-'INPUT DEBT'!$N452</f>
        <v>0</v>
      </c>
      <c r="P452" s="256" t="s">
        <v>25</v>
      </c>
    </row>
    <row r="453" customFormat="false" ht="15" hidden="false" customHeight="true" outlineLevel="0" collapsed="false">
      <c r="A453" s="242" t="n">
        <v>448</v>
      </c>
      <c r="B453" s="255" t="s">
        <v>174</v>
      </c>
      <c r="C453" s="255" t="s">
        <v>891</v>
      </c>
      <c r="D453" s="255" t="s">
        <v>3259</v>
      </c>
      <c r="E453" s="255" t="s">
        <v>892</v>
      </c>
      <c r="F453" s="255" t="s">
        <v>1808</v>
      </c>
      <c r="G453" s="255" t="n">
        <v>15</v>
      </c>
      <c r="H453" s="255" t="n">
        <v>0</v>
      </c>
      <c r="I453" s="255" t="s">
        <v>25</v>
      </c>
      <c r="J453" s="255" t="n">
        <v>0</v>
      </c>
      <c r="K453" s="255" t="s">
        <v>25</v>
      </c>
      <c r="L453" s="255" t="s">
        <v>25</v>
      </c>
      <c r="M453" s="255" t="n">
        <v>0</v>
      </c>
      <c r="N453" s="255" t="n">
        <v>0</v>
      </c>
      <c r="O453" s="238" t="n">
        <f aca="false">'INPUT DEBT'!$M453-'INPUT DEBT'!$N453</f>
        <v>0</v>
      </c>
      <c r="P453" s="256" t="s">
        <v>25</v>
      </c>
    </row>
    <row r="454" customFormat="false" ht="15" hidden="false" customHeight="true" outlineLevel="0" collapsed="false">
      <c r="A454" s="237" t="n">
        <v>449</v>
      </c>
      <c r="B454" s="255" t="s">
        <v>174</v>
      </c>
      <c r="C454" s="255" t="s">
        <v>897</v>
      </c>
      <c r="D454" s="255" t="s">
        <v>3260</v>
      </c>
      <c r="E454" s="255" t="s">
        <v>898</v>
      </c>
      <c r="F454" s="255" t="s">
        <v>1808</v>
      </c>
      <c r="G454" s="255" t="n">
        <v>15</v>
      </c>
      <c r="H454" s="255" t="n">
        <v>0</v>
      </c>
      <c r="I454" s="255" t="s">
        <v>25</v>
      </c>
      <c r="J454" s="255" t="n">
        <v>0</v>
      </c>
      <c r="K454" s="255" t="s">
        <v>25</v>
      </c>
      <c r="L454" s="255" t="s">
        <v>25</v>
      </c>
      <c r="M454" s="255" t="n">
        <v>0</v>
      </c>
      <c r="N454" s="255" t="n">
        <v>0</v>
      </c>
      <c r="O454" s="238" t="n">
        <f aca="false">'INPUT DEBT'!$M454-'INPUT DEBT'!$N454</f>
        <v>0</v>
      </c>
      <c r="P454" s="256" t="s">
        <v>25</v>
      </c>
    </row>
    <row r="455" customFormat="false" ht="15" hidden="false" customHeight="true" outlineLevel="0" collapsed="false">
      <c r="A455" s="242" t="n">
        <v>450</v>
      </c>
      <c r="B455" s="255" t="s">
        <v>174</v>
      </c>
      <c r="C455" s="255" t="s">
        <v>900</v>
      </c>
      <c r="D455" s="255" t="s">
        <v>3261</v>
      </c>
      <c r="E455" s="255" t="s">
        <v>901</v>
      </c>
      <c r="F455" s="255" t="s">
        <v>1808</v>
      </c>
      <c r="G455" s="255" t="n">
        <v>20</v>
      </c>
      <c r="H455" s="255" t="n">
        <v>0</v>
      </c>
      <c r="I455" s="255" t="s">
        <v>25</v>
      </c>
      <c r="J455" s="255" t="n">
        <v>0</v>
      </c>
      <c r="K455" s="255" t="s">
        <v>25</v>
      </c>
      <c r="L455" s="255" t="s">
        <v>25</v>
      </c>
      <c r="M455" s="255" t="n">
        <v>0</v>
      </c>
      <c r="N455" s="255" t="n">
        <v>0</v>
      </c>
      <c r="O455" s="238" t="n">
        <f aca="false">'INPUT DEBT'!$M455-'INPUT DEBT'!$N455</f>
        <v>0</v>
      </c>
      <c r="P455" s="256" t="s">
        <v>25</v>
      </c>
    </row>
    <row r="456" customFormat="false" ht="15" hidden="false" customHeight="true" outlineLevel="0" collapsed="false">
      <c r="A456" s="237" t="n">
        <v>451</v>
      </c>
      <c r="B456" s="255" t="s">
        <v>174</v>
      </c>
      <c r="C456" s="255" t="s">
        <v>903</v>
      </c>
      <c r="D456" s="255" t="s">
        <v>3262</v>
      </c>
      <c r="E456" s="255" t="s">
        <v>904</v>
      </c>
      <c r="F456" s="255" t="s">
        <v>1808</v>
      </c>
      <c r="G456" s="255" t="n">
        <v>100</v>
      </c>
      <c r="H456" s="255" t="n">
        <v>0</v>
      </c>
      <c r="I456" s="255" t="s">
        <v>25</v>
      </c>
      <c r="J456" s="255" t="n">
        <v>0</v>
      </c>
      <c r="K456" s="255" t="s">
        <v>25</v>
      </c>
      <c r="L456" s="255" t="s">
        <v>25</v>
      </c>
      <c r="M456" s="255" t="n">
        <v>0</v>
      </c>
      <c r="N456" s="255" t="n">
        <v>0</v>
      </c>
      <c r="O456" s="238" t="n">
        <f aca="false">'INPUT DEBT'!$M456-'INPUT DEBT'!$N456</f>
        <v>0</v>
      </c>
      <c r="P456" s="256" t="s">
        <v>25</v>
      </c>
    </row>
    <row r="457" customFormat="false" ht="15" hidden="false" customHeight="true" outlineLevel="0" collapsed="false">
      <c r="A457" s="242" t="n">
        <v>452</v>
      </c>
      <c r="B457" s="255" t="s">
        <v>174</v>
      </c>
      <c r="C457" s="255" t="s">
        <v>906</v>
      </c>
      <c r="D457" s="255" t="s">
        <v>3263</v>
      </c>
      <c r="E457" s="255" t="s">
        <v>907</v>
      </c>
      <c r="F457" s="255" t="s">
        <v>3257</v>
      </c>
      <c r="G457" s="255" t="n">
        <v>26</v>
      </c>
      <c r="H457" s="255" t="n">
        <v>0</v>
      </c>
      <c r="I457" s="255" t="s">
        <v>25</v>
      </c>
      <c r="J457" s="255" t="n">
        <v>0</v>
      </c>
      <c r="K457" s="255" t="s">
        <v>25</v>
      </c>
      <c r="L457" s="255" t="s">
        <v>25</v>
      </c>
      <c r="M457" s="255" t="n">
        <v>0</v>
      </c>
      <c r="N457" s="255" t="n">
        <v>0</v>
      </c>
      <c r="O457" s="238" t="n">
        <f aca="false">'INPUT DEBT'!$M457-'INPUT DEBT'!$N457</f>
        <v>0</v>
      </c>
      <c r="P457" s="256" t="s">
        <v>25</v>
      </c>
    </row>
    <row r="458" customFormat="false" ht="15" hidden="false" customHeight="true" outlineLevel="0" collapsed="false">
      <c r="A458" s="237" t="n">
        <v>453</v>
      </c>
      <c r="B458" s="255" t="s">
        <v>174</v>
      </c>
      <c r="C458" s="255" t="s">
        <v>847</v>
      </c>
      <c r="D458" s="255" t="s">
        <v>3264</v>
      </c>
      <c r="E458" s="255" t="s">
        <v>909</v>
      </c>
      <c r="F458" s="255" t="s">
        <v>1808</v>
      </c>
      <c r="G458" s="255" t="n">
        <v>60</v>
      </c>
      <c r="H458" s="255" t="n">
        <v>0</v>
      </c>
      <c r="I458" s="255" t="s">
        <v>25</v>
      </c>
      <c r="J458" s="255" t="n">
        <v>0</v>
      </c>
      <c r="K458" s="255" t="s">
        <v>25</v>
      </c>
      <c r="L458" s="255" t="s">
        <v>25</v>
      </c>
      <c r="M458" s="255" t="n">
        <v>0</v>
      </c>
      <c r="N458" s="255" t="n">
        <v>0</v>
      </c>
      <c r="O458" s="238" t="n">
        <f aca="false">'INPUT DEBT'!$M458-'INPUT DEBT'!$N458</f>
        <v>0</v>
      </c>
      <c r="P458" s="256" t="s">
        <v>25</v>
      </c>
    </row>
    <row r="459" customFormat="false" ht="15" hidden="false" customHeight="true" outlineLevel="0" collapsed="false">
      <c r="A459" s="242" t="n">
        <v>454</v>
      </c>
      <c r="B459" s="255" t="s">
        <v>174</v>
      </c>
      <c r="C459" s="255" t="s">
        <v>911</v>
      </c>
      <c r="D459" s="255" t="s">
        <v>3265</v>
      </c>
      <c r="E459" s="255" t="s">
        <v>912</v>
      </c>
      <c r="F459" s="255" t="s">
        <v>1808</v>
      </c>
      <c r="G459" s="255" t="n">
        <v>15</v>
      </c>
      <c r="H459" s="255" t="n">
        <v>0</v>
      </c>
      <c r="I459" s="255" t="s">
        <v>25</v>
      </c>
      <c r="J459" s="255" t="n">
        <v>0</v>
      </c>
      <c r="K459" s="255" t="s">
        <v>25</v>
      </c>
      <c r="L459" s="255" t="s">
        <v>25</v>
      </c>
      <c r="M459" s="255" t="n">
        <v>0</v>
      </c>
      <c r="N459" s="255" t="n">
        <v>0</v>
      </c>
      <c r="O459" s="238" t="n">
        <f aca="false">'INPUT DEBT'!$M459-'INPUT DEBT'!$N459</f>
        <v>0</v>
      </c>
      <c r="P459" s="256" t="s">
        <v>25</v>
      </c>
    </row>
    <row r="460" customFormat="false" ht="15" hidden="false" customHeight="true" outlineLevel="0" collapsed="false">
      <c r="A460" s="237" t="n">
        <v>455</v>
      </c>
      <c r="B460" s="255" t="s">
        <v>174</v>
      </c>
      <c r="C460" s="255" t="s">
        <v>767</v>
      </c>
      <c r="D460" s="255" t="s">
        <v>3266</v>
      </c>
      <c r="E460" s="255" t="s">
        <v>915</v>
      </c>
      <c r="F460" s="255" t="s">
        <v>1808</v>
      </c>
      <c r="G460" s="255" t="n">
        <v>50</v>
      </c>
      <c r="H460" s="255" t="n">
        <v>0</v>
      </c>
      <c r="I460" s="255" t="s">
        <v>25</v>
      </c>
      <c r="J460" s="255" t="n">
        <v>0</v>
      </c>
      <c r="K460" s="255" t="s">
        <v>25</v>
      </c>
      <c r="L460" s="255" t="s">
        <v>25</v>
      </c>
      <c r="M460" s="255" t="n">
        <v>0</v>
      </c>
      <c r="N460" s="255" t="n">
        <v>0</v>
      </c>
      <c r="O460" s="238" t="n">
        <f aca="false">'INPUT DEBT'!$M460-'INPUT DEBT'!$N460</f>
        <v>0</v>
      </c>
      <c r="P460" s="256" t="s">
        <v>25</v>
      </c>
    </row>
    <row r="461" customFormat="false" ht="15" hidden="false" customHeight="true" outlineLevel="0" collapsed="false">
      <c r="A461" s="242" t="n">
        <v>456</v>
      </c>
      <c r="B461" s="255" t="s">
        <v>174</v>
      </c>
      <c r="C461" s="255" t="s">
        <v>1383</v>
      </c>
      <c r="D461" s="255" t="s">
        <v>3267</v>
      </c>
      <c r="E461" s="255" t="s">
        <v>1384</v>
      </c>
      <c r="F461" s="255" t="s">
        <v>3257</v>
      </c>
      <c r="G461" s="255" t="n">
        <v>20</v>
      </c>
      <c r="H461" s="255" t="n">
        <v>0</v>
      </c>
      <c r="I461" s="255" t="s">
        <v>25</v>
      </c>
      <c r="J461" s="255" t="n">
        <v>0</v>
      </c>
      <c r="K461" s="255" t="s">
        <v>25</v>
      </c>
      <c r="L461" s="255" t="s">
        <v>25</v>
      </c>
      <c r="M461" s="255" t="n">
        <v>0</v>
      </c>
      <c r="N461" s="255" t="n">
        <v>0</v>
      </c>
      <c r="O461" s="238" t="n">
        <f aca="false">'INPUT DEBT'!$M461-'INPUT DEBT'!$N461</f>
        <v>0</v>
      </c>
      <c r="P461" s="256" t="s">
        <v>25</v>
      </c>
    </row>
    <row r="462" customFormat="false" ht="15" hidden="false" customHeight="true" outlineLevel="0" collapsed="false">
      <c r="A462" s="237" t="n">
        <v>457</v>
      </c>
      <c r="B462" s="255" t="s">
        <v>174</v>
      </c>
      <c r="C462" s="255" t="s">
        <v>1386</v>
      </c>
      <c r="D462" s="255" t="s">
        <v>3268</v>
      </c>
      <c r="E462" s="255" t="s">
        <v>1387</v>
      </c>
      <c r="F462" s="255" t="s">
        <v>1808</v>
      </c>
      <c r="G462" s="255" t="n">
        <v>20</v>
      </c>
      <c r="H462" s="255" t="n">
        <v>0</v>
      </c>
      <c r="I462" s="255" t="s">
        <v>25</v>
      </c>
      <c r="J462" s="255" t="n">
        <v>0</v>
      </c>
      <c r="K462" s="255" t="s">
        <v>25</v>
      </c>
      <c r="L462" s="255" t="s">
        <v>25</v>
      </c>
      <c r="M462" s="255" t="n">
        <v>0</v>
      </c>
      <c r="N462" s="255" t="n">
        <v>0</v>
      </c>
      <c r="O462" s="238" t="n">
        <f aca="false">'INPUT DEBT'!$M462-'INPUT DEBT'!$N462</f>
        <v>0</v>
      </c>
      <c r="P462" s="256" t="s">
        <v>25</v>
      </c>
    </row>
    <row r="463" customFormat="false" ht="15" hidden="false" customHeight="true" outlineLevel="0" collapsed="false">
      <c r="A463" s="242" t="n">
        <v>458</v>
      </c>
      <c r="B463" s="255" t="s">
        <v>174</v>
      </c>
      <c r="C463" s="255" t="s">
        <v>1389</v>
      </c>
      <c r="D463" s="255" t="s">
        <v>3269</v>
      </c>
      <c r="E463" s="255" t="s">
        <v>1390</v>
      </c>
      <c r="F463" s="255" t="s">
        <v>1808</v>
      </c>
      <c r="G463" s="255" t="n">
        <v>50</v>
      </c>
      <c r="H463" s="255" t="n">
        <v>0</v>
      </c>
      <c r="I463" s="255" t="s">
        <v>25</v>
      </c>
      <c r="J463" s="255" t="n">
        <v>0</v>
      </c>
      <c r="K463" s="255" t="s">
        <v>25</v>
      </c>
      <c r="L463" s="255" t="s">
        <v>25</v>
      </c>
      <c r="M463" s="255" t="n">
        <v>0</v>
      </c>
      <c r="N463" s="255" t="n">
        <v>0</v>
      </c>
      <c r="O463" s="238" t="n">
        <f aca="false">'INPUT DEBT'!$M463-'INPUT DEBT'!$N463</f>
        <v>0</v>
      </c>
      <c r="P463" s="256" t="s">
        <v>25</v>
      </c>
    </row>
    <row r="464" customFormat="false" ht="15" hidden="false" customHeight="true" outlineLevel="0" collapsed="false">
      <c r="A464" s="237" t="n">
        <v>459</v>
      </c>
      <c r="B464" s="255" t="s">
        <v>174</v>
      </c>
      <c r="C464" s="255" t="s">
        <v>858</v>
      </c>
      <c r="D464" s="255" t="s">
        <v>3270</v>
      </c>
      <c r="E464" s="255" t="s">
        <v>1392</v>
      </c>
      <c r="F464" s="255" t="s">
        <v>1808</v>
      </c>
      <c r="G464" s="255" t="n">
        <v>20</v>
      </c>
      <c r="H464" s="255" t="n">
        <v>0</v>
      </c>
      <c r="I464" s="255" t="s">
        <v>25</v>
      </c>
      <c r="J464" s="255" t="n">
        <v>0</v>
      </c>
      <c r="K464" s="255" t="s">
        <v>25</v>
      </c>
      <c r="L464" s="255" t="s">
        <v>25</v>
      </c>
      <c r="M464" s="255" t="n">
        <v>0</v>
      </c>
      <c r="N464" s="255" t="n">
        <v>0</v>
      </c>
      <c r="O464" s="238" t="n">
        <f aca="false">'INPUT DEBT'!$M464-'INPUT DEBT'!$N464</f>
        <v>0</v>
      </c>
      <c r="P464" s="256" t="s">
        <v>25</v>
      </c>
    </row>
    <row r="465" customFormat="false" ht="15" hidden="false" customHeight="true" outlineLevel="0" collapsed="false">
      <c r="A465" s="242" t="n">
        <v>460</v>
      </c>
      <c r="B465" s="255" t="s">
        <v>174</v>
      </c>
      <c r="C465" s="255" t="s">
        <v>1394</v>
      </c>
      <c r="D465" s="255" t="s">
        <v>3271</v>
      </c>
      <c r="E465" s="255" t="s">
        <v>1395</v>
      </c>
      <c r="F465" s="255" t="s">
        <v>1808</v>
      </c>
      <c r="G465" s="255" t="n">
        <v>20</v>
      </c>
      <c r="H465" s="255" t="n">
        <v>0</v>
      </c>
      <c r="I465" s="255" t="s">
        <v>25</v>
      </c>
      <c r="J465" s="255" t="n">
        <v>0</v>
      </c>
      <c r="K465" s="255" t="s">
        <v>25</v>
      </c>
      <c r="L465" s="255" t="s">
        <v>25</v>
      </c>
      <c r="M465" s="255" t="n">
        <v>0</v>
      </c>
      <c r="N465" s="255" t="n">
        <v>0</v>
      </c>
      <c r="O465" s="238" t="n">
        <f aca="false">'INPUT DEBT'!$M465-'INPUT DEBT'!$N465</f>
        <v>0</v>
      </c>
      <c r="P465" s="256" t="s">
        <v>25</v>
      </c>
    </row>
    <row r="466" customFormat="false" ht="15" hidden="false" customHeight="true" outlineLevel="0" collapsed="false">
      <c r="A466" s="237" t="n">
        <v>461</v>
      </c>
      <c r="B466" s="255" t="s">
        <v>174</v>
      </c>
      <c r="C466" s="255" t="s">
        <v>1397</v>
      </c>
      <c r="D466" s="255" t="s">
        <v>3272</v>
      </c>
      <c r="E466" s="255" t="s">
        <v>1398</v>
      </c>
      <c r="F466" s="255" t="s">
        <v>1808</v>
      </c>
      <c r="G466" s="255" t="n">
        <v>20</v>
      </c>
      <c r="H466" s="255" t="n">
        <v>0</v>
      </c>
      <c r="I466" s="255" t="s">
        <v>25</v>
      </c>
      <c r="J466" s="255" t="n">
        <v>0</v>
      </c>
      <c r="K466" s="255" t="s">
        <v>25</v>
      </c>
      <c r="L466" s="255" t="s">
        <v>25</v>
      </c>
      <c r="M466" s="255" t="n">
        <v>0</v>
      </c>
      <c r="N466" s="255" t="n">
        <v>0</v>
      </c>
      <c r="O466" s="238" t="n">
        <f aca="false">'INPUT DEBT'!$M466-'INPUT DEBT'!$N466</f>
        <v>0</v>
      </c>
      <c r="P466" s="256" t="s">
        <v>25</v>
      </c>
    </row>
    <row r="467" customFormat="false" ht="15" hidden="false" customHeight="true" outlineLevel="0" collapsed="false">
      <c r="A467" s="242" t="n">
        <v>462</v>
      </c>
      <c r="B467" s="255" t="s">
        <v>174</v>
      </c>
      <c r="C467" s="255" t="s">
        <v>1400</v>
      </c>
      <c r="D467" s="255" t="s">
        <v>3273</v>
      </c>
      <c r="E467" s="255" t="s">
        <v>1401</v>
      </c>
      <c r="F467" s="255" t="s">
        <v>1808</v>
      </c>
      <c r="G467" s="255" t="n">
        <v>10</v>
      </c>
      <c r="H467" s="255" t="n">
        <v>0</v>
      </c>
      <c r="I467" s="255" t="s">
        <v>25</v>
      </c>
      <c r="J467" s="255" t="n">
        <v>0</v>
      </c>
      <c r="K467" s="255" t="s">
        <v>25</v>
      </c>
      <c r="L467" s="255" t="s">
        <v>25</v>
      </c>
      <c r="M467" s="255" t="n">
        <v>0</v>
      </c>
      <c r="N467" s="255" t="n">
        <v>0</v>
      </c>
      <c r="O467" s="238" t="n">
        <f aca="false">'INPUT DEBT'!$M467-'INPUT DEBT'!$N467</f>
        <v>0</v>
      </c>
      <c r="P467" s="256" t="s">
        <v>25</v>
      </c>
    </row>
    <row r="468" customFormat="false" ht="15" hidden="false" customHeight="true" outlineLevel="0" collapsed="false">
      <c r="A468" s="237" t="n">
        <v>463</v>
      </c>
      <c r="B468" s="255" t="s">
        <v>174</v>
      </c>
      <c r="C468" s="255" t="s">
        <v>1403</v>
      </c>
      <c r="D468" s="255" t="s">
        <v>3274</v>
      </c>
      <c r="E468" s="255" t="s">
        <v>1404</v>
      </c>
      <c r="F468" s="255" t="s">
        <v>1808</v>
      </c>
      <c r="G468" s="255" t="n">
        <v>10</v>
      </c>
      <c r="H468" s="255" t="n">
        <v>0</v>
      </c>
      <c r="I468" s="255" t="s">
        <v>25</v>
      </c>
      <c r="J468" s="255" t="n">
        <v>0</v>
      </c>
      <c r="K468" s="255" t="s">
        <v>25</v>
      </c>
      <c r="L468" s="255" t="s">
        <v>25</v>
      </c>
      <c r="M468" s="255" t="n">
        <v>0</v>
      </c>
      <c r="N468" s="255" t="n">
        <v>0</v>
      </c>
      <c r="O468" s="238" t="n">
        <f aca="false">'INPUT DEBT'!$M468-'INPUT DEBT'!$N468</f>
        <v>0</v>
      </c>
      <c r="P468" s="256" t="s">
        <v>25</v>
      </c>
    </row>
    <row r="469" customFormat="false" ht="15" hidden="false" customHeight="true" outlineLevel="0" collapsed="false">
      <c r="A469" s="242" t="n">
        <v>464</v>
      </c>
      <c r="B469" s="255" t="s">
        <v>174</v>
      </c>
      <c r="C469" s="255" t="s">
        <v>1406</v>
      </c>
      <c r="D469" s="255" t="s">
        <v>3275</v>
      </c>
      <c r="E469" s="255" t="s">
        <v>1407</v>
      </c>
      <c r="F469" s="255" t="s">
        <v>1808</v>
      </c>
      <c r="G469" s="255" t="n">
        <v>10</v>
      </c>
      <c r="H469" s="255" t="n">
        <v>0</v>
      </c>
      <c r="I469" s="255" t="s">
        <v>25</v>
      </c>
      <c r="J469" s="255" t="n">
        <v>0</v>
      </c>
      <c r="K469" s="255" t="s">
        <v>25</v>
      </c>
      <c r="L469" s="255" t="s">
        <v>25</v>
      </c>
      <c r="M469" s="255" t="n">
        <v>0</v>
      </c>
      <c r="N469" s="255" t="n">
        <v>0</v>
      </c>
      <c r="O469" s="238" t="n">
        <f aca="false">'INPUT DEBT'!$M469-'INPUT DEBT'!$N469</f>
        <v>0</v>
      </c>
      <c r="P469" s="256" t="s">
        <v>25</v>
      </c>
    </row>
    <row r="470" customFormat="false" ht="15" hidden="false" customHeight="true" outlineLevel="0" collapsed="false">
      <c r="A470" s="237" t="n">
        <v>465</v>
      </c>
      <c r="B470" s="255" t="s">
        <v>174</v>
      </c>
      <c r="C470" s="255" t="s">
        <v>1409</v>
      </c>
      <c r="D470" s="255" t="s">
        <v>3276</v>
      </c>
      <c r="E470" s="255" t="s">
        <v>1410</v>
      </c>
      <c r="F470" s="255" t="s">
        <v>1808</v>
      </c>
      <c r="G470" s="255" t="n">
        <v>15</v>
      </c>
      <c r="H470" s="255" t="n">
        <v>0</v>
      </c>
      <c r="I470" s="255" t="s">
        <v>25</v>
      </c>
      <c r="J470" s="255" t="n">
        <v>0</v>
      </c>
      <c r="K470" s="255" t="s">
        <v>25</v>
      </c>
      <c r="L470" s="255" t="s">
        <v>25</v>
      </c>
      <c r="M470" s="255" t="n">
        <v>0</v>
      </c>
      <c r="N470" s="255" t="n">
        <v>0</v>
      </c>
      <c r="O470" s="238" t="n">
        <f aca="false">'INPUT DEBT'!$M470-'INPUT DEBT'!$N470</f>
        <v>0</v>
      </c>
      <c r="P470" s="256" t="s">
        <v>25</v>
      </c>
    </row>
    <row r="471" customFormat="false" ht="15" hidden="false" customHeight="true" outlineLevel="0" collapsed="false">
      <c r="A471" s="242" t="n">
        <v>466</v>
      </c>
      <c r="B471" s="255" t="s">
        <v>174</v>
      </c>
      <c r="C471" s="255" t="s">
        <v>1412</v>
      </c>
      <c r="D471" s="255" t="s">
        <v>3277</v>
      </c>
      <c r="E471" s="255" t="s">
        <v>1413</v>
      </c>
      <c r="F471" s="255" t="s">
        <v>1808</v>
      </c>
      <c r="G471" s="255" t="n">
        <v>10</v>
      </c>
      <c r="H471" s="255" t="n">
        <v>0</v>
      </c>
      <c r="I471" s="255" t="s">
        <v>25</v>
      </c>
      <c r="J471" s="255" t="n">
        <v>0</v>
      </c>
      <c r="K471" s="255" t="s">
        <v>25</v>
      </c>
      <c r="L471" s="255" t="s">
        <v>25</v>
      </c>
      <c r="M471" s="255" t="n">
        <v>0</v>
      </c>
      <c r="N471" s="255" t="n">
        <v>0</v>
      </c>
      <c r="O471" s="238" t="n">
        <f aca="false">'INPUT DEBT'!$M471-'INPUT DEBT'!$N471</f>
        <v>0</v>
      </c>
      <c r="P471" s="256" t="s">
        <v>25</v>
      </c>
    </row>
    <row r="472" customFormat="false" ht="15" hidden="false" customHeight="true" outlineLevel="0" collapsed="false">
      <c r="A472" s="237" t="n">
        <v>467</v>
      </c>
      <c r="B472" s="255" t="s">
        <v>174</v>
      </c>
      <c r="C472" s="255" t="s">
        <v>1415</v>
      </c>
      <c r="D472" s="255" t="s">
        <v>3278</v>
      </c>
      <c r="E472" s="255" t="s">
        <v>1416</v>
      </c>
      <c r="F472" s="255" t="s">
        <v>1808</v>
      </c>
      <c r="G472" s="255" t="n">
        <v>20</v>
      </c>
      <c r="H472" s="255" t="n">
        <v>0</v>
      </c>
      <c r="I472" s="255" t="s">
        <v>25</v>
      </c>
      <c r="J472" s="255" t="n">
        <v>0</v>
      </c>
      <c r="K472" s="255" t="s">
        <v>25</v>
      </c>
      <c r="L472" s="255" t="s">
        <v>25</v>
      </c>
      <c r="M472" s="255" t="n">
        <v>0</v>
      </c>
      <c r="N472" s="255" t="n">
        <v>0</v>
      </c>
      <c r="O472" s="238" t="n">
        <f aca="false">'INPUT DEBT'!$M472-'INPUT DEBT'!$N472</f>
        <v>0</v>
      </c>
      <c r="P472" s="256" t="s">
        <v>25</v>
      </c>
    </row>
    <row r="473" customFormat="false" ht="15" hidden="false" customHeight="true" outlineLevel="0" collapsed="false">
      <c r="A473" s="242" t="n">
        <v>468</v>
      </c>
      <c r="B473" s="255" t="s">
        <v>174</v>
      </c>
      <c r="C473" s="255" t="s">
        <v>1418</v>
      </c>
      <c r="D473" s="255" t="s">
        <v>3279</v>
      </c>
      <c r="E473" s="255" t="s">
        <v>1419</v>
      </c>
      <c r="F473" s="255" t="s">
        <v>1808</v>
      </c>
      <c r="G473" s="255" t="n">
        <v>10</v>
      </c>
      <c r="H473" s="255" t="n">
        <v>0</v>
      </c>
      <c r="I473" s="255" t="s">
        <v>25</v>
      </c>
      <c r="J473" s="255" t="n">
        <v>0</v>
      </c>
      <c r="K473" s="255" t="s">
        <v>25</v>
      </c>
      <c r="L473" s="255" t="s">
        <v>25</v>
      </c>
      <c r="M473" s="255" t="n">
        <v>0</v>
      </c>
      <c r="N473" s="255" t="n">
        <v>0</v>
      </c>
      <c r="O473" s="238" t="n">
        <f aca="false">'INPUT DEBT'!$M473-'INPUT DEBT'!$N473</f>
        <v>0</v>
      </c>
      <c r="P473" s="256" t="s">
        <v>25</v>
      </c>
    </row>
    <row r="474" customFormat="false" ht="15" hidden="false" customHeight="true" outlineLevel="0" collapsed="false">
      <c r="A474" s="237" t="n">
        <v>469</v>
      </c>
      <c r="B474" s="255" t="s">
        <v>174</v>
      </c>
      <c r="C474" s="255" t="s">
        <v>1421</v>
      </c>
      <c r="D474" s="255" t="s">
        <v>3280</v>
      </c>
      <c r="E474" s="255" t="s">
        <v>1422</v>
      </c>
      <c r="F474" s="255" t="s">
        <v>1808</v>
      </c>
      <c r="G474" s="255" t="n">
        <v>10</v>
      </c>
      <c r="H474" s="255" t="n">
        <v>0</v>
      </c>
      <c r="I474" s="255" t="s">
        <v>25</v>
      </c>
      <c r="J474" s="255" t="n">
        <v>0</v>
      </c>
      <c r="K474" s="255" t="s">
        <v>25</v>
      </c>
      <c r="L474" s="255" t="s">
        <v>25</v>
      </c>
      <c r="M474" s="255" t="n">
        <v>0</v>
      </c>
      <c r="N474" s="255" t="n">
        <v>0</v>
      </c>
      <c r="O474" s="238" t="n">
        <f aca="false">'INPUT DEBT'!$M474-'INPUT DEBT'!$N474</f>
        <v>0</v>
      </c>
      <c r="P474" s="256" t="s">
        <v>25</v>
      </c>
    </row>
    <row r="475" customFormat="false" ht="15" hidden="false" customHeight="true" outlineLevel="0" collapsed="false">
      <c r="A475" s="242" t="n">
        <v>470</v>
      </c>
      <c r="B475" s="255" t="s">
        <v>174</v>
      </c>
      <c r="C475" s="255" t="s">
        <v>1424</v>
      </c>
      <c r="D475" s="255" t="s">
        <v>3281</v>
      </c>
      <c r="E475" s="255" t="s">
        <v>1425</v>
      </c>
      <c r="F475" s="255" t="s">
        <v>1808</v>
      </c>
      <c r="G475" s="255" t="n">
        <v>5</v>
      </c>
      <c r="H475" s="255" t="n">
        <v>0</v>
      </c>
      <c r="I475" s="255" t="s">
        <v>25</v>
      </c>
      <c r="J475" s="255" t="n">
        <v>0</v>
      </c>
      <c r="K475" s="255" t="s">
        <v>25</v>
      </c>
      <c r="L475" s="255" t="s">
        <v>25</v>
      </c>
      <c r="M475" s="255" t="n">
        <v>0</v>
      </c>
      <c r="N475" s="255" t="n">
        <v>0</v>
      </c>
      <c r="O475" s="238" t="n">
        <f aca="false">'INPUT DEBT'!$M475-'INPUT DEBT'!$N475</f>
        <v>0</v>
      </c>
      <c r="P475" s="256" t="s">
        <v>25</v>
      </c>
    </row>
    <row r="476" customFormat="false" ht="15" hidden="false" customHeight="true" outlineLevel="0" collapsed="false">
      <c r="A476" s="237" t="n">
        <v>471</v>
      </c>
      <c r="B476" s="255" t="s">
        <v>174</v>
      </c>
      <c r="C476" s="255" t="s">
        <v>1424</v>
      </c>
      <c r="D476" s="255" t="s">
        <v>3282</v>
      </c>
      <c r="E476" s="255" t="s">
        <v>1427</v>
      </c>
      <c r="F476" s="255" t="s">
        <v>1808</v>
      </c>
      <c r="G476" s="255" t="n">
        <v>2</v>
      </c>
      <c r="H476" s="255" t="n">
        <v>0</v>
      </c>
      <c r="I476" s="255" t="s">
        <v>25</v>
      </c>
      <c r="J476" s="255" t="n">
        <v>0</v>
      </c>
      <c r="K476" s="255" t="s">
        <v>25</v>
      </c>
      <c r="L476" s="255" t="s">
        <v>25</v>
      </c>
      <c r="M476" s="255" t="n">
        <v>0</v>
      </c>
      <c r="N476" s="255" t="n">
        <v>0</v>
      </c>
      <c r="O476" s="238" t="n">
        <f aca="false">'INPUT DEBT'!$M476-'INPUT DEBT'!$N476</f>
        <v>0</v>
      </c>
      <c r="P476" s="256" t="s">
        <v>25</v>
      </c>
    </row>
    <row r="477" customFormat="false" ht="15" hidden="false" customHeight="true" outlineLevel="0" collapsed="false">
      <c r="A477" s="242" t="n">
        <v>472</v>
      </c>
      <c r="B477" s="255" t="s">
        <v>174</v>
      </c>
      <c r="C477" s="255" t="s">
        <v>776</v>
      </c>
      <c r="D477" s="255" t="s">
        <v>3283</v>
      </c>
      <c r="E477" s="255" t="s">
        <v>1429</v>
      </c>
      <c r="F477" s="255" t="s">
        <v>1808</v>
      </c>
      <c r="G477" s="255" t="n">
        <v>20</v>
      </c>
      <c r="H477" s="255" t="n">
        <v>0</v>
      </c>
      <c r="I477" s="255" t="s">
        <v>25</v>
      </c>
      <c r="J477" s="255" t="n">
        <v>0</v>
      </c>
      <c r="K477" s="255" t="s">
        <v>25</v>
      </c>
      <c r="L477" s="255" t="s">
        <v>25</v>
      </c>
      <c r="M477" s="255" t="n">
        <v>0</v>
      </c>
      <c r="N477" s="255" t="n">
        <v>0</v>
      </c>
      <c r="O477" s="238" t="n">
        <f aca="false">'INPUT DEBT'!$M477-'INPUT DEBT'!$N477</f>
        <v>0</v>
      </c>
      <c r="P477" s="256" t="s">
        <v>25</v>
      </c>
    </row>
    <row r="478" customFormat="false" ht="15" hidden="false" customHeight="true" outlineLevel="0" collapsed="false">
      <c r="A478" s="237" t="n">
        <v>473</v>
      </c>
      <c r="B478" s="255" t="s">
        <v>174</v>
      </c>
      <c r="C478" s="255" t="s">
        <v>776</v>
      </c>
      <c r="D478" s="255" t="s">
        <v>3284</v>
      </c>
      <c r="E478" s="255" t="s">
        <v>1431</v>
      </c>
      <c r="F478" s="255" t="s">
        <v>1808</v>
      </c>
      <c r="G478" s="255" t="n">
        <v>4</v>
      </c>
      <c r="H478" s="255" t="n">
        <v>0</v>
      </c>
      <c r="I478" s="255" t="s">
        <v>25</v>
      </c>
      <c r="J478" s="255" t="n">
        <v>0</v>
      </c>
      <c r="K478" s="255" t="s">
        <v>25</v>
      </c>
      <c r="L478" s="255" t="s">
        <v>25</v>
      </c>
      <c r="M478" s="255" t="n">
        <v>0</v>
      </c>
      <c r="N478" s="255" t="n">
        <v>0</v>
      </c>
      <c r="O478" s="238" t="n">
        <f aca="false">'INPUT DEBT'!$M478-'INPUT DEBT'!$N478</f>
        <v>0</v>
      </c>
      <c r="P478" s="256" t="s">
        <v>25</v>
      </c>
    </row>
    <row r="479" customFormat="false" ht="15" hidden="false" customHeight="true" outlineLevel="0" collapsed="false">
      <c r="A479" s="242" t="n">
        <v>474</v>
      </c>
      <c r="B479" s="255" t="s">
        <v>174</v>
      </c>
      <c r="C479" s="255" t="s">
        <v>1433</v>
      </c>
      <c r="D479" s="255" t="s">
        <v>3285</v>
      </c>
      <c r="E479" s="255" t="s">
        <v>1434</v>
      </c>
      <c r="F479" s="255" t="s">
        <v>1808</v>
      </c>
      <c r="G479" s="255" t="n">
        <v>5</v>
      </c>
      <c r="H479" s="255" t="n">
        <v>0</v>
      </c>
      <c r="I479" s="255" t="s">
        <v>25</v>
      </c>
      <c r="J479" s="255" t="n">
        <v>0</v>
      </c>
      <c r="K479" s="255" t="s">
        <v>25</v>
      </c>
      <c r="L479" s="255" t="s">
        <v>25</v>
      </c>
      <c r="M479" s="255" t="n">
        <v>0</v>
      </c>
      <c r="N479" s="255" t="n">
        <v>0</v>
      </c>
      <c r="O479" s="238" t="n">
        <f aca="false">'INPUT DEBT'!$M479-'INPUT DEBT'!$N479</f>
        <v>0</v>
      </c>
      <c r="P479" s="256" t="s">
        <v>25</v>
      </c>
    </row>
    <row r="480" customFormat="false" ht="15" hidden="false" customHeight="true" outlineLevel="0" collapsed="false">
      <c r="A480" s="237" t="n">
        <v>475</v>
      </c>
      <c r="B480" s="255" t="s">
        <v>174</v>
      </c>
      <c r="C480" s="255" t="s">
        <v>1436</v>
      </c>
      <c r="D480" s="255" t="s">
        <v>3286</v>
      </c>
      <c r="E480" s="255" t="s">
        <v>1437</v>
      </c>
      <c r="F480" s="255" t="s">
        <v>1808</v>
      </c>
      <c r="G480" s="255" t="n">
        <v>30</v>
      </c>
      <c r="H480" s="255" t="n">
        <v>0</v>
      </c>
      <c r="I480" s="255" t="s">
        <v>25</v>
      </c>
      <c r="J480" s="255" t="n">
        <v>0</v>
      </c>
      <c r="K480" s="255" t="s">
        <v>25</v>
      </c>
      <c r="L480" s="255" t="s">
        <v>25</v>
      </c>
      <c r="M480" s="255" t="n">
        <v>0</v>
      </c>
      <c r="N480" s="255" t="n">
        <v>0</v>
      </c>
      <c r="O480" s="238" t="n">
        <f aca="false">'INPUT DEBT'!$M480-'INPUT DEBT'!$N480</f>
        <v>0</v>
      </c>
      <c r="P480" s="256" t="s">
        <v>25</v>
      </c>
    </row>
    <row r="481" customFormat="false" ht="15" hidden="false" customHeight="true" outlineLevel="0" collapsed="false">
      <c r="A481" s="242" t="n">
        <v>476</v>
      </c>
      <c r="B481" s="255" t="s">
        <v>174</v>
      </c>
      <c r="C481" s="255" t="s">
        <v>1439</v>
      </c>
      <c r="D481" s="255" t="s">
        <v>3287</v>
      </c>
      <c r="E481" s="255" t="s">
        <v>1440</v>
      </c>
      <c r="F481" s="255" t="s">
        <v>1808</v>
      </c>
      <c r="G481" s="255" t="n">
        <v>15</v>
      </c>
      <c r="H481" s="255" t="n">
        <v>0</v>
      </c>
      <c r="I481" s="255" t="s">
        <v>25</v>
      </c>
      <c r="J481" s="255" t="n">
        <v>0</v>
      </c>
      <c r="K481" s="255" t="s">
        <v>25</v>
      </c>
      <c r="L481" s="255" t="s">
        <v>25</v>
      </c>
      <c r="M481" s="255" t="n">
        <v>0</v>
      </c>
      <c r="N481" s="255" t="n">
        <v>0</v>
      </c>
      <c r="O481" s="238" t="n">
        <f aca="false">'INPUT DEBT'!$M481-'INPUT DEBT'!$N481</f>
        <v>0</v>
      </c>
      <c r="P481" s="256" t="s">
        <v>25</v>
      </c>
    </row>
    <row r="482" customFormat="false" ht="15" hidden="false" customHeight="true" outlineLevel="0" collapsed="false">
      <c r="A482" s="237" t="n">
        <v>477</v>
      </c>
      <c r="B482" s="255" t="s">
        <v>174</v>
      </c>
      <c r="C482" s="256" t="s">
        <v>170</v>
      </c>
      <c r="D482" s="255" t="s">
        <v>3288</v>
      </c>
      <c r="E482" s="256" t="s">
        <v>170</v>
      </c>
      <c r="F482" s="255" t="s">
        <v>1808</v>
      </c>
      <c r="G482" s="255" t="n">
        <v>10</v>
      </c>
      <c r="H482" s="255" t="n">
        <v>0</v>
      </c>
      <c r="I482" s="255" t="s">
        <v>25</v>
      </c>
      <c r="J482" s="255" t="n">
        <v>0</v>
      </c>
      <c r="K482" s="255" t="s">
        <v>25</v>
      </c>
      <c r="L482" s="255" t="s">
        <v>25</v>
      </c>
      <c r="M482" s="255" t="n">
        <v>0</v>
      </c>
      <c r="N482" s="255" t="n">
        <v>0</v>
      </c>
      <c r="O482" s="238" t="n">
        <f aca="false">'INPUT DEBT'!$M482-'INPUT DEBT'!$N482</f>
        <v>0</v>
      </c>
      <c r="P482" s="256" t="s">
        <v>25</v>
      </c>
    </row>
    <row r="483" customFormat="false" ht="15" hidden="false" customHeight="true" outlineLevel="0" collapsed="false">
      <c r="A483" s="242" t="n">
        <v>478</v>
      </c>
      <c r="B483" s="255" t="s">
        <v>174</v>
      </c>
      <c r="C483" s="255" t="s">
        <v>1443</v>
      </c>
      <c r="D483" s="255" t="s">
        <v>3289</v>
      </c>
      <c r="E483" s="256" t="s">
        <v>170</v>
      </c>
      <c r="F483" s="255" t="s">
        <v>1808</v>
      </c>
      <c r="G483" s="255" t="n">
        <v>10</v>
      </c>
      <c r="H483" s="255" t="n">
        <v>0</v>
      </c>
      <c r="I483" s="255" t="s">
        <v>25</v>
      </c>
      <c r="J483" s="255" t="n">
        <v>0</v>
      </c>
      <c r="K483" s="255" t="s">
        <v>25</v>
      </c>
      <c r="L483" s="255" t="s">
        <v>25</v>
      </c>
      <c r="M483" s="255" t="n">
        <v>0</v>
      </c>
      <c r="N483" s="255" t="n">
        <v>0</v>
      </c>
      <c r="O483" s="238" t="n">
        <f aca="false">'INPUT DEBT'!$M483-'INPUT DEBT'!$N483</f>
        <v>0</v>
      </c>
      <c r="P483" s="256" t="s">
        <v>25</v>
      </c>
    </row>
    <row r="484" customFormat="false" ht="15" hidden="false" customHeight="true" outlineLevel="0" collapsed="false">
      <c r="A484" s="237" t="n">
        <v>479</v>
      </c>
      <c r="B484" s="255" t="s">
        <v>174</v>
      </c>
      <c r="C484" s="255" t="s">
        <v>1445</v>
      </c>
      <c r="D484" s="255" t="s">
        <v>3290</v>
      </c>
      <c r="E484" s="255" t="s">
        <v>1446</v>
      </c>
      <c r="F484" s="255" t="s">
        <v>1808</v>
      </c>
      <c r="G484" s="255" t="n">
        <v>20</v>
      </c>
      <c r="H484" s="255" t="n">
        <v>0</v>
      </c>
      <c r="I484" s="255" t="s">
        <v>25</v>
      </c>
      <c r="J484" s="255" t="n">
        <v>0</v>
      </c>
      <c r="K484" s="255" t="s">
        <v>25</v>
      </c>
      <c r="L484" s="255" t="s">
        <v>25</v>
      </c>
      <c r="M484" s="255" t="n">
        <v>0</v>
      </c>
      <c r="N484" s="255" t="n">
        <v>0</v>
      </c>
      <c r="O484" s="238" t="n">
        <f aca="false">'INPUT DEBT'!$M484-'INPUT DEBT'!$N484</f>
        <v>0</v>
      </c>
      <c r="P484" s="256" t="s">
        <v>25</v>
      </c>
    </row>
    <row r="485" customFormat="false" ht="15" hidden="false" customHeight="true" outlineLevel="0" collapsed="false">
      <c r="A485" s="242" t="n">
        <v>480</v>
      </c>
      <c r="B485" s="255" t="s">
        <v>174</v>
      </c>
      <c r="C485" s="256" t="s">
        <v>170</v>
      </c>
      <c r="D485" s="255" t="s">
        <v>3291</v>
      </c>
      <c r="E485" s="255" t="s">
        <v>170</v>
      </c>
      <c r="F485" s="255" t="s">
        <v>1808</v>
      </c>
      <c r="G485" s="255" t="n">
        <v>20</v>
      </c>
      <c r="H485" s="255" t="n">
        <v>0</v>
      </c>
      <c r="I485" s="255" t="s">
        <v>25</v>
      </c>
      <c r="J485" s="255" t="n">
        <v>0</v>
      </c>
      <c r="K485" s="255" t="s">
        <v>25</v>
      </c>
      <c r="L485" s="255" t="s">
        <v>25</v>
      </c>
      <c r="M485" s="255" t="n">
        <v>0</v>
      </c>
      <c r="N485" s="255" t="n">
        <v>0</v>
      </c>
      <c r="O485" s="238" t="n">
        <f aca="false">'INPUT DEBT'!$M485-'INPUT DEBT'!$N485</f>
        <v>0</v>
      </c>
      <c r="P485" s="256" t="s">
        <v>25</v>
      </c>
    </row>
    <row r="486" customFormat="false" ht="15" hidden="false" customHeight="true" outlineLevel="0" collapsed="false">
      <c r="A486" s="237" t="n">
        <v>481</v>
      </c>
      <c r="B486" s="255" t="s">
        <v>174</v>
      </c>
      <c r="C486" s="255" t="s">
        <v>1449</v>
      </c>
      <c r="D486" s="255" t="s">
        <v>3292</v>
      </c>
      <c r="E486" s="255" t="s">
        <v>1450</v>
      </c>
      <c r="F486" s="255" t="s">
        <v>1808</v>
      </c>
      <c r="G486" s="255" t="n">
        <v>10</v>
      </c>
      <c r="H486" s="255" t="n">
        <v>0</v>
      </c>
      <c r="I486" s="255" t="s">
        <v>25</v>
      </c>
      <c r="J486" s="255" t="n">
        <v>0</v>
      </c>
      <c r="K486" s="255" t="s">
        <v>25</v>
      </c>
      <c r="L486" s="255" t="s">
        <v>25</v>
      </c>
      <c r="M486" s="255" t="n">
        <v>0</v>
      </c>
      <c r="N486" s="255" t="n">
        <v>0</v>
      </c>
      <c r="O486" s="238" t="n">
        <f aca="false">'INPUT DEBT'!$M486-'INPUT DEBT'!$N486</f>
        <v>0</v>
      </c>
      <c r="P486" s="256" t="s">
        <v>25</v>
      </c>
    </row>
    <row r="487" customFormat="false" ht="15" hidden="false" customHeight="true" outlineLevel="0" collapsed="false">
      <c r="A487" s="242" t="n">
        <v>482</v>
      </c>
      <c r="B487" s="255" t="s">
        <v>174</v>
      </c>
      <c r="C487" s="256" t="s">
        <v>170</v>
      </c>
      <c r="D487" s="255" t="s">
        <v>3293</v>
      </c>
      <c r="E487" s="255" t="s">
        <v>170</v>
      </c>
      <c r="F487" s="255" t="s">
        <v>1808</v>
      </c>
      <c r="G487" s="255" t="n">
        <v>15</v>
      </c>
      <c r="H487" s="255" t="n">
        <v>0</v>
      </c>
      <c r="I487" s="255" t="s">
        <v>25</v>
      </c>
      <c r="J487" s="255" t="n">
        <v>0</v>
      </c>
      <c r="K487" s="255" t="s">
        <v>25</v>
      </c>
      <c r="L487" s="255" t="s">
        <v>25</v>
      </c>
      <c r="M487" s="255" t="n">
        <v>0</v>
      </c>
      <c r="N487" s="255" t="n">
        <v>0</v>
      </c>
      <c r="O487" s="238" t="n">
        <f aca="false">'INPUT DEBT'!$M487-'INPUT DEBT'!$N487</f>
        <v>0</v>
      </c>
      <c r="P487" s="256" t="s">
        <v>25</v>
      </c>
    </row>
    <row r="488" customFormat="false" ht="15" hidden="false" customHeight="true" outlineLevel="0" collapsed="false">
      <c r="A488" s="237" t="n">
        <v>483</v>
      </c>
      <c r="B488" s="255" t="s">
        <v>174</v>
      </c>
      <c r="C488" s="256" t="s">
        <v>170</v>
      </c>
      <c r="D488" s="255" t="s">
        <v>3294</v>
      </c>
      <c r="E488" s="256" t="s">
        <v>170</v>
      </c>
      <c r="F488" s="255" t="s">
        <v>1808</v>
      </c>
      <c r="G488" s="255" t="n">
        <v>15</v>
      </c>
      <c r="H488" s="255" t="n">
        <v>0</v>
      </c>
      <c r="I488" s="255" t="s">
        <v>25</v>
      </c>
      <c r="J488" s="255" t="n">
        <v>0</v>
      </c>
      <c r="K488" s="255" t="s">
        <v>25</v>
      </c>
      <c r="L488" s="255" t="s">
        <v>25</v>
      </c>
      <c r="M488" s="255" t="n">
        <v>0</v>
      </c>
      <c r="N488" s="255" t="n">
        <v>0</v>
      </c>
      <c r="O488" s="238" t="n">
        <f aca="false">'INPUT DEBT'!$M488-'INPUT DEBT'!$N488</f>
        <v>0</v>
      </c>
      <c r="P488" s="256" t="s">
        <v>25</v>
      </c>
    </row>
    <row r="489" customFormat="false" ht="15" hidden="false" customHeight="true" outlineLevel="0" collapsed="false">
      <c r="A489" s="242" t="n">
        <v>484</v>
      </c>
      <c r="B489" s="255" t="s">
        <v>174</v>
      </c>
      <c r="C489" s="256" t="s">
        <v>170</v>
      </c>
      <c r="D489" s="255" t="s">
        <v>3295</v>
      </c>
      <c r="E489" s="255" t="s">
        <v>170</v>
      </c>
      <c r="F489" s="255" t="s">
        <v>1808</v>
      </c>
      <c r="G489" s="255" t="n">
        <v>13</v>
      </c>
      <c r="H489" s="255" t="n">
        <v>0</v>
      </c>
      <c r="I489" s="255" t="s">
        <v>25</v>
      </c>
      <c r="J489" s="255" t="n">
        <v>0</v>
      </c>
      <c r="K489" s="255" t="s">
        <v>25</v>
      </c>
      <c r="L489" s="255" t="s">
        <v>25</v>
      </c>
      <c r="M489" s="255" t="n">
        <v>0</v>
      </c>
      <c r="N489" s="255" t="n">
        <v>0</v>
      </c>
      <c r="O489" s="238" t="n">
        <f aca="false">'INPUT DEBT'!$M489-'INPUT DEBT'!$N489</f>
        <v>0</v>
      </c>
      <c r="P489" s="256" t="s">
        <v>25</v>
      </c>
    </row>
    <row r="490" customFormat="false" ht="15" hidden="false" customHeight="true" outlineLevel="0" collapsed="false">
      <c r="A490" s="237" t="n">
        <v>485</v>
      </c>
      <c r="B490" s="255" t="s">
        <v>174</v>
      </c>
      <c r="C490" s="256" t="s">
        <v>170</v>
      </c>
      <c r="D490" s="255" t="s">
        <v>3296</v>
      </c>
      <c r="E490" s="256" t="s">
        <v>170</v>
      </c>
      <c r="F490" s="255" t="s">
        <v>1808</v>
      </c>
      <c r="G490" s="255" t="n">
        <v>20</v>
      </c>
      <c r="H490" s="255" t="n">
        <v>0</v>
      </c>
      <c r="I490" s="255" t="s">
        <v>25</v>
      </c>
      <c r="J490" s="255" t="n">
        <v>0</v>
      </c>
      <c r="K490" s="255" t="s">
        <v>25</v>
      </c>
      <c r="L490" s="255" t="s">
        <v>25</v>
      </c>
      <c r="M490" s="255" t="n">
        <v>0</v>
      </c>
      <c r="N490" s="255" t="n">
        <v>0</v>
      </c>
      <c r="O490" s="238" t="n">
        <f aca="false">'INPUT DEBT'!$M490-'INPUT DEBT'!$N490</f>
        <v>0</v>
      </c>
      <c r="P490" s="256" t="s">
        <v>25</v>
      </c>
    </row>
    <row r="491" customFormat="false" ht="15" hidden="false" customHeight="true" outlineLevel="0" collapsed="false">
      <c r="A491" s="242" t="n">
        <v>486</v>
      </c>
      <c r="B491" s="255" t="s">
        <v>174</v>
      </c>
      <c r="C491" s="255" t="s">
        <v>1456</v>
      </c>
      <c r="D491" s="255" t="s">
        <v>3297</v>
      </c>
      <c r="E491" s="255" t="s">
        <v>1457</v>
      </c>
      <c r="F491" s="255" t="s">
        <v>3257</v>
      </c>
      <c r="G491" s="255" t="n">
        <v>35</v>
      </c>
      <c r="H491" s="255" t="n">
        <v>0</v>
      </c>
      <c r="I491" s="255" t="s">
        <v>25</v>
      </c>
      <c r="J491" s="255" t="n">
        <v>0</v>
      </c>
      <c r="K491" s="255" t="s">
        <v>25</v>
      </c>
      <c r="L491" s="255" t="s">
        <v>25</v>
      </c>
      <c r="M491" s="255" t="n">
        <v>0</v>
      </c>
      <c r="N491" s="255" t="n">
        <v>0</v>
      </c>
      <c r="O491" s="238" t="n">
        <f aca="false">'INPUT DEBT'!$M491-'INPUT DEBT'!$N491</f>
        <v>0</v>
      </c>
      <c r="P491" s="256" t="s">
        <v>25</v>
      </c>
    </row>
    <row r="492" customFormat="false" ht="15" hidden="false" customHeight="true" outlineLevel="0" collapsed="false">
      <c r="A492" s="237" t="n">
        <v>487</v>
      </c>
      <c r="B492" s="255" t="s">
        <v>174</v>
      </c>
      <c r="C492" s="255" t="s">
        <v>894</v>
      </c>
      <c r="D492" s="255" t="s">
        <v>3298</v>
      </c>
      <c r="E492" s="255" t="s">
        <v>1459</v>
      </c>
      <c r="F492" s="255" t="s">
        <v>1808</v>
      </c>
      <c r="G492" s="255" t="n">
        <v>10</v>
      </c>
      <c r="H492" s="255" t="n">
        <v>0</v>
      </c>
      <c r="I492" s="255" t="s">
        <v>25</v>
      </c>
      <c r="J492" s="255" t="n">
        <v>0</v>
      </c>
      <c r="K492" s="255" t="s">
        <v>25</v>
      </c>
      <c r="L492" s="255" t="s">
        <v>25</v>
      </c>
      <c r="M492" s="255" t="n">
        <v>0</v>
      </c>
      <c r="N492" s="255" t="n">
        <v>0</v>
      </c>
      <c r="O492" s="238" t="n">
        <f aca="false">'INPUT DEBT'!$M492-'INPUT DEBT'!$N492</f>
        <v>0</v>
      </c>
      <c r="P492" s="256" t="s">
        <v>25</v>
      </c>
    </row>
    <row r="493" customFormat="false" ht="15" hidden="false" customHeight="true" outlineLevel="0" collapsed="false">
      <c r="A493" s="242" t="n">
        <v>488</v>
      </c>
      <c r="B493" s="255" t="s">
        <v>174</v>
      </c>
      <c r="C493" s="255" t="s">
        <v>1461</v>
      </c>
      <c r="D493" s="255" t="s">
        <v>3299</v>
      </c>
      <c r="E493" s="255" t="s">
        <v>1462</v>
      </c>
      <c r="F493" s="255" t="s">
        <v>1808</v>
      </c>
      <c r="G493" s="255" t="n">
        <v>10</v>
      </c>
      <c r="H493" s="255" t="n">
        <v>0</v>
      </c>
      <c r="I493" s="255" t="s">
        <v>25</v>
      </c>
      <c r="J493" s="255" t="n">
        <v>0</v>
      </c>
      <c r="K493" s="255" t="s">
        <v>25</v>
      </c>
      <c r="L493" s="255" t="s">
        <v>25</v>
      </c>
      <c r="M493" s="255" t="n">
        <v>0</v>
      </c>
      <c r="N493" s="255" t="n">
        <v>0</v>
      </c>
      <c r="O493" s="238" t="n">
        <f aca="false">'INPUT DEBT'!$M493-'INPUT DEBT'!$N493</f>
        <v>0</v>
      </c>
      <c r="P493" s="256" t="s">
        <v>25</v>
      </c>
    </row>
    <row r="494" customFormat="false" ht="15" hidden="false" customHeight="true" outlineLevel="0" collapsed="false">
      <c r="A494" s="237" t="n">
        <v>489</v>
      </c>
      <c r="B494" s="255" t="s">
        <v>174</v>
      </c>
      <c r="C494" s="255" t="s">
        <v>1464</v>
      </c>
      <c r="D494" s="255" t="s">
        <v>3300</v>
      </c>
      <c r="E494" s="255" t="s">
        <v>1465</v>
      </c>
      <c r="F494" s="255" t="s">
        <v>1808</v>
      </c>
      <c r="G494" s="255" t="n">
        <v>10</v>
      </c>
      <c r="H494" s="255" t="n">
        <v>0</v>
      </c>
      <c r="I494" s="255" t="s">
        <v>25</v>
      </c>
      <c r="J494" s="255" t="n">
        <v>0</v>
      </c>
      <c r="K494" s="255" t="s">
        <v>25</v>
      </c>
      <c r="L494" s="255" t="s">
        <v>25</v>
      </c>
      <c r="M494" s="255" t="n">
        <v>0</v>
      </c>
      <c r="N494" s="255" t="n">
        <v>0</v>
      </c>
      <c r="O494" s="238" t="n">
        <f aca="false">'INPUT DEBT'!$M494-'INPUT DEBT'!$N494</f>
        <v>0</v>
      </c>
      <c r="P494" s="256" t="s">
        <v>25</v>
      </c>
    </row>
    <row r="495" customFormat="false" ht="15" hidden="false" customHeight="true" outlineLevel="0" collapsed="false">
      <c r="A495" s="242" t="n">
        <v>490</v>
      </c>
      <c r="B495" s="255" t="s">
        <v>174</v>
      </c>
      <c r="C495" s="255" t="s">
        <v>1467</v>
      </c>
      <c r="D495" s="255" t="s">
        <v>3301</v>
      </c>
      <c r="E495" s="255" t="s">
        <v>170</v>
      </c>
      <c r="F495" s="255" t="s">
        <v>1808</v>
      </c>
      <c r="G495" s="255" t="n">
        <v>10</v>
      </c>
      <c r="H495" s="255" t="n">
        <v>0</v>
      </c>
      <c r="I495" s="255" t="s">
        <v>25</v>
      </c>
      <c r="J495" s="255" t="n">
        <v>0</v>
      </c>
      <c r="K495" s="255" t="s">
        <v>25</v>
      </c>
      <c r="L495" s="255" t="s">
        <v>25</v>
      </c>
      <c r="M495" s="255" t="n">
        <v>0</v>
      </c>
      <c r="N495" s="255" t="n">
        <v>0</v>
      </c>
      <c r="O495" s="238" t="n">
        <f aca="false">'INPUT DEBT'!$M495-'INPUT DEBT'!$N495</f>
        <v>0</v>
      </c>
      <c r="P495" s="256" t="s">
        <v>25</v>
      </c>
    </row>
    <row r="496" customFormat="false" ht="15" hidden="false" customHeight="true" outlineLevel="0" collapsed="false">
      <c r="A496" s="237" t="n">
        <v>491</v>
      </c>
      <c r="B496" s="255" t="s">
        <v>174</v>
      </c>
      <c r="C496" s="255" t="s">
        <v>1469</v>
      </c>
      <c r="D496" s="255" t="s">
        <v>3302</v>
      </c>
      <c r="E496" s="255" t="s">
        <v>1470</v>
      </c>
      <c r="F496" s="255" t="s">
        <v>1808</v>
      </c>
      <c r="G496" s="255" t="n">
        <v>20</v>
      </c>
      <c r="H496" s="255" t="n">
        <v>0</v>
      </c>
      <c r="I496" s="255" t="s">
        <v>25</v>
      </c>
      <c r="J496" s="255" t="n">
        <v>0</v>
      </c>
      <c r="K496" s="255" t="s">
        <v>25</v>
      </c>
      <c r="L496" s="255" t="s">
        <v>25</v>
      </c>
      <c r="M496" s="255" t="n">
        <v>0</v>
      </c>
      <c r="N496" s="255" t="n">
        <v>0</v>
      </c>
      <c r="O496" s="238" t="n">
        <f aca="false">'INPUT DEBT'!$M496-'INPUT DEBT'!$N496</f>
        <v>0</v>
      </c>
      <c r="P496" s="256" t="s">
        <v>25</v>
      </c>
    </row>
    <row r="497" customFormat="false" ht="15" hidden="false" customHeight="true" outlineLevel="0" collapsed="false">
      <c r="A497" s="242" t="n">
        <v>492</v>
      </c>
      <c r="B497" s="255" t="s">
        <v>174</v>
      </c>
      <c r="C497" s="255" t="s">
        <v>1469</v>
      </c>
      <c r="D497" s="255" t="s">
        <v>3303</v>
      </c>
      <c r="E497" s="255" t="s">
        <v>170</v>
      </c>
      <c r="F497" s="255" t="s">
        <v>1808</v>
      </c>
      <c r="G497" s="255" t="n">
        <v>20</v>
      </c>
      <c r="H497" s="255" t="n">
        <v>0</v>
      </c>
      <c r="I497" s="255" t="s">
        <v>25</v>
      </c>
      <c r="J497" s="255" t="n">
        <v>0</v>
      </c>
      <c r="K497" s="255" t="s">
        <v>25</v>
      </c>
      <c r="L497" s="255" t="s">
        <v>25</v>
      </c>
      <c r="M497" s="255" t="n">
        <v>0</v>
      </c>
      <c r="N497" s="255" t="n">
        <v>0</v>
      </c>
      <c r="O497" s="238" t="n">
        <f aca="false">'INPUT DEBT'!$M497-'INPUT DEBT'!$N497</f>
        <v>0</v>
      </c>
      <c r="P497" s="256" t="s">
        <v>25</v>
      </c>
    </row>
    <row r="498" customFormat="false" ht="15" hidden="false" customHeight="true" outlineLevel="0" collapsed="false">
      <c r="A498" s="237" t="n">
        <v>493</v>
      </c>
      <c r="B498" s="255" t="s">
        <v>193</v>
      </c>
      <c r="C498" s="256" t="s">
        <v>170</v>
      </c>
      <c r="D498" s="255" t="s">
        <v>1472</v>
      </c>
      <c r="E498" s="255" t="s">
        <v>170</v>
      </c>
      <c r="F498" s="255" t="s">
        <v>1806</v>
      </c>
      <c r="G498" s="255" t="n">
        <v>10</v>
      </c>
      <c r="H498" s="255" t="n">
        <v>0</v>
      </c>
      <c r="I498" s="255" t="s">
        <v>25</v>
      </c>
      <c r="J498" s="255" t="n">
        <v>0</v>
      </c>
      <c r="K498" s="255" t="s">
        <v>25</v>
      </c>
      <c r="L498" s="255" t="s">
        <v>25</v>
      </c>
      <c r="M498" s="255" t="n">
        <v>0</v>
      </c>
      <c r="N498" s="255" t="n">
        <v>0</v>
      </c>
      <c r="O498" s="238" t="n">
        <f aca="false">'INPUT DEBT'!$M498-'INPUT DEBT'!$N498</f>
        <v>0</v>
      </c>
      <c r="P498" s="256" t="s">
        <v>25</v>
      </c>
    </row>
    <row r="499" customFormat="false" ht="15" hidden="false" customHeight="true" outlineLevel="0" collapsed="false">
      <c r="A499" s="242" t="n">
        <v>494</v>
      </c>
      <c r="B499" s="255" t="s">
        <v>193</v>
      </c>
      <c r="C499" s="256" t="s">
        <v>170</v>
      </c>
      <c r="D499" s="255" t="s">
        <v>1473</v>
      </c>
      <c r="E499" s="255" t="s">
        <v>170</v>
      </c>
      <c r="F499" s="255" t="s">
        <v>1806</v>
      </c>
      <c r="G499" s="255" t="n">
        <v>100</v>
      </c>
      <c r="H499" s="255" t="n">
        <v>0</v>
      </c>
      <c r="I499" s="255" t="s">
        <v>25</v>
      </c>
      <c r="J499" s="255" t="n">
        <v>0</v>
      </c>
      <c r="K499" s="255" t="s">
        <v>25</v>
      </c>
      <c r="L499" s="255" t="s">
        <v>25</v>
      </c>
      <c r="M499" s="255" t="n">
        <v>0</v>
      </c>
      <c r="N499" s="255" t="n">
        <v>0</v>
      </c>
      <c r="O499" s="238" t="n">
        <f aca="false">'INPUT DEBT'!$M499-'INPUT DEBT'!$N499</f>
        <v>0</v>
      </c>
      <c r="P499" s="256" t="s">
        <v>25</v>
      </c>
    </row>
    <row r="500" customFormat="false" ht="15" hidden="false" customHeight="true" outlineLevel="0" collapsed="false">
      <c r="A500" s="237" t="n">
        <v>495</v>
      </c>
      <c r="B500" s="255" t="s">
        <v>174</v>
      </c>
      <c r="C500" s="256" t="s">
        <v>170</v>
      </c>
      <c r="D500" s="255" t="s">
        <v>3304</v>
      </c>
      <c r="E500" s="255" t="s">
        <v>170</v>
      </c>
      <c r="F500" s="255" t="s">
        <v>1806</v>
      </c>
      <c r="G500" s="255" t="n">
        <v>100</v>
      </c>
      <c r="H500" s="255" t="n">
        <v>0</v>
      </c>
      <c r="I500" s="255" t="s">
        <v>25</v>
      </c>
      <c r="J500" s="255" t="n">
        <v>0</v>
      </c>
      <c r="K500" s="255" t="s">
        <v>25</v>
      </c>
      <c r="L500" s="255" t="s">
        <v>25</v>
      </c>
      <c r="M500" s="255" t="n">
        <v>0</v>
      </c>
      <c r="N500" s="255" t="n">
        <v>0</v>
      </c>
      <c r="O500" s="238" t="n">
        <f aca="false">'INPUT DEBT'!$M500-'INPUT DEBT'!$N500</f>
        <v>0</v>
      </c>
      <c r="P500" s="256" t="s">
        <v>25</v>
      </c>
    </row>
    <row r="501" customFormat="false" ht="15" hidden="false" customHeight="true" outlineLevel="0" collapsed="false">
      <c r="A501" s="242" t="n">
        <v>496</v>
      </c>
      <c r="B501" s="255" t="s">
        <v>174</v>
      </c>
      <c r="C501" s="256" t="s">
        <v>170</v>
      </c>
      <c r="D501" s="255" t="s">
        <v>1476</v>
      </c>
      <c r="E501" s="255" t="s">
        <v>170</v>
      </c>
      <c r="F501" s="255" t="s">
        <v>1806</v>
      </c>
      <c r="G501" s="255" t="n">
        <v>30</v>
      </c>
      <c r="H501" s="255" t="n">
        <v>0</v>
      </c>
      <c r="I501" s="255" t="s">
        <v>25</v>
      </c>
      <c r="J501" s="255" t="n">
        <v>0</v>
      </c>
      <c r="K501" s="255" t="s">
        <v>25</v>
      </c>
      <c r="L501" s="255" t="s">
        <v>25</v>
      </c>
      <c r="M501" s="255" t="n">
        <v>0</v>
      </c>
      <c r="N501" s="255" t="n">
        <v>0</v>
      </c>
      <c r="O501" s="238" t="n">
        <f aca="false">'INPUT DEBT'!$M501-'INPUT DEBT'!$N501</f>
        <v>0</v>
      </c>
      <c r="P501" s="256" t="s">
        <v>25</v>
      </c>
    </row>
    <row r="502" customFormat="false" ht="15" hidden="false" customHeight="true" outlineLevel="0" collapsed="false">
      <c r="A502" s="237" t="n">
        <v>497</v>
      </c>
      <c r="B502" s="255" t="s">
        <v>174</v>
      </c>
      <c r="C502" s="256" t="s">
        <v>170</v>
      </c>
      <c r="D502" s="255" t="s">
        <v>1478</v>
      </c>
      <c r="E502" s="255" t="s">
        <v>170</v>
      </c>
      <c r="F502" s="255" t="s">
        <v>1806</v>
      </c>
      <c r="G502" s="255" t="n">
        <v>50</v>
      </c>
      <c r="H502" s="255" t="n">
        <v>0</v>
      </c>
      <c r="I502" s="255" t="s">
        <v>25</v>
      </c>
      <c r="J502" s="255" t="n">
        <v>0</v>
      </c>
      <c r="K502" s="255" t="s">
        <v>25</v>
      </c>
      <c r="L502" s="255" t="s">
        <v>25</v>
      </c>
      <c r="M502" s="255" t="n">
        <v>0</v>
      </c>
      <c r="N502" s="255" t="n">
        <v>0</v>
      </c>
      <c r="O502" s="238" t="n">
        <f aca="false">'INPUT DEBT'!$M502-'INPUT DEBT'!$N502</f>
        <v>0</v>
      </c>
      <c r="P502" s="256" t="s">
        <v>25</v>
      </c>
    </row>
    <row r="503" customFormat="false" ht="15" hidden="false" customHeight="true" outlineLevel="0" collapsed="false">
      <c r="A503" s="242" t="n">
        <v>498</v>
      </c>
      <c r="B503" s="255" t="s">
        <v>170</v>
      </c>
      <c r="C503" s="256" t="s">
        <v>170</v>
      </c>
      <c r="D503" s="255" t="s">
        <v>1479</v>
      </c>
      <c r="E503" s="255" t="s">
        <v>170</v>
      </c>
      <c r="F503" s="255" t="s">
        <v>1806</v>
      </c>
      <c r="G503" s="255" t="n">
        <v>100</v>
      </c>
      <c r="H503" s="255" t="n">
        <v>0</v>
      </c>
      <c r="I503" s="255" t="s">
        <v>25</v>
      </c>
      <c r="J503" s="255" t="n">
        <v>0</v>
      </c>
      <c r="K503" s="255" t="s">
        <v>25</v>
      </c>
      <c r="L503" s="255" t="s">
        <v>25</v>
      </c>
      <c r="M503" s="255" t="n">
        <v>0</v>
      </c>
      <c r="N503" s="255" t="n">
        <v>0</v>
      </c>
      <c r="O503" s="238" t="n">
        <f aca="false">'INPUT DEBT'!$M503-'INPUT DEBT'!$N503</f>
        <v>0</v>
      </c>
      <c r="P503" s="256" t="s">
        <v>25</v>
      </c>
    </row>
    <row r="504" customFormat="false" ht="15" hidden="false" customHeight="true" outlineLevel="0" collapsed="false">
      <c r="A504" s="237" t="n">
        <v>499</v>
      </c>
      <c r="B504" s="255" t="s">
        <v>1482</v>
      </c>
      <c r="C504" s="256" t="s">
        <v>170</v>
      </c>
      <c r="D504" s="255" t="s">
        <v>1480</v>
      </c>
      <c r="E504" s="255" t="s">
        <v>170</v>
      </c>
      <c r="F504" s="255" t="s">
        <v>1806</v>
      </c>
      <c r="G504" s="255" t="n">
        <v>200</v>
      </c>
      <c r="H504" s="255" t="n">
        <v>0</v>
      </c>
      <c r="I504" s="255" t="s">
        <v>25</v>
      </c>
      <c r="J504" s="255" t="n">
        <v>0</v>
      </c>
      <c r="K504" s="255" t="s">
        <v>25</v>
      </c>
      <c r="L504" s="255" t="s">
        <v>25</v>
      </c>
      <c r="M504" s="255" t="n">
        <v>0</v>
      </c>
      <c r="N504" s="255" t="n">
        <v>0</v>
      </c>
      <c r="O504" s="238" t="n">
        <f aca="false">'INPUT DEBT'!$M504-'INPUT DEBT'!$N504</f>
        <v>0</v>
      </c>
      <c r="P504" s="256" t="s">
        <v>25</v>
      </c>
    </row>
    <row r="505" customFormat="false" ht="15" hidden="false" customHeight="true" outlineLevel="0" collapsed="false">
      <c r="A505" s="242" t="n">
        <v>500</v>
      </c>
      <c r="B505" s="255" t="s">
        <v>1485</v>
      </c>
      <c r="C505" s="256" t="s">
        <v>170</v>
      </c>
      <c r="D505" s="255" t="s">
        <v>1483</v>
      </c>
      <c r="E505" s="255" t="s">
        <v>170</v>
      </c>
      <c r="F505" s="255" t="s">
        <v>1806</v>
      </c>
      <c r="G505" s="255" t="n">
        <v>50</v>
      </c>
      <c r="H505" s="255" t="n">
        <v>0</v>
      </c>
      <c r="I505" s="255" t="s">
        <v>25</v>
      </c>
      <c r="J505" s="255" t="n">
        <v>0</v>
      </c>
      <c r="K505" s="255" t="s">
        <v>25</v>
      </c>
      <c r="L505" s="255" t="s">
        <v>25</v>
      </c>
      <c r="M505" s="255" t="n">
        <v>0</v>
      </c>
      <c r="N505" s="255" t="n">
        <v>0</v>
      </c>
      <c r="O505" s="238" t="n">
        <f aca="false">'INPUT DEBT'!$M505-'INPUT DEBT'!$N505</f>
        <v>0</v>
      </c>
      <c r="P505" s="256" t="s">
        <v>25</v>
      </c>
    </row>
    <row r="506" customFormat="false" ht="15" hidden="false" customHeight="true" outlineLevel="0" collapsed="false">
      <c r="A506" s="237" t="n">
        <v>501</v>
      </c>
      <c r="B506" s="255" t="s">
        <v>1488</v>
      </c>
      <c r="C506" s="256" t="s">
        <v>170</v>
      </c>
      <c r="D506" s="255" t="s">
        <v>1486</v>
      </c>
      <c r="E506" s="255" t="s">
        <v>170</v>
      </c>
      <c r="F506" s="255" t="s">
        <v>1806</v>
      </c>
      <c r="G506" s="255" t="n">
        <v>100</v>
      </c>
      <c r="H506" s="255" t="n">
        <v>0</v>
      </c>
      <c r="I506" s="255" t="s">
        <v>25</v>
      </c>
      <c r="J506" s="255" t="n">
        <v>0</v>
      </c>
      <c r="K506" s="255" t="s">
        <v>25</v>
      </c>
      <c r="L506" s="255" t="s">
        <v>25</v>
      </c>
      <c r="M506" s="255" t="n">
        <v>0</v>
      </c>
      <c r="N506" s="255" t="n">
        <v>0</v>
      </c>
      <c r="O506" s="238" t="n">
        <f aca="false">'INPUT DEBT'!$M506-'INPUT DEBT'!$N506</f>
        <v>0</v>
      </c>
      <c r="P506" s="256" t="s">
        <v>25</v>
      </c>
    </row>
    <row r="507" customFormat="false" ht="15" hidden="false" customHeight="true" outlineLevel="0" collapsed="false">
      <c r="A507" s="242" t="n">
        <v>502</v>
      </c>
      <c r="B507" s="255" t="s">
        <v>193</v>
      </c>
      <c r="C507" s="256" t="s">
        <v>170</v>
      </c>
      <c r="D507" s="255" t="s">
        <v>1489</v>
      </c>
      <c r="E507" s="255" t="s">
        <v>170</v>
      </c>
      <c r="F507" s="255" t="s">
        <v>1806</v>
      </c>
      <c r="G507" s="255" t="n">
        <v>50</v>
      </c>
      <c r="H507" s="255" t="n">
        <v>0</v>
      </c>
      <c r="I507" s="255" t="s">
        <v>25</v>
      </c>
      <c r="J507" s="255" t="n">
        <v>0</v>
      </c>
      <c r="K507" s="255" t="s">
        <v>25</v>
      </c>
      <c r="L507" s="255" t="s">
        <v>25</v>
      </c>
      <c r="M507" s="255" t="n">
        <v>0</v>
      </c>
      <c r="N507" s="255" t="n">
        <v>0</v>
      </c>
      <c r="O507" s="238" t="n">
        <f aca="false">'INPUT DEBT'!$M507-'INPUT DEBT'!$N507</f>
        <v>0</v>
      </c>
      <c r="P507" s="256" t="s">
        <v>25</v>
      </c>
    </row>
    <row r="508" customFormat="false" ht="15" hidden="false" customHeight="true" outlineLevel="0" collapsed="false">
      <c r="A508" s="237" t="n">
        <v>503</v>
      </c>
      <c r="B508" s="255" t="s">
        <v>367</v>
      </c>
      <c r="C508" s="256" t="s">
        <v>170</v>
      </c>
      <c r="D508" s="255" t="s">
        <v>1490</v>
      </c>
      <c r="E508" s="255" t="s">
        <v>170</v>
      </c>
      <c r="F508" s="255" t="s">
        <v>1806</v>
      </c>
      <c r="G508" s="255" t="n">
        <v>50</v>
      </c>
      <c r="H508" s="255" t="n">
        <v>0</v>
      </c>
      <c r="I508" s="255" t="s">
        <v>25</v>
      </c>
      <c r="J508" s="255" t="n">
        <v>0</v>
      </c>
      <c r="K508" s="255" t="s">
        <v>25</v>
      </c>
      <c r="L508" s="255" t="s">
        <v>25</v>
      </c>
      <c r="M508" s="255" t="n">
        <v>0</v>
      </c>
      <c r="N508" s="255" t="n">
        <v>0</v>
      </c>
      <c r="O508" s="238" t="n">
        <f aca="false">'INPUT DEBT'!$M508-'INPUT DEBT'!$N508</f>
        <v>0</v>
      </c>
      <c r="P508" s="256" t="s">
        <v>25</v>
      </c>
    </row>
    <row r="509" customFormat="false" ht="15" hidden="false" customHeight="true" outlineLevel="0" collapsed="false">
      <c r="A509" s="242" t="n">
        <v>504</v>
      </c>
      <c r="B509" s="255" t="s">
        <v>1492</v>
      </c>
      <c r="C509" s="256" t="s">
        <v>170</v>
      </c>
      <c r="D509" s="255" t="s">
        <v>1491</v>
      </c>
      <c r="E509" s="255" t="s">
        <v>170</v>
      </c>
      <c r="F509" s="255" t="s">
        <v>1806</v>
      </c>
      <c r="G509" s="255" t="n">
        <v>200</v>
      </c>
      <c r="H509" s="255" t="n">
        <v>0</v>
      </c>
      <c r="I509" s="255" t="s">
        <v>25</v>
      </c>
      <c r="J509" s="255" t="n">
        <v>0</v>
      </c>
      <c r="K509" s="255" t="s">
        <v>25</v>
      </c>
      <c r="L509" s="255" t="s">
        <v>25</v>
      </c>
      <c r="M509" s="255" t="n">
        <v>0</v>
      </c>
      <c r="N509" s="255" t="n">
        <v>0</v>
      </c>
      <c r="O509" s="238" t="n">
        <f aca="false">'INPUT DEBT'!$M509-'INPUT DEBT'!$N509</f>
        <v>0</v>
      </c>
      <c r="P509" s="256" t="s">
        <v>25</v>
      </c>
    </row>
    <row r="510" customFormat="false" ht="15" hidden="false" customHeight="true" outlineLevel="0" collapsed="false">
      <c r="A510" s="237" t="n">
        <v>505</v>
      </c>
      <c r="B510" s="255" t="s">
        <v>170</v>
      </c>
      <c r="C510" s="256" t="s">
        <v>170</v>
      </c>
      <c r="D510" s="255" t="s">
        <v>1493</v>
      </c>
      <c r="E510" s="255" t="s">
        <v>170</v>
      </c>
      <c r="F510" s="255" t="s">
        <v>1806</v>
      </c>
      <c r="G510" s="255" t="n">
        <v>60</v>
      </c>
      <c r="H510" s="255" t="n">
        <v>0</v>
      </c>
      <c r="I510" s="255" t="s">
        <v>25</v>
      </c>
      <c r="J510" s="255" t="n">
        <v>0</v>
      </c>
      <c r="K510" s="255" t="s">
        <v>25</v>
      </c>
      <c r="L510" s="255" t="s">
        <v>25</v>
      </c>
      <c r="M510" s="255" t="n">
        <v>0</v>
      </c>
      <c r="N510" s="255" t="n">
        <v>0</v>
      </c>
      <c r="O510" s="238" t="n">
        <f aca="false">'INPUT DEBT'!$M510-'INPUT DEBT'!$N510</f>
        <v>0</v>
      </c>
      <c r="P510" s="256" t="s">
        <v>25</v>
      </c>
    </row>
    <row r="511" customFormat="false" ht="15" hidden="false" customHeight="true" outlineLevel="0" collapsed="false">
      <c r="A511" s="242" t="n">
        <v>506</v>
      </c>
      <c r="B511" s="255" t="s">
        <v>170</v>
      </c>
      <c r="C511" s="256" t="s">
        <v>170</v>
      </c>
      <c r="D511" s="255" t="s">
        <v>1494</v>
      </c>
      <c r="E511" s="255" t="s">
        <v>170</v>
      </c>
      <c r="F511" s="255" t="s">
        <v>1806</v>
      </c>
      <c r="G511" s="255" t="n">
        <v>60</v>
      </c>
      <c r="H511" s="255" t="n">
        <v>0</v>
      </c>
      <c r="I511" s="255" t="s">
        <v>25</v>
      </c>
      <c r="J511" s="255" t="n">
        <v>0</v>
      </c>
      <c r="K511" s="255" t="s">
        <v>25</v>
      </c>
      <c r="L511" s="255" t="s">
        <v>25</v>
      </c>
      <c r="M511" s="255" t="n">
        <v>0</v>
      </c>
      <c r="N511" s="255" t="n">
        <v>0</v>
      </c>
      <c r="O511" s="238" t="n">
        <f aca="false">'INPUT DEBT'!$M511-'INPUT DEBT'!$N511</f>
        <v>0</v>
      </c>
      <c r="P511" s="256" t="s">
        <v>25</v>
      </c>
    </row>
    <row r="512" customFormat="false" ht="15" hidden="false" customHeight="true" outlineLevel="0" collapsed="false">
      <c r="A512" s="237" t="n">
        <v>507</v>
      </c>
      <c r="B512" s="255" t="s">
        <v>170</v>
      </c>
      <c r="C512" s="256" t="s">
        <v>170</v>
      </c>
      <c r="D512" s="255" t="s">
        <v>1495</v>
      </c>
      <c r="E512" s="255" t="s">
        <v>170</v>
      </c>
      <c r="F512" s="255" t="s">
        <v>1806</v>
      </c>
      <c r="G512" s="255" t="n">
        <v>100</v>
      </c>
      <c r="H512" s="255" t="n">
        <v>0</v>
      </c>
      <c r="I512" s="255" t="s">
        <v>25</v>
      </c>
      <c r="J512" s="255" t="n">
        <v>0</v>
      </c>
      <c r="K512" s="255" t="s">
        <v>25</v>
      </c>
      <c r="L512" s="255" t="s">
        <v>25</v>
      </c>
      <c r="M512" s="255" t="n">
        <v>0</v>
      </c>
      <c r="N512" s="255" t="n">
        <v>0</v>
      </c>
      <c r="O512" s="238" t="n">
        <f aca="false">'INPUT DEBT'!$M512-'INPUT DEBT'!$N512</f>
        <v>0</v>
      </c>
      <c r="P512" s="256" t="s">
        <v>25</v>
      </c>
    </row>
    <row r="513" customFormat="false" ht="15" hidden="false" customHeight="true" outlineLevel="0" collapsed="false">
      <c r="A513" s="242" t="n">
        <v>508</v>
      </c>
      <c r="B513" s="255" t="s">
        <v>174</v>
      </c>
      <c r="C513" s="256" t="s">
        <v>170</v>
      </c>
      <c r="D513" s="255" t="s">
        <v>1496</v>
      </c>
      <c r="E513" s="255" t="s">
        <v>170</v>
      </c>
      <c r="F513" s="255" t="s">
        <v>1806</v>
      </c>
      <c r="G513" s="255" t="n">
        <v>50</v>
      </c>
      <c r="H513" s="255" t="n">
        <v>0</v>
      </c>
      <c r="I513" s="255" t="s">
        <v>25</v>
      </c>
      <c r="J513" s="255" t="n">
        <v>0</v>
      </c>
      <c r="K513" s="255" t="s">
        <v>25</v>
      </c>
      <c r="L513" s="255" t="s">
        <v>25</v>
      </c>
      <c r="M513" s="255" t="n">
        <v>0</v>
      </c>
      <c r="N513" s="255" t="n">
        <v>0</v>
      </c>
      <c r="O513" s="238" t="n">
        <f aca="false">'INPUT DEBT'!$M513-'INPUT DEBT'!$N513</f>
        <v>0</v>
      </c>
      <c r="P513" s="256" t="s">
        <v>25</v>
      </c>
    </row>
    <row r="514" customFormat="false" ht="15" hidden="false" customHeight="true" outlineLevel="0" collapsed="false">
      <c r="A514" s="237" t="n">
        <v>509</v>
      </c>
      <c r="B514" s="255" t="s">
        <v>170</v>
      </c>
      <c r="C514" s="256" t="s">
        <v>170</v>
      </c>
      <c r="D514" s="255" t="s">
        <v>1497</v>
      </c>
      <c r="E514" s="255" t="s">
        <v>170</v>
      </c>
      <c r="F514" s="255" t="s">
        <v>1806</v>
      </c>
      <c r="G514" s="255" t="n">
        <v>50</v>
      </c>
      <c r="H514" s="255" t="n">
        <v>0</v>
      </c>
      <c r="I514" s="255" t="s">
        <v>25</v>
      </c>
      <c r="J514" s="255" t="n">
        <v>0</v>
      </c>
      <c r="K514" s="255" t="s">
        <v>25</v>
      </c>
      <c r="L514" s="255" t="s">
        <v>25</v>
      </c>
      <c r="M514" s="255" t="n">
        <v>0</v>
      </c>
      <c r="N514" s="255" t="n">
        <v>0</v>
      </c>
      <c r="O514" s="238" t="n">
        <f aca="false">'INPUT DEBT'!$M514-'INPUT DEBT'!$N514</f>
        <v>0</v>
      </c>
      <c r="P514" s="256" t="s">
        <v>25</v>
      </c>
    </row>
    <row r="515" customFormat="false" ht="15" hidden="false" customHeight="true" outlineLevel="0" collapsed="false">
      <c r="A515" s="242" t="n">
        <v>510</v>
      </c>
      <c r="B515" s="255" t="s">
        <v>170</v>
      </c>
      <c r="C515" s="256" t="s">
        <v>170</v>
      </c>
      <c r="D515" s="255" t="s">
        <v>1498</v>
      </c>
      <c r="E515" s="255" t="s">
        <v>170</v>
      </c>
      <c r="F515" s="255" t="s">
        <v>1806</v>
      </c>
      <c r="G515" s="255" t="n">
        <v>50</v>
      </c>
      <c r="H515" s="255" t="n">
        <v>0</v>
      </c>
      <c r="I515" s="255" t="s">
        <v>25</v>
      </c>
      <c r="J515" s="255" t="n">
        <v>0</v>
      </c>
      <c r="K515" s="255" t="s">
        <v>25</v>
      </c>
      <c r="L515" s="255" t="s">
        <v>25</v>
      </c>
      <c r="M515" s="255" t="n">
        <v>0</v>
      </c>
      <c r="N515" s="255" t="n">
        <v>0</v>
      </c>
      <c r="O515" s="238" t="n">
        <f aca="false">'INPUT DEBT'!$M515-'INPUT DEBT'!$N515</f>
        <v>0</v>
      </c>
      <c r="P515" s="256" t="s">
        <v>25</v>
      </c>
    </row>
    <row r="516" customFormat="false" ht="15" hidden="false" customHeight="true" outlineLevel="0" collapsed="false">
      <c r="A516" s="237" t="n">
        <v>511</v>
      </c>
      <c r="B516" s="255" t="s">
        <v>170</v>
      </c>
      <c r="C516" s="256" t="s">
        <v>170</v>
      </c>
      <c r="D516" s="255" t="s">
        <v>1499</v>
      </c>
      <c r="E516" s="255" t="s">
        <v>170</v>
      </c>
      <c r="F516" s="255" t="s">
        <v>1806</v>
      </c>
      <c r="G516" s="255" t="n">
        <v>100</v>
      </c>
      <c r="H516" s="255" t="n">
        <v>0</v>
      </c>
      <c r="I516" s="255" t="s">
        <v>25</v>
      </c>
      <c r="J516" s="255" t="n">
        <v>0</v>
      </c>
      <c r="K516" s="255" t="s">
        <v>25</v>
      </c>
      <c r="L516" s="255" t="s">
        <v>25</v>
      </c>
      <c r="M516" s="255" t="n">
        <v>0</v>
      </c>
      <c r="N516" s="255" t="n">
        <v>0</v>
      </c>
      <c r="O516" s="238" t="n">
        <f aca="false">'INPUT DEBT'!$M516-'INPUT DEBT'!$N516</f>
        <v>0</v>
      </c>
      <c r="P516" s="256" t="s">
        <v>25</v>
      </c>
    </row>
    <row r="517" customFormat="false" ht="15" hidden="false" customHeight="true" outlineLevel="0" collapsed="false">
      <c r="A517" s="242" t="n">
        <v>512</v>
      </c>
      <c r="B517" s="255" t="s">
        <v>174</v>
      </c>
      <c r="C517" s="256" t="s">
        <v>170</v>
      </c>
      <c r="D517" s="255" t="s">
        <v>1500</v>
      </c>
      <c r="E517" s="255" t="s">
        <v>170</v>
      </c>
      <c r="F517" s="255" t="s">
        <v>1806</v>
      </c>
      <c r="G517" s="255" t="n">
        <v>30</v>
      </c>
      <c r="H517" s="255" t="n">
        <v>0</v>
      </c>
      <c r="I517" s="255" t="s">
        <v>25</v>
      </c>
      <c r="J517" s="255" t="n">
        <v>0</v>
      </c>
      <c r="K517" s="255" t="s">
        <v>25</v>
      </c>
      <c r="L517" s="255" t="s">
        <v>25</v>
      </c>
      <c r="M517" s="255" t="n">
        <v>0</v>
      </c>
      <c r="N517" s="255" t="n">
        <v>0</v>
      </c>
      <c r="O517" s="238" t="n">
        <f aca="false">'INPUT DEBT'!$M517-'INPUT DEBT'!$N517</f>
        <v>0</v>
      </c>
      <c r="P517" s="256" t="s">
        <v>25</v>
      </c>
    </row>
    <row r="518" customFormat="false" ht="15" hidden="false" customHeight="true" outlineLevel="0" collapsed="false">
      <c r="A518" s="237" t="n">
        <v>513</v>
      </c>
      <c r="B518" s="255" t="s">
        <v>170</v>
      </c>
      <c r="C518" s="256" t="s">
        <v>170</v>
      </c>
      <c r="D518" s="255" t="s">
        <v>1501</v>
      </c>
      <c r="E518" s="255" t="s">
        <v>170</v>
      </c>
      <c r="F518" s="255" t="s">
        <v>170</v>
      </c>
      <c r="G518" s="255" t="s">
        <v>25</v>
      </c>
      <c r="H518" s="255" t="n">
        <v>0</v>
      </c>
      <c r="I518" s="255" t="s">
        <v>25</v>
      </c>
      <c r="J518" s="255" t="n">
        <v>0</v>
      </c>
      <c r="K518" s="255" t="s">
        <v>25</v>
      </c>
      <c r="L518" s="255" t="s">
        <v>25</v>
      </c>
      <c r="M518" s="255" t="n">
        <v>0</v>
      </c>
      <c r="N518" s="255" t="n">
        <v>0</v>
      </c>
      <c r="O518" s="238" t="n">
        <f aca="false">'INPUT DEBT'!$M518-'INPUT DEBT'!$N518</f>
        <v>0</v>
      </c>
      <c r="P518" s="256" t="s">
        <v>25</v>
      </c>
    </row>
    <row r="519" customFormat="false" ht="15" hidden="false" customHeight="true" outlineLevel="0" collapsed="false">
      <c r="A519" s="242" t="n">
        <v>514</v>
      </c>
      <c r="B519" s="255" t="s">
        <v>170</v>
      </c>
      <c r="C519" s="256" t="s">
        <v>170</v>
      </c>
      <c r="D519" s="255" t="s">
        <v>1502</v>
      </c>
      <c r="E519" s="255" t="s">
        <v>170</v>
      </c>
      <c r="F519" s="255" t="s">
        <v>1806</v>
      </c>
      <c r="G519" s="255" t="n">
        <v>100</v>
      </c>
      <c r="H519" s="255" t="n">
        <v>0</v>
      </c>
      <c r="I519" s="255" t="s">
        <v>25</v>
      </c>
      <c r="J519" s="255" t="n">
        <v>0</v>
      </c>
      <c r="K519" s="255" t="s">
        <v>25</v>
      </c>
      <c r="L519" s="255" t="s">
        <v>25</v>
      </c>
      <c r="M519" s="255" t="n">
        <v>0</v>
      </c>
      <c r="N519" s="255" t="n">
        <v>0</v>
      </c>
      <c r="O519" s="238" t="n">
        <f aca="false">'INPUT DEBT'!$M519-'INPUT DEBT'!$N519</f>
        <v>0</v>
      </c>
      <c r="P519" s="256" t="s">
        <v>25</v>
      </c>
    </row>
    <row r="520" customFormat="false" ht="15" hidden="false" customHeight="true" outlineLevel="0" collapsed="false">
      <c r="A520" s="237" t="n">
        <v>515</v>
      </c>
      <c r="B520" s="255" t="s">
        <v>193</v>
      </c>
      <c r="C520" s="256" t="s">
        <v>170</v>
      </c>
      <c r="D520" s="255" t="s">
        <v>1503</v>
      </c>
      <c r="E520" s="255" t="s">
        <v>1504</v>
      </c>
      <c r="F520" s="255" t="s">
        <v>1808</v>
      </c>
      <c r="G520" s="255" t="n">
        <v>30</v>
      </c>
      <c r="H520" s="255" t="n">
        <v>0</v>
      </c>
      <c r="I520" s="255" t="s">
        <v>25</v>
      </c>
      <c r="J520" s="255" t="n">
        <v>0</v>
      </c>
      <c r="K520" s="255" t="s">
        <v>25</v>
      </c>
      <c r="L520" s="255" t="s">
        <v>25</v>
      </c>
      <c r="M520" s="255" t="n">
        <v>0</v>
      </c>
      <c r="N520" s="255" t="n">
        <v>0</v>
      </c>
      <c r="O520" s="238" t="n">
        <f aca="false">'INPUT DEBT'!$M520-'INPUT DEBT'!$N520</f>
        <v>0</v>
      </c>
      <c r="P520" s="256" t="s">
        <v>25</v>
      </c>
    </row>
    <row r="521" customFormat="false" ht="15" hidden="false" customHeight="true" outlineLevel="0" collapsed="false">
      <c r="A521" s="242" t="n">
        <v>516</v>
      </c>
      <c r="B521" s="255" t="s">
        <v>3305</v>
      </c>
      <c r="C521" s="256" t="s">
        <v>170</v>
      </c>
      <c r="D521" s="255" t="s">
        <v>1505</v>
      </c>
      <c r="E521" s="255" t="s">
        <v>170</v>
      </c>
      <c r="F521" s="255" t="s">
        <v>1806</v>
      </c>
      <c r="G521" s="255" t="n">
        <v>10</v>
      </c>
      <c r="H521" s="255" t="n">
        <v>0</v>
      </c>
      <c r="I521" s="255" t="s">
        <v>25</v>
      </c>
      <c r="J521" s="255" t="n">
        <v>0</v>
      </c>
      <c r="K521" s="255" t="s">
        <v>25</v>
      </c>
      <c r="L521" s="255" t="s">
        <v>25</v>
      </c>
      <c r="M521" s="255" t="n">
        <v>0</v>
      </c>
      <c r="N521" s="255" t="n">
        <v>0</v>
      </c>
      <c r="O521" s="238" t="n">
        <f aca="false">'INPUT DEBT'!$M521-'INPUT DEBT'!$N521</f>
        <v>0</v>
      </c>
      <c r="P521" s="256" t="s">
        <v>25</v>
      </c>
    </row>
    <row r="522" customFormat="false" ht="15" hidden="false" customHeight="true" outlineLevel="0" collapsed="false">
      <c r="A522" s="237" t="n">
        <v>517</v>
      </c>
      <c r="B522" s="255" t="s">
        <v>170</v>
      </c>
      <c r="C522" s="256" t="s">
        <v>170</v>
      </c>
      <c r="D522" s="255" t="s">
        <v>1506</v>
      </c>
      <c r="E522" s="256" t="s">
        <v>170</v>
      </c>
      <c r="F522" s="255" t="s">
        <v>1806</v>
      </c>
      <c r="G522" s="255" t="n">
        <v>200</v>
      </c>
      <c r="H522" s="255" t="n">
        <v>0</v>
      </c>
      <c r="I522" s="255" t="s">
        <v>25</v>
      </c>
      <c r="J522" s="255" t="n">
        <v>0</v>
      </c>
      <c r="K522" s="255" t="s">
        <v>25</v>
      </c>
      <c r="L522" s="255" t="s">
        <v>25</v>
      </c>
      <c r="M522" s="255" t="n">
        <v>0</v>
      </c>
      <c r="N522" s="255" t="n">
        <v>0</v>
      </c>
      <c r="O522" s="238" t="n">
        <f aca="false">'INPUT DEBT'!$M522-'INPUT DEBT'!$N522</f>
        <v>0</v>
      </c>
      <c r="P522" s="256" t="s">
        <v>25</v>
      </c>
    </row>
    <row r="523" customFormat="false" ht="15" hidden="false" customHeight="true" outlineLevel="0" collapsed="false">
      <c r="A523" s="242" t="n">
        <v>518</v>
      </c>
      <c r="B523" s="255" t="s">
        <v>367</v>
      </c>
      <c r="C523" s="256" t="s">
        <v>170</v>
      </c>
      <c r="D523" s="255" t="s">
        <v>1507</v>
      </c>
      <c r="E523" s="255" t="s">
        <v>170</v>
      </c>
      <c r="F523" s="255" t="s">
        <v>1806</v>
      </c>
      <c r="G523" s="255" t="n">
        <v>20</v>
      </c>
      <c r="H523" s="255" t="n">
        <v>0</v>
      </c>
      <c r="I523" s="255" t="s">
        <v>25</v>
      </c>
      <c r="J523" s="255" t="n">
        <v>0</v>
      </c>
      <c r="K523" s="255" t="s">
        <v>25</v>
      </c>
      <c r="L523" s="255" t="s">
        <v>25</v>
      </c>
      <c r="M523" s="255" t="n">
        <v>0</v>
      </c>
      <c r="N523" s="255" t="n">
        <v>0</v>
      </c>
      <c r="O523" s="238" t="n">
        <f aca="false">'INPUT DEBT'!$M523-'INPUT DEBT'!$N523</f>
        <v>0</v>
      </c>
      <c r="P523" s="256" t="s">
        <v>25</v>
      </c>
    </row>
    <row r="524" customFormat="false" ht="15" hidden="false" customHeight="true" outlineLevel="0" collapsed="false">
      <c r="A524" s="237" t="n">
        <v>519</v>
      </c>
      <c r="B524" s="255" t="s">
        <v>193</v>
      </c>
      <c r="C524" s="256" t="s">
        <v>170</v>
      </c>
      <c r="D524" s="255" t="s">
        <v>1508</v>
      </c>
      <c r="E524" s="256" t="s">
        <v>170</v>
      </c>
      <c r="F524" s="255" t="s">
        <v>1806</v>
      </c>
      <c r="G524" s="255" t="n">
        <v>6</v>
      </c>
      <c r="H524" s="255" t="n">
        <v>0</v>
      </c>
      <c r="I524" s="255" t="s">
        <v>25</v>
      </c>
      <c r="J524" s="255" t="n">
        <v>0</v>
      </c>
      <c r="K524" s="255" t="s">
        <v>25</v>
      </c>
      <c r="L524" s="255" t="s">
        <v>25</v>
      </c>
      <c r="M524" s="255" t="n">
        <v>0</v>
      </c>
      <c r="N524" s="255" t="n">
        <v>0</v>
      </c>
      <c r="O524" s="238" t="n">
        <f aca="false">'INPUT DEBT'!$M524-'INPUT DEBT'!$N524</f>
        <v>0</v>
      </c>
      <c r="P524" s="256" t="s">
        <v>25</v>
      </c>
    </row>
    <row r="525" customFormat="false" ht="15" hidden="false" customHeight="true" outlineLevel="0" collapsed="false">
      <c r="A525" s="242" t="n">
        <v>520</v>
      </c>
      <c r="B525" s="255" t="s">
        <v>1511</v>
      </c>
      <c r="C525" s="256" t="s">
        <v>170</v>
      </c>
      <c r="D525" s="255" t="s">
        <v>1510</v>
      </c>
      <c r="E525" s="255" t="s">
        <v>170</v>
      </c>
      <c r="F525" s="255" t="s">
        <v>1806</v>
      </c>
      <c r="G525" s="255" t="n">
        <v>500</v>
      </c>
      <c r="H525" s="255" t="n">
        <v>0</v>
      </c>
      <c r="I525" s="255" t="s">
        <v>25</v>
      </c>
      <c r="J525" s="255" t="n">
        <v>0</v>
      </c>
      <c r="K525" s="255" t="s">
        <v>25</v>
      </c>
      <c r="L525" s="255" t="s">
        <v>25</v>
      </c>
      <c r="M525" s="255" t="n">
        <v>0</v>
      </c>
      <c r="N525" s="255" t="n">
        <v>0</v>
      </c>
      <c r="O525" s="238" t="n">
        <f aca="false">'INPUT DEBT'!$M525-'INPUT DEBT'!$N525</f>
        <v>0</v>
      </c>
      <c r="P525" s="256" t="s">
        <v>25</v>
      </c>
    </row>
    <row r="526" customFormat="false" ht="15" hidden="false" customHeight="true" outlineLevel="0" collapsed="false">
      <c r="A526" s="237" t="n">
        <v>521</v>
      </c>
      <c r="B526" s="255" t="s">
        <v>193</v>
      </c>
      <c r="C526" s="256" t="s">
        <v>170</v>
      </c>
      <c r="D526" s="255" t="s">
        <v>1512</v>
      </c>
      <c r="E526" s="256" t="s">
        <v>170</v>
      </c>
      <c r="F526" s="255" t="s">
        <v>1806</v>
      </c>
      <c r="G526" s="255" t="n">
        <v>2000</v>
      </c>
      <c r="H526" s="255" t="n">
        <v>0</v>
      </c>
      <c r="I526" s="255" t="s">
        <v>25</v>
      </c>
      <c r="J526" s="255" t="n">
        <v>0</v>
      </c>
      <c r="K526" s="255" t="s">
        <v>25</v>
      </c>
      <c r="L526" s="255" t="s">
        <v>25</v>
      </c>
      <c r="M526" s="255" t="n">
        <v>0</v>
      </c>
      <c r="N526" s="255" t="n">
        <v>0</v>
      </c>
      <c r="O526" s="238" t="n">
        <f aca="false">'INPUT DEBT'!$M526-'INPUT DEBT'!$N526</f>
        <v>0</v>
      </c>
      <c r="P526" s="256" t="s">
        <v>25</v>
      </c>
    </row>
    <row r="527" customFormat="false" ht="15" hidden="false" customHeight="true" outlineLevel="0" collapsed="false">
      <c r="A527" s="242" t="n">
        <v>522</v>
      </c>
      <c r="B527" s="255" t="s">
        <v>174</v>
      </c>
      <c r="C527" s="256" t="s">
        <v>170</v>
      </c>
      <c r="D527" s="255" t="s">
        <v>1513</v>
      </c>
      <c r="E527" s="255" t="s">
        <v>1514</v>
      </c>
      <c r="F527" s="255" t="s">
        <v>1806</v>
      </c>
      <c r="G527" s="255" t="n">
        <v>5</v>
      </c>
      <c r="H527" s="255" t="n">
        <v>0</v>
      </c>
      <c r="I527" s="255" t="s">
        <v>25</v>
      </c>
      <c r="J527" s="255" t="n">
        <v>0</v>
      </c>
      <c r="K527" s="255" t="s">
        <v>25</v>
      </c>
      <c r="L527" s="255" t="s">
        <v>25</v>
      </c>
      <c r="M527" s="255" t="n">
        <v>0</v>
      </c>
      <c r="N527" s="255" t="n">
        <v>0</v>
      </c>
      <c r="O527" s="238" t="n">
        <f aca="false">'INPUT DEBT'!$M527-'INPUT DEBT'!$N527</f>
        <v>0</v>
      </c>
      <c r="P527" s="256" t="s">
        <v>25</v>
      </c>
    </row>
    <row r="528" customFormat="false" ht="15" hidden="false" customHeight="true" outlineLevel="0" collapsed="false">
      <c r="A528" s="237" t="n">
        <v>523</v>
      </c>
      <c r="B528" s="255" t="s">
        <v>170</v>
      </c>
      <c r="C528" s="256" t="s">
        <v>170</v>
      </c>
      <c r="D528" s="255" t="s">
        <v>1515</v>
      </c>
      <c r="E528" s="255" t="s">
        <v>170</v>
      </c>
      <c r="F528" s="255" t="s">
        <v>1806</v>
      </c>
      <c r="G528" s="255" t="n">
        <v>100</v>
      </c>
      <c r="H528" s="255" t="n">
        <v>0</v>
      </c>
      <c r="I528" s="255" t="s">
        <v>25</v>
      </c>
      <c r="J528" s="255" t="n">
        <v>0</v>
      </c>
      <c r="K528" s="255" t="s">
        <v>25</v>
      </c>
      <c r="L528" s="255" t="s">
        <v>25</v>
      </c>
      <c r="M528" s="255" t="n">
        <v>0</v>
      </c>
      <c r="N528" s="255" t="n">
        <v>0</v>
      </c>
      <c r="O528" s="238" t="n">
        <f aca="false">'INPUT DEBT'!$M528-'INPUT DEBT'!$N528</f>
        <v>0</v>
      </c>
      <c r="P528" s="256" t="s">
        <v>25</v>
      </c>
    </row>
    <row r="529" customFormat="false" ht="15" hidden="false" customHeight="true" outlineLevel="0" collapsed="false">
      <c r="A529" s="242" t="n">
        <v>524</v>
      </c>
      <c r="B529" s="255" t="s">
        <v>170</v>
      </c>
      <c r="C529" s="256" t="s">
        <v>170</v>
      </c>
      <c r="D529" s="255" t="s">
        <v>1516</v>
      </c>
      <c r="E529" s="255" t="s">
        <v>170</v>
      </c>
      <c r="F529" s="255" t="s">
        <v>1806</v>
      </c>
      <c r="G529" s="255" t="n">
        <v>50</v>
      </c>
      <c r="H529" s="255" t="n">
        <v>0</v>
      </c>
      <c r="I529" s="255" t="s">
        <v>25</v>
      </c>
      <c r="J529" s="255" t="n">
        <v>0</v>
      </c>
      <c r="K529" s="255" t="s">
        <v>25</v>
      </c>
      <c r="L529" s="255" t="s">
        <v>25</v>
      </c>
      <c r="M529" s="255" t="n">
        <v>0</v>
      </c>
      <c r="N529" s="255" t="n">
        <v>0</v>
      </c>
      <c r="O529" s="238" t="n">
        <f aca="false">'INPUT DEBT'!$M529-'INPUT DEBT'!$N529</f>
        <v>0</v>
      </c>
      <c r="P529" s="256" t="s">
        <v>25</v>
      </c>
    </row>
    <row r="530" customFormat="false" ht="15" hidden="false" customHeight="true" outlineLevel="0" collapsed="false">
      <c r="A530" s="237" t="n">
        <v>525</v>
      </c>
      <c r="B530" s="255" t="s">
        <v>193</v>
      </c>
      <c r="C530" s="256" t="s">
        <v>170</v>
      </c>
      <c r="D530" s="255" t="s">
        <v>1517</v>
      </c>
      <c r="E530" s="255" t="s">
        <v>170</v>
      </c>
      <c r="F530" s="255" t="s">
        <v>1806</v>
      </c>
      <c r="G530" s="255" t="n">
        <v>20</v>
      </c>
      <c r="H530" s="255" t="n">
        <v>0</v>
      </c>
      <c r="I530" s="255" t="s">
        <v>25</v>
      </c>
      <c r="J530" s="255" t="n">
        <v>0</v>
      </c>
      <c r="K530" s="255" t="s">
        <v>25</v>
      </c>
      <c r="L530" s="255" t="s">
        <v>25</v>
      </c>
      <c r="M530" s="255" t="n">
        <v>0</v>
      </c>
      <c r="N530" s="255" t="n">
        <v>0</v>
      </c>
      <c r="O530" s="238" t="n">
        <f aca="false">'INPUT DEBT'!$M530-'INPUT DEBT'!$N530</f>
        <v>0</v>
      </c>
      <c r="P530" s="256" t="s">
        <v>25</v>
      </c>
    </row>
    <row r="531" customFormat="false" ht="15" hidden="false" customHeight="true" outlineLevel="0" collapsed="false">
      <c r="A531" s="242" t="n">
        <v>526</v>
      </c>
      <c r="B531" s="255" t="s">
        <v>170</v>
      </c>
      <c r="C531" s="256" t="s">
        <v>170</v>
      </c>
      <c r="D531" s="255" t="s">
        <v>1518</v>
      </c>
      <c r="E531" s="255" t="s">
        <v>1519</v>
      </c>
      <c r="F531" s="255" t="s">
        <v>1806</v>
      </c>
      <c r="G531" s="255" t="n">
        <v>100</v>
      </c>
      <c r="H531" s="255" t="n">
        <v>0</v>
      </c>
      <c r="I531" s="255" t="s">
        <v>25</v>
      </c>
      <c r="J531" s="255" t="n">
        <v>0</v>
      </c>
      <c r="K531" s="255" t="s">
        <v>25</v>
      </c>
      <c r="L531" s="255" t="s">
        <v>25</v>
      </c>
      <c r="M531" s="255" t="n">
        <v>0</v>
      </c>
      <c r="N531" s="255" t="n">
        <v>0</v>
      </c>
      <c r="O531" s="238" t="n">
        <f aca="false">'INPUT DEBT'!$M531-'INPUT DEBT'!$N531</f>
        <v>0</v>
      </c>
      <c r="P531" s="256" t="s">
        <v>25</v>
      </c>
    </row>
    <row r="532" customFormat="false" ht="15" hidden="false" customHeight="true" outlineLevel="0" collapsed="false">
      <c r="A532" s="237" t="n">
        <v>527</v>
      </c>
      <c r="B532" s="255" t="s">
        <v>170</v>
      </c>
      <c r="C532" s="256" t="s">
        <v>170</v>
      </c>
      <c r="D532" s="255" t="s">
        <v>3306</v>
      </c>
      <c r="E532" s="255" t="s">
        <v>1522</v>
      </c>
      <c r="F532" s="255" t="s">
        <v>3257</v>
      </c>
      <c r="G532" s="255" t="n">
        <v>40</v>
      </c>
      <c r="H532" s="255" t="n">
        <v>0</v>
      </c>
      <c r="I532" s="255" t="s">
        <v>25</v>
      </c>
      <c r="J532" s="255" t="n">
        <v>0</v>
      </c>
      <c r="K532" s="255" t="s">
        <v>25</v>
      </c>
      <c r="L532" s="255" t="s">
        <v>25</v>
      </c>
      <c r="M532" s="255" t="n">
        <v>0</v>
      </c>
      <c r="N532" s="255" t="n">
        <v>0</v>
      </c>
      <c r="O532" s="238" t="n">
        <f aca="false">'INPUT DEBT'!$M532-'INPUT DEBT'!$N532</f>
        <v>0</v>
      </c>
      <c r="P532" s="256" t="s">
        <v>25</v>
      </c>
    </row>
    <row r="533" customFormat="false" ht="15" hidden="false" customHeight="true" outlineLevel="0" collapsed="false">
      <c r="A533" s="242" t="n">
        <v>528</v>
      </c>
      <c r="B533" s="255" t="s">
        <v>174</v>
      </c>
      <c r="C533" s="255" t="s">
        <v>1524</v>
      </c>
      <c r="D533" s="255" t="s">
        <v>1523</v>
      </c>
      <c r="E533" s="255" t="s">
        <v>1525</v>
      </c>
      <c r="F533" s="255" t="s">
        <v>3257</v>
      </c>
      <c r="G533" s="255" t="n">
        <v>220</v>
      </c>
      <c r="H533" s="255" t="n">
        <v>0</v>
      </c>
      <c r="I533" s="255" t="s">
        <v>25</v>
      </c>
      <c r="J533" s="255" t="n">
        <v>0</v>
      </c>
      <c r="K533" s="255" t="s">
        <v>25</v>
      </c>
      <c r="L533" s="255" t="s">
        <v>25</v>
      </c>
      <c r="M533" s="255" t="n">
        <v>0</v>
      </c>
      <c r="N533" s="255" t="n">
        <v>0</v>
      </c>
      <c r="O533" s="238" t="n">
        <f aca="false">'INPUT DEBT'!$M533-'INPUT DEBT'!$N533</f>
        <v>0</v>
      </c>
      <c r="P533" s="256" t="s">
        <v>25</v>
      </c>
    </row>
    <row r="534" customFormat="false" ht="15" hidden="false" customHeight="true" outlineLevel="0" collapsed="false">
      <c r="A534" s="237" t="n">
        <v>529</v>
      </c>
      <c r="B534" s="255" t="s">
        <v>170</v>
      </c>
      <c r="C534" s="255" t="s">
        <v>170</v>
      </c>
      <c r="D534" s="255" t="s">
        <v>3307</v>
      </c>
      <c r="E534" s="255" t="s">
        <v>1527</v>
      </c>
      <c r="F534" s="255" t="s">
        <v>170</v>
      </c>
      <c r="G534" s="255" t="s">
        <v>25</v>
      </c>
      <c r="H534" s="255" t="n">
        <v>0</v>
      </c>
      <c r="I534" s="255" t="s">
        <v>25</v>
      </c>
      <c r="J534" s="255" t="n">
        <v>0</v>
      </c>
      <c r="K534" s="255" t="s">
        <v>25</v>
      </c>
      <c r="L534" s="255" t="s">
        <v>25</v>
      </c>
      <c r="M534" s="255" t="n">
        <v>0</v>
      </c>
      <c r="N534" s="255" t="n">
        <v>0</v>
      </c>
      <c r="O534" s="238" t="n">
        <f aca="false">'INPUT DEBT'!$M534-'INPUT DEBT'!$N534</f>
        <v>0</v>
      </c>
      <c r="P534" s="256" t="s">
        <v>25</v>
      </c>
    </row>
    <row r="535" customFormat="false" ht="15" hidden="false" customHeight="true" outlineLevel="0" collapsed="false">
      <c r="A535" s="242" t="n">
        <v>530</v>
      </c>
      <c r="B535" s="255" t="s">
        <v>170</v>
      </c>
      <c r="C535" s="255" t="s">
        <v>170</v>
      </c>
      <c r="D535" s="255" t="s">
        <v>1528</v>
      </c>
      <c r="E535" s="256" t="s">
        <v>170</v>
      </c>
      <c r="F535" s="255" t="s">
        <v>170</v>
      </c>
      <c r="G535" s="255" t="s">
        <v>25</v>
      </c>
      <c r="H535" s="255" t="n">
        <v>0</v>
      </c>
      <c r="I535" s="255" t="s">
        <v>25</v>
      </c>
      <c r="J535" s="255" t="n">
        <v>0</v>
      </c>
      <c r="K535" s="255" t="s">
        <v>25</v>
      </c>
      <c r="L535" s="255" t="s">
        <v>25</v>
      </c>
      <c r="M535" s="255" t="n">
        <v>0</v>
      </c>
      <c r="N535" s="255" t="n">
        <v>0</v>
      </c>
      <c r="O535" s="238" t="n">
        <f aca="false">'INPUT DEBT'!$M535-'INPUT DEBT'!$N535</f>
        <v>0</v>
      </c>
      <c r="P535" s="256" t="s">
        <v>25</v>
      </c>
    </row>
    <row r="536" customFormat="false" ht="15" hidden="false" customHeight="true" outlineLevel="0" collapsed="false">
      <c r="A536" s="237" t="n">
        <v>531</v>
      </c>
      <c r="B536" s="255" t="s">
        <v>174</v>
      </c>
      <c r="C536" s="255" t="s">
        <v>1530</v>
      </c>
      <c r="D536" s="255" t="s">
        <v>1529</v>
      </c>
      <c r="E536" s="255" t="s">
        <v>1531</v>
      </c>
      <c r="F536" s="255" t="s">
        <v>3257</v>
      </c>
      <c r="G536" s="255" t="n">
        <v>70</v>
      </c>
      <c r="H536" s="255" t="n">
        <v>0</v>
      </c>
      <c r="I536" s="255" t="s">
        <v>25</v>
      </c>
      <c r="J536" s="255" t="n">
        <v>0</v>
      </c>
      <c r="K536" s="255" t="s">
        <v>25</v>
      </c>
      <c r="L536" s="255" t="s">
        <v>25</v>
      </c>
      <c r="M536" s="255" t="n">
        <v>0</v>
      </c>
      <c r="N536" s="255" t="n">
        <v>0</v>
      </c>
      <c r="O536" s="238" t="n">
        <f aca="false">'INPUT DEBT'!$M536-'INPUT DEBT'!$N536</f>
        <v>0</v>
      </c>
      <c r="P536" s="256" t="s">
        <v>25</v>
      </c>
    </row>
    <row r="537" customFormat="false" ht="15" hidden="false" customHeight="true" outlineLevel="0" collapsed="false">
      <c r="A537" s="242" t="n">
        <v>532</v>
      </c>
      <c r="B537" s="255" t="s">
        <v>170</v>
      </c>
      <c r="C537" s="255" t="s">
        <v>170</v>
      </c>
      <c r="D537" s="255" t="s">
        <v>1532</v>
      </c>
      <c r="E537" s="255" t="s">
        <v>170</v>
      </c>
      <c r="F537" s="255" t="s">
        <v>1808</v>
      </c>
      <c r="G537" s="255" t="n">
        <v>100</v>
      </c>
      <c r="H537" s="255" t="n">
        <v>0</v>
      </c>
      <c r="I537" s="255" t="s">
        <v>25</v>
      </c>
      <c r="J537" s="255" t="n">
        <v>0</v>
      </c>
      <c r="K537" s="255" t="s">
        <v>25</v>
      </c>
      <c r="L537" s="255" t="s">
        <v>25</v>
      </c>
      <c r="M537" s="255" t="n">
        <v>0</v>
      </c>
      <c r="N537" s="255" t="n">
        <v>0</v>
      </c>
      <c r="O537" s="238" t="n">
        <f aca="false">'INPUT DEBT'!$M537-'INPUT DEBT'!$N537</f>
        <v>0</v>
      </c>
      <c r="P537" s="256" t="s">
        <v>25</v>
      </c>
    </row>
    <row r="538" customFormat="false" ht="15" hidden="false" customHeight="true" outlineLevel="0" collapsed="false">
      <c r="A538" s="237" t="n">
        <v>533</v>
      </c>
      <c r="B538" s="255" t="s">
        <v>170</v>
      </c>
      <c r="C538" s="255" t="s">
        <v>1534</v>
      </c>
      <c r="D538" s="255" t="s">
        <v>1533</v>
      </c>
      <c r="E538" s="255" t="s">
        <v>1535</v>
      </c>
      <c r="F538" s="255" t="s">
        <v>170</v>
      </c>
      <c r="G538" s="255" t="s">
        <v>25</v>
      </c>
      <c r="H538" s="255" t="n">
        <v>0</v>
      </c>
      <c r="I538" s="255" t="s">
        <v>25</v>
      </c>
      <c r="J538" s="255" t="n">
        <v>0</v>
      </c>
      <c r="K538" s="255" t="s">
        <v>25</v>
      </c>
      <c r="L538" s="255" t="s">
        <v>25</v>
      </c>
      <c r="M538" s="255" t="n">
        <v>0</v>
      </c>
      <c r="N538" s="255" t="n">
        <v>0</v>
      </c>
      <c r="O538" s="238" t="n">
        <f aca="false">'INPUT DEBT'!$M538-'INPUT DEBT'!$N538</f>
        <v>0</v>
      </c>
      <c r="P538" s="256" t="s">
        <v>25</v>
      </c>
    </row>
    <row r="539" customFormat="false" ht="15" hidden="false" customHeight="true" outlineLevel="0" collapsed="false">
      <c r="A539" s="242" t="n">
        <v>534</v>
      </c>
      <c r="B539" s="255" t="s">
        <v>170</v>
      </c>
      <c r="C539" s="255" t="s">
        <v>1538</v>
      </c>
      <c r="D539" s="255" t="s">
        <v>1537</v>
      </c>
      <c r="E539" s="255" t="s">
        <v>170</v>
      </c>
      <c r="F539" s="255" t="s">
        <v>170</v>
      </c>
      <c r="G539" s="255" t="s">
        <v>25</v>
      </c>
      <c r="H539" s="255" t="n">
        <v>0</v>
      </c>
      <c r="I539" s="255" t="s">
        <v>25</v>
      </c>
      <c r="J539" s="255" t="n">
        <v>0</v>
      </c>
      <c r="K539" s="255" t="s">
        <v>25</v>
      </c>
      <c r="L539" s="255" t="s">
        <v>25</v>
      </c>
      <c r="M539" s="255" t="n">
        <v>0</v>
      </c>
      <c r="N539" s="255" t="n">
        <v>0</v>
      </c>
      <c r="O539" s="238" t="n">
        <f aca="false">'INPUT DEBT'!$M539-'INPUT DEBT'!$N539</f>
        <v>0</v>
      </c>
      <c r="P539" s="256" t="s">
        <v>25</v>
      </c>
    </row>
    <row r="540" customFormat="false" ht="15" hidden="false" customHeight="true" outlineLevel="0" collapsed="false">
      <c r="A540" s="237" t="n">
        <v>535</v>
      </c>
      <c r="B540" s="255" t="s">
        <v>170</v>
      </c>
      <c r="C540" s="255" t="s">
        <v>1540</v>
      </c>
      <c r="D540" s="255" t="s">
        <v>1539</v>
      </c>
      <c r="E540" s="255" t="s">
        <v>1541</v>
      </c>
      <c r="F540" s="255" t="s">
        <v>170</v>
      </c>
      <c r="G540" s="255" t="s">
        <v>25</v>
      </c>
      <c r="H540" s="255" t="n">
        <v>0</v>
      </c>
      <c r="I540" s="255" t="s">
        <v>25</v>
      </c>
      <c r="J540" s="255" t="n">
        <v>0</v>
      </c>
      <c r="K540" s="255" t="s">
        <v>25</v>
      </c>
      <c r="L540" s="255" t="s">
        <v>25</v>
      </c>
      <c r="M540" s="255" t="n">
        <v>0</v>
      </c>
      <c r="N540" s="255" t="n">
        <v>0</v>
      </c>
      <c r="O540" s="238" t="n">
        <f aca="false">'INPUT DEBT'!$M540-'INPUT DEBT'!$N540</f>
        <v>0</v>
      </c>
      <c r="P540" s="256" t="s">
        <v>25</v>
      </c>
    </row>
    <row r="541" customFormat="false" ht="15" hidden="false" customHeight="true" outlineLevel="0" collapsed="false">
      <c r="A541" s="242" t="n">
        <v>536</v>
      </c>
      <c r="B541" s="255" t="s">
        <v>170</v>
      </c>
      <c r="C541" s="255" t="s">
        <v>1543</v>
      </c>
      <c r="D541" s="255" t="s">
        <v>1542</v>
      </c>
      <c r="E541" s="255" t="s">
        <v>1544</v>
      </c>
      <c r="F541" s="255" t="s">
        <v>170</v>
      </c>
      <c r="G541" s="255" t="s">
        <v>25</v>
      </c>
      <c r="H541" s="255" t="n">
        <v>0</v>
      </c>
      <c r="I541" s="255" t="s">
        <v>25</v>
      </c>
      <c r="J541" s="255" t="n">
        <v>0</v>
      </c>
      <c r="K541" s="255" t="s">
        <v>25</v>
      </c>
      <c r="L541" s="255" t="s">
        <v>25</v>
      </c>
      <c r="M541" s="255" t="n">
        <v>0</v>
      </c>
      <c r="N541" s="255" t="n">
        <v>0</v>
      </c>
      <c r="O541" s="238" t="n">
        <f aca="false">'INPUT DEBT'!$M541-'INPUT DEBT'!$N541</f>
        <v>0</v>
      </c>
      <c r="P541" s="256" t="s">
        <v>25</v>
      </c>
    </row>
    <row r="542" customFormat="false" ht="15" hidden="false" customHeight="true" outlineLevel="0" collapsed="false">
      <c r="A542" s="237" t="n">
        <v>537</v>
      </c>
      <c r="B542" s="255" t="s">
        <v>170</v>
      </c>
      <c r="C542" s="255" t="s">
        <v>1549</v>
      </c>
      <c r="D542" s="255" t="s">
        <v>1548</v>
      </c>
      <c r="E542" s="255" t="s">
        <v>1550</v>
      </c>
      <c r="F542" s="255" t="s">
        <v>170</v>
      </c>
      <c r="G542" s="255" t="s">
        <v>25</v>
      </c>
      <c r="H542" s="255" t="n">
        <v>0</v>
      </c>
      <c r="I542" s="255" t="s">
        <v>25</v>
      </c>
      <c r="J542" s="255" t="n">
        <v>0</v>
      </c>
      <c r="K542" s="255" t="s">
        <v>25</v>
      </c>
      <c r="L542" s="255" t="s">
        <v>25</v>
      </c>
      <c r="M542" s="255" t="n">
        <v>0</v>
      </c>
      <c r="N542" s="255" t="n">
        <v>0</v>
      </c>
      <c r="O542" s="238" t="n">
        <f aca="false">'INPUT DEBT'!$M542-'INPUT DEBT'!$N542</f>
        <v>0</v>
      </c>
      <c r="P542" s="256" t="s">
        <v>25</v>
      </c>
    </row>
    <row r="543" customFormat="false" ht="15" hidden="false" customHeight="true" outlineLevel="0" collapsed="false">
      <c r="A543" s="242" t="n">
        <v>538</v>
      </c>
      <c r="B543" s="255" t="s">
        <v>170</v>
      </c>
      <c r="C543" s="255" t="s">
        <v>1552</v>
      </c>
      <c r="D543" s="255" t="s">
        <v>1551</v>
      </c>
      <c r="E543" s="255" t="s">
        <v>1553</v>
      </c>
      <c r="F543" s="255" t="s">
        <v>170</v>
      </c>
      <c r="G543" s="255" t="s">
        <v>25</v>
      </c>
      <c r="H543" s="255" t="n">
        <v>0</v>
      </c>
      <c r="I543" s="255" t="s">
        <v>25</v>
      </c>
      <c r="J543" s="255" t="n">
        <v>0</v>
      </c>
      <c r="K543" s="255" t="s">
        <v>25</v>
      </c>
      <c r="L543" s="255" t="s">
        <v>25</v>
      </c>
      <c r="M543" s="255" t="n">
        <v>0</v>
      </c>
      <c r="N543" s="255" t="n">
        <v>0</v>
      </c>
      <c r="O543" s="238" t="n">
        <f aca="false">'INPUT DEBT'!$M543-'INPUT DEBT'!$N543</f>
        <v>0</v>
      </c>
      <c r="P543" s="256" t="s">
        <v>25</v>
      </c>
    </row>
    <row r="544" customFormat="false" ht="15" hidden="false" customHeight="true" outlineLevel="0" collapsed="false">
      <c r="A544" s="237" t="n">
        <v>539</v>
      </c>
      <c r="B544" s="255" t="s">
        <v>170</v>
      </c>
      <c r="C544" s="255" t="s">
        <v>1555</v>
      </c>
      <c r="D544" s="255" t="s">
        <v>1554</v>
      </c>
      <c r="E544" s="255" t="s">
        <v>1556</v>
      </c>
      <c r="F544" s="255" t="s">
        <v>170</v>
      </c>
      <c r="G544" s="255" t="s">
        <v>25</v>
      </c>
      <c r="H544" s="255" t="n">
        <v>0</v>
      </c>
      <c r="I544" s="255" t="s">
        <v>25</v>
      </c>
      <c r="J544" s="255" t="n">
        <v>0</v>
      </c>
      <c r="K544" s="255" t="s">
        <v>25</v>
      </c>
      <c r="L544" s="255" t="s">
        <v>25</v>
      </c>
      <c r="M544" s="255" t="n">
        <v>0</v>
      </c>
      <c r="N544" s="255" t="n">
        <v>0</v>
      </c>
      <c r="O544" s="238" t="n">
        <f aca="false">'INPUT DEBT'!$M544-'INPUT DEBT'!$N544</f>
        <v>0</v>
      </c>
      <c r="P544" s="256" t="s">
        <v>25</v>
      </c>
    </row>
    <row r="545" customFormat="false" ht="15" hidden="false" customHeight="true" outlineLevel="0" collapsed="false">
      <c r="A545" s="242" t="n">
        <v>540</v>
      </c>
      <c r="B545" s="255" t="s">
        <v>170</v>
      </c>
      <c r="C545" s="255" t="s">
        <v>1558</v>
      </c>
      <c r="D545" s="255" t="s">
        <v>1557</v>
      </c>
      <c r="E545" s="255" t="s">
        <v>1559</v>
      </c>
      <c r="F545" s="255" t="s">
        <v>170</v>
      </c>
      <c r="G545" s="255" t="s">
        <v>25</v>
      </c>
      <c r="H545" s="255" t="n">
        <v>0</v>
      </c>
      <c r="I545" s="255" t="s">
        <v>25</v>
      </c>
      <c r="J545" s="255" t="n">
        <v>0</v>
      </c>
      <c r="K545" s="255" t="s">
        <v>25</v>
      </c>
      <c r="L545" s="255" t="s">
        <v>25</v>
      </c>
      <c r="M545" s="255" t="n">
        <v>0</v>
      </c>
      <c r="N545" s="255" t="n">
        <v>0</v>
      </c>
      <c r="O545" s="238" t="n">
        <f aca="false">'INPUT DEBT'!$M545-'INPUT DEBT'!$N545</f>
        <v>0</v>
      </c>
      <c r="P545" s="256" t="s">
        <v>25</v>
      </c>
    </row>
    <row r="546" customFormat="false" ht="15" hidden="false" customHeight="true" outlineLevel="0" collapsed="false">
      <c r="A546" s="237" t="n">
        <v>541</v>
      </c>
      <c r="B546" s="255" t="s">
        <v>170</v>
      </c>
      <c r="C546" s="255" t="s">
        <v>1561</v>
      </c>
      <c r="D546" s="255" t="s">
        <v>1560</v>
      </c>
      <c r="E546" s="255" t="s">
        <v>1562</v>
      </c>
      <c r="F546" s="255" t="s">
        <v>170</v>
      </c>
      <c r="G546" s="255" t="s">
        <v>25</v>
      </c>
      <c r="H546" s="255" t="n">
        <v>0</v>
      </c>
      <c r="I546" s="255" t="s">
        <v>25</v>
      </c>
      <c r="J546" s="255" t="n">
        <v>0</v>
      </c>
      <c r="K546" s="255" t="s">
        <v>25</v>
      </c>
      <c r="L546" s="255" t="s">
        <v>25</v>
      </c>
      <c r="M546" s="255" t="n">
        <v>0</v>
      </c>
      <c r="N546" s="255" t="n">
        <v>0</v>
      </c>
      <c r="O546" s="238" t="n">
        <f aca="false">'INPUT DEBT'!$M546-'INPUT DEBT'!$N546</f>
        <v>0</v>
      </c>
      <c r="P546" s="256" t="s">
        <v>25</v>
      </c>
    </row>
    <row r="547" customFormat="false" ht="15" hidden="false" customHeight="true" outlineLevel="0" collapsed="false">
      <c r="A547" s="242" t="n">
        <v>542</v>
      </c>
      <c r="B547" s="255" t="s">
        <v>170</v>
      </c>
      <c r="C547" s="255" t="s">
        <v>1564</v>
      </c>
      <c r="D547" s="255" t="s">
        <v>1563</v>
      </c>
      <c r="E547" s="255" t="s">
        <v>1565</v>
      </c>
      <c r="F547" s="255" t="s">
        <v>170</v>
      </c>
      <c r="G547" s="255" t="s">
        <v>25</v>
      </c>
      <c r="H547" s="255" t="n">
        <v>0</v>
      </c>
      <c r="I547" s="255" t="s">
        <v>25</v>
      </c>
      <c r="J547" s="255" t="n">
        <v>0</v>
      </c>
      <c r="K547" s="255" t="s">
        <v>25</v>
      </c>
      <c r="L547" s="255" t="s">
        <v>25</v>
      </c>
      <c r="M547" s="255" t="n">
        <v>0</v>
      </c>
      <c r="N547" s="255" t="n">
        <v>0</v>
      </c>
      <c r="O547" s="238" t="n">
        <f aca="false">'INPUT DEBT'!$M547-'INPUT DEBT'!$N547</f>
        <v>0</v>
      </c>
      <c r="P547" s="256" t="s">
        <v>25</v>
      </c>
    </row>
    <row r="548" customFormat="false" ht="15" hidden="false" customHeight="true" outlineLevel="0" collapsed="false">
      <c r="A548" s="237" t="n">
        <v>543</v>
      </c>
      <c r="B548" s="255" t="s">
        <v>170</v>
      </c>
      <c r="C548" s="255" t="s">
        <v>1568</v>
      </c>
      <c r="D548" s="255" t="s">
        <v>1567</v>
      </c>
      <c r="E548" s="256" t="s">
        <v>170</v>
      </c>
      <c r="F548" s="255" t="s">
        <v>170</v>
      </c>
      <c r="G548" s="255" t="s">
        <v>25</v>
      </c>
      <c r="H548" s="255" t="n">
        <v>0</v>
      </c>
      <c r="I548" s="255" t="s">
        <v>25</v>
      </c>
      <c r="J548" s="255" t="n">
        <v>0</v>
      </c>
      <c r="K548" s="255" t="s">
        <v>25</v>
      </c>
      <c r="L548" s="255" t="s">
        <v>25</v>
      </c>
      <c r="M548" s="255" t="n">
        <v>0</v>
      </c>
      <c r="N548" s="255" t="n">
        <v>0</v>
      </c>
      <c r="O548" s="238" t="n">
        <f aca="false">'INPUT DEBT'!$M548-'INPUT DEBT'!$N548</f>
        <v>0</v>
      </c>
      <c r="P548" s="256" t="s">
        <v>25</v>
      </c>
    </row>
    <row r="549" customFormat="false" ht="15" hidden="false" customHeight="true" outlineLevel="0" collapsed="false">
      <c r="A549" s="242" t="n">
        <v>544</v>
      </c>
      <c r="B549" s="255" t="s">
        <v>170</v>
      </c>
      <c r="C549" s="255" t="s">
        <v>1570</v>
      </c>
      <c r="D549" s="255" t="s">
        <v>1569</v>
      </c>
      <c r="E549" s="255" t="s">
        <v>1571</v>
      </c>
      <c r="F549" s="255" t="s">
        <v>170</v>
      </c>
      <c r="G549" s="255" t="s">
        <v>25</v>
      </c>
      <c r="H549" s="255" t="n">
        <v>0</v>
      </c>
      <c r="I549" s="255" t="s">
        <v>25</v>
      </c>
      <c r="J549" s="255" t="n">
        <v>0</v>
      </c>
      <c r="K549" s="255" t="s">
        <v>25</v>
      </c>
      <c r="L549" s="255" t="s">
        <v>25</v>
      </c>
      <c r="M549" s="255" t="n">
        <v>0</v>
      </c>
      <c r="N549" s="255" t="n">
        <v>0</v>
      </c>
      <c r="O549" s="238" t="n">
        <f aca="false">'INPUT DEBT'!$M549-'INPUT DEBT'!$N549</f>
        <v>0</v>
      </c>
      <c r="P549" s="256" t="s">
        <v>25</v>
      </c>
    </row>
    <row r="550" customFormat="false" ht="15" hidden="false" customHeight="true" outlineLevel="0" collapsed="false">
      <c r="A550" s="237" t="n">
        <v>545</v>
      </c>
      <c r="B550" s="255" t="s">
        <v>170</v>
      </c>
      <c r="C550" s="255" t="s">
        <v>1573</v>
      </c>
      <c r="D550" s="255" t="s">
        <v>1572</v>
      </c>
      <c r="E550" s="255" t="s">
        <v>1574</v>
      </c>
      <c r="F550" s="255" t="s">
        <v>170</v>
      </c>
      <c r="G550" s="255" t="s">
        <v>25</v>
      </c>
      <c r="H550" s="255" t="n">
        <v>0</v>
      </c>
      <c r="I550" s="255" t="s">
        <v>25</v>
      </c>
      <c r="J550" s="255" t="n">
        <v>0</v>
      </c>
      <c r="K550" s="255" t="s">
        <v>25</v>
      </c>
      <c r="L550" s="255" t="s">
        <v>25</v>
      </c>
      <c r="M550" s="255" t="n">
        <v>0</v>
      </c>
      <c r="N550" s="255" t="n">
        <v>0</v>
      </c>
      <c r="O550" s="238" t="n">
        <f aca="false">'INPUT DEBT'!$M550-'INPUT DEBT'!$N550</f>
        <v>0</v>
      </c>
      <c r="P550" s="256" t="s">
        <v>25</v>
      </c>
    </row>
    <row r="551" customFormat="false" ht="15" hidden="false" customHeight="true" outlineLevel="0" collapsed="false">
      <c r="A551" s="242" t="n">
        <v>546</v>
      </c>
      <c r="B551" s="255" t="s">
        <v>170</v>
      </c>
      <c r="C551" s="255" t="s">
        <v>1577</v>
      </c>
      <c r="D551" s="255" t="s">
        <v>1576</v>
      </c>
      <c r="E551" s="255" t="s">
        <v>1578</v>
      </c>
      <c r="F551" s="255" t="s">
        <v>170</v>
      </c>
      <c r="G551" s="255" t="s">
        <v>25</v>
      </c>
      <c r="H551" s="255" t="n">
        <v>0</v>
      </c>
      <c r="I551" s="255" t="s">
        <v>25</v>
      </c>
      <c r="J551" s="255" t="n">
        <v>0</v>
      </c>
      <c r="K551" s="255" t="s">
        <v>25</v>
      </c>
      <c r="L551" s="255" t="s">
        <v>25</v>
      </c>
      <c r="M551" s="255" t="n">
        <v>0</v>
      </c>
      <c r="N551" s="255" t="n">
        <v>0</v>
      </c>
      <c r="O551" s="238" t="n">
        <f aca="false">'INPUT DEBT'!$M551-'INPUT DEBT'!$N551</f>
        <v>0</v>
      </c>
      <c r="P551" s="256" t="s">
        <v>25</v>
      </c>
    </row>
    <row r="552" customFormat="false" ht="15" hidden="false" customHeight="true" outlineLevel="0" collapsed="false">
      <c r="A552" s="237" t="n">
        <v>547</v>
      </c>
      <c r="B552" s="255" t="s">
        <v>170</v>
      </c>
      <c r="C552" s="255" t="s">
        <v>1580</v>
      </c>
      <c r="D552" s="255" t="s">
        <v>1579</v>
      </c>
      <c r="E552" s="255" t="s">
        <v>1581</v>
      </c>
      <c r="F552" s="255" t="s">
        <v>170</v>
      </c>
      <c r="G552" s="255" t="s">
        <v>25</v>
      </c>
      <c r="H552" s="255" t="n">
        <v>0</v>
      </c>
      <c r="I552" s="255" t="s">
        <v>25</v>
      </c>
      <c r="J552" s="255" t="n">
        <v>0</v>
      </c>
      <c r="K552" s="255" t="s">
        <v>25</v>
      </c>
      <c r="L552" s="255" t="s">
        <v>25</v>
      </c>
      <c r="M552" s="255" t="n">
        <v>0</v>
      </c>
      <c r="N552" s="255" t="n">
        <v>0</v>
      </c>
      <c r="O552" s="238" t="n">
        <f aca="false">'INPUT DEBT'!$M552-'INPUT DEBT'!$N552</f>
        <v>0</v>
      </c>
      <c r="P552" s="256" t="s">
        <v>25</v>
      </c>
    </row>
    <row r="553" customFormat="false" ht="15" hidden="false" customHeight="true" outlineLevel="0" collapsed="false">
      <c r="A553" s="242" t="n">
        <v>548</v>
      </c>
      <c r="B553" s="255" t="s">
        <v>170</v>
      </c>
      <c r="C553" s="255" t="s">
        <v>1583</v>
      </c>
      <c r="D553" s="255" t="s">
        <v>1582</v>
      </c>
      <c r="E553" s="255" t="s">
        <v>1584</v>
      </c>
      <c r="F553" s="255" t="s">
        <v>170</v>
      </c>
      <c r="G553" s="255" t="s">
        <v>25</v>
      </c>
      <c r="H553" s="255" t="n">
        <v>0</v>
      </c>
      <c r="I553" s="255" t="s">
        <v>25</v>
      </c>
      <c r="J553" s="255" t="n">
        <v>0</v>
      </c>
      <c r="K553" s="255" t="s">
        <v>25</v>
      </c>
      <c r="L553" s="255" t="s">
        <v>25</v>
      </c>
      <c r="M553" s="255" t="n">
        <v>0</v>
      </c>
      <c r="N553" s="255" t="n">
        <v>0</v>
      </c>
      <c r="O553" s="238" t="n">
        <f aca="false">'INPUT DEBT'!$M553-'INPUT DEBT'!$N553</f>
        <v>0</v>
      </c>
      <c r="P553" s="256" t="s">
        <v>25</v>
      </c>
    </row>
    <row r="554" customFormat="false" ht="15" hidden="false" customHeight="true" outlineLevel="0" collapsed="false">
      <c r="A554" s="237" t="n">
        <v>549</v>
      </c>
      <c r="B554" s="255" t="s">
        <v>170</v>
      </c>
      <c r="C554" s="255" t="s">
        <v>1586</v>
      </c>
      <c r="D554" s="255" t="s">
        <v>1585</v>
      </c>
      <c r="E554" s="255" t="s">
        <v>1587</v>
      </c>
      <c r="F554" s="255" t="s">
        <v>170</v>
      </c>
      <c r="G554" s="255" t="s">
        <v>25</v>
      </c>
      <c r="H554" s="255" t="n">
        <v>0</v>
      </c>
      <c r="I554" s="255" t="s">
        <v>25</v>
      </c>
      <c r="J554" s="255" t="n">
        <v>0</v>
      </c>
      <c r="K554" s="255" t="s">
        <v>25</v>
      </c>
      <c r="L554" s="255" t="s">
        <v>25</v>
      </c>
      <c r="M554" s="255" t="n">
        <v>0</v>
      </c>
      <c r="N554" s="255" t="n">
        <v>0</v>
      </c>
      <c r="O554" s="238" t="n">
        <f aca="false">'INPUT DEBT'!$M554-'INPUT DEBT'!$N554</f>
        <v>0</v>
      </c>
      <c r="P554" s="256" t="s">
        <v>25</v>
      </c>
    </row>
    <row r="555" customFormat="false" ht="15" hidden="false" customHeight="true" outlineLevel="0" collapsed="false">
      <c r="A555" s="242" t="n">
        <v>550</v>
      </c>
      <c r="B555" s="255" t="s">
        <v>170</v>
      </c>
      <c r="C555" s="255" t="s">
        <v>1586</v>
      </c>
      <c r="D555" s="255" t="s">
        <v>1588</v>
      </c>
      <c r="E555" s="255" t="s">
        <v>1589</v>
      </c>
      <c r="F555" s="255" t="s">
        <v>170</v>
      </c>
      <c r="G555" s="255" t="s">
        <v>25</v>
      </c>
      <c r="H555" s="255" t="n">
        <v>0</v>
      </c>
      <c r="I555" s="255" t="s">
        <v>25</v>
      </c>
      <c r="J555" s="255" t="n">
        <v>0</v>
      </c>
      <c r="K555" s="255" t="s">
        <v>25</v>
      </c>
      <c r="L555" s="255" t="s">
        <v>25</v>
      </c>
      <c r="M555" s="255" t="n">
        <v>0</v>
      </c>
      <c r="N555" s="255" t="n">
        <v>0</v>
      </c>
      <c r="O555" s="238" t="n">
        <f aca="false">'INPUT DEBT'!$M555-'INPUT DEBT'!$N555</f>
        <v>0</v>
      </c>
      <c r="P555" s="256" t="s">
        <v>25</v>
      </c>
    </row>
    <row r="556" customFormat="false" ht="15" hidden="false" customHeight="true" outlineLevel="0" collapsed="false">
      <c r="A556" s="237" t="n">
        <v>551</v>
      </c>
      <c r="B556" s="255" t="s">
        <v>170</v>
      </c>
      <c r="C556" s="255" t="s">
        <v>1591</v>
      </c>
      <c r="D556" s="255" t="s">
        <v>1590</v>
      </c>
      <c r="E556" s="255" t="s">
        <v>1592</v>
      </c>
      <c r="F556" s="255" t="s">
        <v>170</v>
      </c>
      <c r="G556" s="255" t="s">
        <v>25</v>
      </c>
      <c r="H556" s="255" t="n">
        <v>0</v>
      </c>
      <c r="I556" s="255" t="s">
        <v>25</v>
      </c>
      <c r="J556" s="255" t="n">
        <v>0</v>
      </c>
      <c r="K556" s="255" t="s">
        <v>25</v>
      </c>
      <c r="L556" s="255" t="s">
        <v>25</v>
      </c>
      <c r="M556" s="255" t="n">
        <v>0</v>
      </c>
      <c r="N556" s="255" t="n">
        <v>0</v>
      </c>
      <c r="O556" s="238" t="n">
        <f aca="false">'INPUT DEBT'!$M556-'INPUT DEBT'!$N556</f>
        <v>0</v>
      </c>
      <c r="P556" s="256" t="s">
        <v>25</v>
      </c>
    </row>
    <row r="557" customFormat="false" ht="15" hidden="false" customHeight="true" outlineLevel="0" collapsed="false">
      <c r="A557" s="242" t="n">
        <v>552</v>
      </c>
      <c r="B557" s="255" t="s">
        <v>170</v>
      </c>
      <c r="C557" s="255" t="s">
        <v>1594</v>
      </c>
      <c r="D557" s="255" t="s">
        <v>1593</v>
      </c>
      <c r="E557" s="255" t="s">
        <v>1595</v>
      </c>
      <c r="F557" s="255" t="s">
        <v>170</v>
      </c>
      <c r="G557" s="255" t="s">
        <v>25</v>
      </c>
      <c r="H557" s="255" t="n">
        <v>0</v>
      </c>
      <c r="I557" s="255" t="s">
        <v>25</v>
      </c>
      <c r="J557" s="255" t="n">
        <v>0</v>
      </c>
      <c r="K557" s="255" t="s">
        <v>25</v>
      </c>
      <c r="L557" s="255" t="s">
        <v>25</v>
      </c>
      <c r="M557" s="255" t="n">
        <v>0</v>
      </c>
      <c r="N557" s="255" t="n">
        <v>0</v>
      </c>
      <c r="O557" s="238" t="n">
        <f aca="false">'INPUT DEBT'!$M557-'INPUT DEBT'!$N557</f>
        <v>0</v>
      </c>
      <c r="P557" s="256" t="s">
        <v>25</v>
      </c>
    </row>
    <row r="558" customFormat="false" ht="15" hidden="false" customHeight="true" outlineLevel="0" collapsed="false">
      <c r="A558" s="237" t="n">
        <v>553</v>
      </c>
      <c r="B558" s="255" t="s">
        <v>170</v>
      </c>
      <c r="C558" s="255" t="s">
        <v>170</v>
      </c>
      <c r="D558" s="255" t="s">
        <v>1596</v>
      </c>
      <c r="E558" s="255" t="s">
        <v>1597</v>
      </c>
      <c r="F558" s="255" t="s">
        <v>170</v>
      </c>
      <c r="G558" s="255" t="s">
        <v>25</v>
      </c>
      <c r="H558" s="255" t="n">
        <v>0</v>
      </c>
      <c r="I558" s="255" t="s">
        <v>25</v>
      </c>
      <c r="J558" s="255" t="n">
        <v>0</v>
      </c>
      <c r="K558" s="255" t="s">
        <v>25</v>
      </c>
      <c r="L558" s="255" t="s">
        <v>25</v>
      </c>
      <c r="M558" s="255" t="n">
        <v>0</v>
      </c>
      <c r="N558" s="255" t="n">
        <v>0</v>
      </c>
      <c r="O558" s="238" t="n">
        <f aca="false">'INPUT DEBT'!$M558-'INPUT DEBT'!$N558</f>
        <v>0</v>
      </c>
      <c r="P558" s="256" t="s">
        <v>25</v>
      </c>
    </row>
    <row r="559" customFormat="false" ht="15" hidden="false" customHeight="true" outlineLevel="0" collapsed="false">
      <c r="A559" s="242" t="n">
        <v>554</v>
      </c>
      <c r="B559" s="255" t="s">
        <v>170</v>
      </c>
      <c r="C559" s="255" t="s">
        <v>170</v>
      </c>
      <c r="D559" s="255" t="s">
        <v>1598</v>
      </c>
      <c r="E559" s="255" t="s">
        <v>1600</v>
      </c>
      <c r="F559" s="255" t="s">
        <v>170</v>
      </c>
      <c r="G559" s="255" t="s">
        <v>25</v>
      </c>
      <c r="H559" s="255" t="n">
        <v>0</v>
      </c>
      <c r="I559" s="255" t="s">
        <v>25</v>
      </c>
      <c r="J559" s="255" t="n">
        <v>0</v>
      </c>
      <c r="K559" s="255" t="s">
        <v>25</v>
      </c>
      <c r="L559" s="255" t="s">
        <v>25</v>
      </c>
      <c r="M559" s="255" t="n">
        <v>0</v>
      </c>
      <c r="N559" s="255" t="n">
        <v>0</v>
      </c>
      <c r="O559" s="238" t="n">
        <f aca="false">'INPUT DEBT'!$M559-'INPUT DEBT'!$N559</f>
        <v>0</v>
      </c>
      <c r="P559" s="256" t="s">
        <v>25</v>
      </c>
    </row>
    <row r="560" customFormat="false" ht="15" hidden="false" customHeight="true" outlineLevel="0" collapsed="false">
      <c r="A560" s="237" t="n">
        <v>555</v>
      </c>
      <c r="B560" s="255" t="s">
        <v>170</v>
      </c>
      <c r="C560" s="255" t="s">
        <v>1602</v>
      </c>
      <c r="D560" s="255" t="s">
        <v>1601</v>
      </c>
      <c r="E560" s="255" t="s">
        <v>1603</v>
      </c>
      <c r="F560" s="255" t="s">
        <v>170</v>
      </c>
      <c r="G560" s="255" t="s">
        <v>25</v>
      </c>
      <c r="H560" s="255" t="n">
        <v>0</v>
      </c>
      <c r="I560" s="255" t="s">
        <v>25</v>
      </c>
      <c r="J560" s="255" t="n">
        <v>0</v>
      </c>
      <c r="K560" s="255" t="s">
        <v>25</v>
      </c>
      <c r="L560" s="255" t="s">
        <v>25</v>
      </c>
      <c r="M560" s="255" t="n">
        <v>0</v>
      </c>
      <c r="N560" s="255" t="n">
        <v>0</v>
      </c>
      <c r="O560" s="238" t="n">
        <f aca="false">'INPUT DEBT'!$M560-'INPUT DEBT'!$N560</f>
        <v>0</v>
      </c>
      <c r="P560" s="256" t="s">
        <v>25</v>
      </c>
    </row>
    <row r="561" customFormat="false" ht="15" hidden="false" customHeight="true" outlineLevel="0" collapsed="false">
      <c r="A561" s="242" t="n">
        <v>556</v>
      </c>
      <c r="B561" s="255" t="s">
        <v>170</v>
      </c>
      <c r="C561" s="255" t="s">
        <v>1606</v>
      </c>
      <c r="D561" s="255" t="s">
        <v>1605</v>
      </c>
      <c r="E561" s="255" t="s">
        <v>1607</v>
      </c>
      <c r="F561" s="255" t="s">
        <v>170</v>
      </c>
      <c r="G561" s="255" t="s">
        <v>25</v>
      </c>
      <c r="H561" s="255" t="n">
        <v>0</v>
      </c>
      <c r="I561" s="255" t="s">
        <v>25</v>
      </c>
      <c r="J561" s="255" t="n">
        <v>0</v>
      </c>
      <c r="K561" s="255" t="s">
        <v>25</v>
      </c>
      <c r="L561" s="255" t="s">
        <v>25</v>
      </c>
      <c r="M561" s="255" t="n">
        <v>0</v>
      </c>
      <c r="N561" s="255" t="n">
        <v>0</v>
      </c>
      <c r="O561" s="238" t="n">
        <f aca="false">'INPUT DEBT'!$M561-'INPUT DEBT'!$N561</f>
        <v>0</v>
      </c>
      <c r="P561" s="256" t="s">
        <v>25</v>
      </c>
    </row>
    <row r="562" customFormat="false" ht="15" hidden="false" customHeight="true" outlineLevel="0" collapsed="false">
      <c r="A562" s="237" t="n">
        <v>557</v>
      </c>
      <c r="B562" s="255" t="s">
        <v>170</v>
      </c>
      <c r="C562" s="255" t="s">
        <v>1606</v>
      </c>
      <c r="D562" s="255" t="s">
        <v>1608</v>
      </c>
      <c r="E562" s="255" t="s">
        <v>1609</v>
      </c>
      <c r="F562" s="255" t="s">
        <v>170</v>
      </c>
      <c r="G562" s="255" t="s">
        <v>25</v>
      </c>
      <c r="H562" s="255" t="n">
        <v>0</v>
      </c>
      <c r="I562" s="255" t="s">
        <v>25</v>
      </c>
      <c r="J562" s="255" t="n">
        <v>0</v>
      </c>
      <c r="K562" s="255" t="s">
        <v>25</v>
      </c>
      <c r="L562" s="255" t="s">
        <v>25</v>
      </c>
      <c r="M562" s="255" t="n">
        <v>0</v>
      </c>
      <c r="N562" s="255" t="n">
        <v>0</v>
      </c>
      <c r="O562" s="238" t="n">
        <f aca="false">'INPUT DEBT'!$M562-'INPUT DEBT'!$N562</f>
        <v>0</v>
      </c>
      <c r="P562" s="256" t="s">
        <v>25</v>
      </c>
    </row>
    <row r="563" customFormat="false" ht="15" hidden="false" customHeight="true" outlineLevel="0" collapsed="false">
      <c r="A563" s="242" t="n">
        <v>558</v>
      </c>
      <c r="B563" s="255" t="s">
        <v>170</v>
      </c>
      <c r="C563" s="255" t="s">
        <v>1606</v>
      </c>
      <c r="D563" s="255" t="s">
        <v>1610</v>
      </c>
      <c r="E563" s="255" t="s">
        <v>1611</v>
      </c>
      <c r="F563" s="255" t="s">
        <v>170</v>
      </c>
      <c r="G563" s="255" t="s">
        <v>25</v>
      </c>
      <c r="H563" s="255" t="n">
        <v>0</v>
      </c>
      <c r="I563" s="255" t="s">
        <v>25</v>
      </c>
      <c r="J563" s="255" t="n">
        <v>0</v>
      </c>
      <c r="K563" s="255" t="s">
        <v>25</v>
      </c>
      <c r="L563" s="255" t="s">
        <v>25</v>
      </c>
      <c r="M563" s="255" t="n">
        <v>0</v>
      </c>
      <c r="N563" s="255" t="n">
        <v>0</v>
      </c>
      <c r="O563" s="238" t="n">
        <f aca="false">'INPUT DEBT'!$M563-'INPUT DEBT'!$N563</f>
        <v>0</v>
      </c>
      <c r="P563" s="256" t="s">
        <v>25</v>
      </c>
    </row>
    <row r="564" customFormat="false" ht="15" hidden="false" customHeight="true" outlineLevel="0" collapsed="false">
      <c r="A564" s="237" t="n">
        <v>559</v>
      </c>
      <c r="B564" s="255" t="s">
        <v>170</v>
      </c>
      <c r="C564" s="255" t="s">
        <v>1602</v>
      </c>
      <c r="D564" s="255" t="s">
        <v>1612</v>
      </c>
      <c r="E564" s="255" t="s">
        <v>1613</v>
      </c>
      <c r="F564" s="255" t="s">
        <v>170</v>
      </c>
      <c r="G564" s="255" t="s">
        <v>25</v>
      </c>
      <c r="H564" s="255" t="n">
        <v>0</v>
      </c>
      <c r="I564" s="255" t="s">
        <v>25</v>
      </c>
      <c r="J564" s="255" t="n">
        <v>0</v>
      </c>
      <c r="K564" s="255" t="s">
        <v>25</v>
      </c>
      <c r="L564" s="255" t="s">
        <v>25</v>
      </c>
      <c r="M564" s="255" t="n">
        <v>0</v>
      </c>
      <c r="N564" s="255" t="n">
        <v>0</v>
      </c>
      <c r="O564" s="238" t="n">
        <f aca="false">'INPUT DEBT'!$M564-'INPUT DEBT'!$N564</f>
        <v>0</v>
      </c>
      <c r="P564" s="256" t="s">
        <v>25</v>
      </c>
    </row>
    <row r="565" customFormat="false" ht="15" hidden="false" customHeight="true" outlineLevel="0" collapsed="false">
      <c r="A565" s="242" t="n">
        <v>560</v>
      </c>
      <c r="B565" s="255" t="s">
        <v>170</v>
      </c>
      <c r="C565" s="255" t="s">
        <v>1615</v>
      </c>
      <c r="D565" s="255" t="s">
        <v>1614</v>
      </c>
      <c r="E565" s="255" t="s">
        <v>1616</v>
      </c>
      <c r="F565" s="255" t="s">
        <v>170</v>
      </c>
      <c r="G565" s="255" t="s">
        <v>25</v>
      </c>
      <c r="H565" s="255" t="n">
        <v>0</v>
      </c>
      <c r="I565" s="255" t="s">
        <v>25</v>
      </c>
      <c r="J565" s="255" t="n">
        <v>0</v>
      </c>
      <c r="K565" s="255" t="s">
        <v>25</v>
      </c>
      <c r="L565" s="255" t="s">
        <v>25</v>
      </c>
      <c r="M565" s="255" t="n">
        <v>0</v>
      </c>
      <c r="N565" s="255" t="n">
        <v>0</v>
      </c>
      <c r="O565" s="238" t="n">
        <f aca="false">'INPUT DEBT'!$M565-'INPUT DEBT'!$N565</f>
        <v>0</v>
      </c>
      <c r="P565" s="256" t="s">
        <v>25</v>
      </c>
    </row>
    <row r="566" customFormat="false" ht="15" hidden="false" customHeight="true" outlineLevel="0" collapsed="false">
      <c r="A566" s="237" t="n">
        <v>561</v>
      </c>
      <c r="B566" s="255" t="s">
        <v>170</v>
      </c>
      <c r="C566" s="255" t="s">
        <v>1606</v>
      </c>
      <c r="D566" s="255" t="s">
        <v>1617</v>
      </c>
      <c r="E566" s="255" t="s">
        <v>1618</v>
      </c>
      <c r="F566" s="255" t="s">
        <v>170</v>
      </c>
      <c r="G566" s="255" t="s">
        <v>25</v>
      </c>
      <c r="H566" s="255" t="n">
        <v>0</v>
      </c>
      <c r="I566" s="255" t="s">
        <v>25</v>
      </c>
      <c r="J566" s="255" t="n">
        <v>0</v>
      </c>
      <c r="K566" s="255" t="s">
        <v>25</v>
      </c>
      <c r="L566" s="255" t="s">
        <v>25</v>
      </c>
      <c r="M566" s="255" t="n">
        <v>0</v>
      </c>
      <c r="N566" s="255" t="n">
        <v>0</v>
      </c>
      <c r="O566" s="238" t="n">
        <f aca="false">'INPUT DEBT'!$M566-'INPUT DEBT'!$N566</f>
        <v>0</v>
      </c>
      <c r="P566" s="256" t="s">
        <v>25</v>
      </c>
    </row>
    <row r="567" customFormat="false" ht="15" hidden="false" customHeight="true" outlineLevel="0" collapsed="false">
      <c r="A567" s="242" t="n">
        <v>562</v>
      </c>
      <c r="B567" s="255" t="s">
        <v>170</v>
      </c>
      <c r="C567" s="255" t="s">
        <v>1620</v>
      </c>
      <c r="D567" s="255" t="s">
        <v>1619</v>
      </c>
      <c r="E567" s="255" t="s">
        <v>1621</v>
      </c>
      <c r="F567" s="255" t="s">
        <v>170</v>
      </c>
      <c r="G567" s="255" t="s">
        <v>25</v>
      </c>
      <c r="H567" s="255" t="n">
        <v>0</v>
      </c>
      <c r="I567" s="255" t="s">
        <v>25</v>
      </c>
      <c r="J567" s="255" t="n">
        <v>0</v>
      </c>
      <c r="K567" s="255" t="s">
        <v>25</v>
      </c>
      <c r="L567" s="255" t="s">
        <v>25</v>
      </c>
      <c r="M567" s="255" t="n">
        <v>0</v>
      </c>
      <c r="N567" s="255" t="n">
        <v>0</v>
      </c>
      <c r="O567" s="238" t="n">
        <f aca="false">'INPUT DEBT'!$M567-'INPUT DEBT'!$N567</f>
        <v>0</v>
      </c>
      <c r="P567" s="256" t="s">
        <v>25</v>
      </c>
    </row>
    <row r="568" customFormat="false" ht="15" hidden="false" customHeight="true" outlineLevel="0" collapsed="false">
      <c r="A568" s="237" t="n">
        <v>563</v>
      </c>
      <c r="B568" s="255" t="s">
        <v>170</v>
      </c>
      <c r="C568" s="255" t="s">
        <v>1623</v>
      </c>
      <c r="D568" s="255" t="s">
        <v>1622</v>
      </c>
      <c r="E568" s="255" t="s">
        <v>1624</v>
      </c>
      <c r="F568" s="255" t="s">
        <v>170</v>
      </c>
      <c r="G568" s="255" t="s">
        <v>25</v>
      </c>
      <c r="H568" s="255" t="n">
        <v>0</v>
      </c>
      <c r="I568" s="255" t="s">
        <v>25</v>
      </c>
      <c r="J568" s="255" t="n">
        <v>0</v>
      </c>
      <c r="K568" s="255" t="s">
        <v>25</v>
      </c>
      <c r="L568" s="255" t="s">
        <v>25</v>
      </c>
      <c r="M568" s="255" t="n">
        <v>0</v>
      </c>
      <c r="N568" s="255" t="n">
        <v>0</v>
      </c>
      <c r="O568" s="238" t="n">
        <f aca="false">'INPUT DEBT'!$M568-'INPUT DEBT'!$N568</f>
        <v>0</v>
      </c>
      <c r="P568" s="256" t="s">
        <v>25</v>
      </c>
    </row>
    <row r="569" customFormat="false" ht="15" hidden="false" customHeight="true" outlineLevel="0" collapsed="false">
      <c r="A569" s="242" t="n">
        <v>564</v>
      </c>
      <c r="B569" s="255" t="s">
        <v>170</v>
      </c>
      <c r="C569" s="255" t="s">
        <v>1626</v>
      </c>
      <c r="D569" s="255" t="s">
        <v>3308</v>
      </c>
      <c r="E569" s="255" t="s">
        <v>1627</v>
      </c>
      <c r="F569" s="255" t="s">
        <v>1808</v>
      </c>
      <c r="G569" s="255" t="n">
        <v>55</v>
      </c>
      <c r="H569" s="255" t="n">
        <v>0</v>
      </c>
      <c r="I569" s="255" t="s">
        <v>25</v>
      </c>
      <c r="J569" s="255" t="n">
        <v>0</v>
      </c>
      <c r="K569" s="255" t="s">
        <v>25</v>
      </c>
      <c r="L569" s="255" t="s">
        <v>25</v>
      </c>
      <c r="M569" s="255" t="n">
        <v>0</v>
      </c>
      <c r="N569" s="255" t="n">
        <v>0</v>
      </c>
      <c r="O569" s="238" t="n">
        <f aca="false">'INPUT DEBT'!$M569-'INPUT DEBT'!$N569</f>
        <v>0</v>
      </c>
      <c r="P569" s="256" t="s">
        <v>25</v>
      </c>
    </row>
    <row r="577" s="258" customFormat="true" ht="27.75" hidden="false" customHeight="true" outlineLevel="0" collapsed="false">
      <c r="A577" s="258" t="s">
        <v>3309</v>
      </c>
      <c r="G577" s="259"/>
      <c r="H577" s="260" t="n">
        <f aca="false">SUM(H6:H569)</f>
        <v>3841770.06</v>
      </c>
      <c r="I577" s="260" t="n">
        <f aca="false">SUM(I6:I569)</f>
        <v>700359</v>
      </c>
      <c r="J577" s="260" t="n">
        <f aca="false">SUM(J6:J569)</f>
        <v>3141808</v>
      </c>
      <c r="K577" s="260" t="n">
        <f aca="false">SUM(K6:K569)</f>
        <v>515213.35</v>
      </c>
      <c r="L577" s="260" t="n">
        <f aca="false">SUM(L6:L569)</f>
        <v>2778964</v>
      </c>
      <c r="M577" s="260" t="n">
        <f aca="false">SUM(M6:M569)</f>
        <v>11277.47</v>
      </c>
      <c r="N577" s="260" t="n">
        <f aca="false">SUM(N6:N569)</f>
        <v>2173.12</v>
      </c>
      <c r="O577" s="260" t="n">
        <f aca="false">SUM(O6:O569)</f>
        <v>9104.35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E22" activeCellId="1" sqref="A1:L7 E22"/>
    </sheetView>
  </sheetViews>
  <sheetFormatPr defaultColWidth="8.73046875" defaultRowHeight="14.25" zeroHeight="false" outlineLevelRow="0" outlineLevelCol="0"/>
  <cols>
    <col collapsed="false" customWidth="true" hidden="false" outlineLevel="0" max="12" min="1" style="0" width="14"/>
  </cols>
  <sheetData>
    <row r="1" customFormat="false" ht="33.75" hidden="false" customHeight="true" outlineLevel="0" collapsed="false">
      <c r="A1" s="1" t="s">
        <v>3310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4.25" hidden="false" customHeight="true" outlineLevel="0" collapsed="false">
      <c r="A2" s="2" t="s">
        <v>3311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4.25" hidden="false" customHeight="true" outlineLevel="0" collapsed="false">
      <c r="A3" s="6" t="str">
        <f aca="false">HYPERLINK("#'HOME'!A1","HOME")</f>
        <v>HOME</v>
      </c>
      <c r="B3" s="6" t="str">
        <f aca="false">HYPERLINK("#'FARMERS'!A1","FARMERS")</f>
        <v>FARMERS</v>
      </c>
      <c r="C3" s="6" t="str">
        <f aca="false">HYPERLINK("#'SUBSCRIPTIONS'!A1","SUBSCRIPTIONS")</f>
        <v>SUBSCRIPTIONS</v>
      </c>
      <c r="D3" s="6" t="str">
        <f aca="false">HYPERLINK("#'PRODUCTION'!A1","PRODUCTION")</f>
        <v>PRODUCTION</v>
      </c>
      <c r="E3" s="6" t="str">
        <f aca="false">HYPERLINK("#'RECOVERY'!A1","RECOVERY")</f>
        <v>RECOVERY</v>
      </c>
      <c r="F3" s="6" t="str">
        <f aca="false">HYPERLINK("#'DELIVERIES'!A1","DELIVERIES")</f>
        <v>DELIVERIES</v>
      </c>
      <c r="G3" s="6" t="str">
        <f aca="false">HYPERLINK("#'FINANCE'!A1","FINANCE")</f>
        <v>FINANCE</v>
      </c>
      <c r="H3" s="6" t="str">
        <f aca="false">HYPERLINK("#'REPORTS'!A1","REPORTS")</f>
        <v>REPORTS</v>
      </c>
    </row>
    <row r="5" customFormat="false" ht="24" hidden="false" customHeight="true" outlineLevel="0" collapsed="false">
      <c r="A5" s="30" t="s">
        <v>3312</v>
      </c>
      <c r="B5" s="30"/>
      <c r="C5" s="30" t="s">
        <v>3313</v>
      </c>
      <c r="D5" s="30"/>
      <c r="E5" s="30" t="s">
        <v>3314</v>
      </c>
      <c r="F5" s="30"/>
      <c r="G5" s="30" t="s">
        <v>3315</v>
      </c>
      <c r="H5" s="30"/>
      <c r="I5" s="30" t="s">
        <v>3316</v>
      </c>
      <c r="J5" s="30"/>
      <c r="K5" s="30" t="s">
        <v>3317</v>
      </c>
      <c r="L5" s="30"/>
    </row>
    <row r="6" customFormat="false" ht="31.5" hidden="false" customHeight="true" outlineLevel="0" collapsed="false">
      <c r="A6" s="261" t="n">
        <v>20000</v>
      </c>
      <c r="B6" s="261"/>
      <c r="C6" s="261" t="n">
        <f aca="false">SUM(DATA_PIPELINE!$M$6:$M$601)</f>
        <v>20840</v>
      </c>
      <c r="D6" s="261"/>
      <c r="E6" s="262" t="n">
        <f aca="false">C6/A6</f>
        <v>1.042</v>
      </c>
      <c r="F6" s="262"/>
      <c r="G6" s="261" t="n">
        <v>20000</v>
      </c>
      <c r="H6" s="261"/>
      <c r="I6" s="261" t="n">
        <f aca="false">SUM(DATA_PIPELINE!$N$6:$N$601)</f>
        <v>40932</v>
      </c>
      <c r="J6" s="261"/>
      <c r="K6" s="262" t="n">
        <f aca="false">I6/G6</f>
        <v>2.0466</v>
      </c>
      <c r="L6" s="262"/>
    </row>
    <row r="10" customFormat="false" ht="14.25" hidden="false" customHeight="true" outlineLevel="0" collapsed="false">
      <c r="A10" s="187" t="s">
        <v>3318</v>
      </c>
      <c r="B10" s="187" t="s">
        <v>3319</v>
      </c>
      <c r="C10" s="187" t="s">
        <v>3320</v>
      </c>
      <c r="D10" s="187" t="s">
        <v>3321</v>
      </c>
      <c r="E10" s="187" t="s">
        <v>3322</v>
      </c>
      <c r="F10" s="187" t="s">
        <v>3323</v>
      </c>
    </row>
    <row r="11" customFormat="false" ht="14.25" hidden="false" customHeight="true" outlineLevel="0" collapsed="false">
      <c r="A11" s="120" t="s">
        <v>3324</v>
      </c>
      <c r="B11" s="263" t="n">
        <v>20000</v>
      </c>
      <c r="C11" s="263" t="n">
        <f aca="false">SUM(DATA_PIPELINE!$M$6:$M$601)</f>
        <v>20840</v>
      </c>
      <c r="D11" s="263" t="n">
        <f aca="false">C11-B11</f>
        <v>840</v>
      </c>
      <c r="E11" s="264" t="n">
        <f aca="false">C11/B11</f>
        <v>1.042</v>
      </c>
      <c r="F11" s="120" t="n">
        <f aca="false">MAX(0,B11-C11)</f>
        <v>0</v>
      </c>
    </row>
    <row r="12" customFormat="false" ht="14.25" hidden="false" customHeight="true" outlineLevel="0" collapsed="false">
      <c r="A12" s="120" t="s">
        <v>3325</v>
      </c>
      <c r="B12" s="263" t="n">
        <v>20000</v>
      </c>
      <c r="C12" s="263" t="n">
        <f aca="false">SUM(DATA_PIPELINE!$N$6:$N$601)</f>
        <v>40932</v>
      </c>
      <c r="D12" s="263" t="n">
        <f aca="false">C12-B12</f>
        <v>20932</v>
      </c>
      <c r="E12" s="264" t="n">
        <f aca="false">C12/B12</f>
        <v>2.0466</v>
      </c>
      <c r="F12" s="120" t="n">
        <f aca="false">MAX(0,B12-C12)</f>
        <v>0</v>
      </c>
    </row>
    <row r="16" customFormat="false" ht="17.25" hidden="false" customHeight="true" outlineLevel="0" collapsed="false">
      <c r="A16" s="34" t="s">
        <v>3326</v>
      </c>
    </row>
    <row r="17" customFormat="false" ht="14.25" hidden="false" customHeight="true" outlineLevel="0" collapsed="false">
      <c r="A17" s="187" t="s">
        <v>3327</v>
      </c>
      <c r="B17" s="187" t="s">
        <v>3328</v>
      </c>
      <c r="C17" s="187" t="s">
        <v>3329</v>
      </c>
      <c r="D17" s="187" t="s">
        <v>3330</v>
      </c>
    </row>
    <row r="18" customFormat="false" ht="14.25" hidden="false" customHeight="true" outlineLevel="0" collapsed="false">
      <c r="A18" s="120" t="s">
        <v>3331</v>
      </c>
      <c r="B18" s="120" t="n">
        <f aca="false">SUMIF(DATA_PIPELINE!$G$6:$G$601,A18,DATA_PIPELINE!$M$6:$M$601)</f>
        <v>0</v>
      </c>
      <c r="C18" s="120" t="n">
        <f aca="false">SUMIF(DATA_PIPELINE!$G$6:$G$601,A18,DATA_PIPELINE!$N$6:$N$601)</f>
        <v>0</v>
      </c>
      <c r="D18" s="120" t="n">
        <f aca="false">B18+C18</f>
        <v>0</v>
      </c>
    </row>
    <row r="19" customFormat="false" ht="14.25" hidden="false" customHeight="true" outlineLevel="0" collapsed="false">
      <c r="A19" s="120" t="s">
        <v>3332</v>
      </c>
      <c r="B19" s="120" t="n">
        <f aca="false">SUMIF(DATA_PIPELINE!$G$6:$G$601,A19,DATA_PIPELINE!$M$6:$M$601)</f>
        <v>0</v>
      </c>
      <c r="C19" s="120" t="n">
        <f aca="false">SUMIF(DATA_PIPELINE!$G$6:$G$601,A19,DATA_PIPELINE!$N$6:$N$601)</f>
        <v>0</v>
      </c>
      <c r="D19" s="120" t="n">
        <f aca="false">B19+C19</f>
        <v>0</v>
      </c>
    </row>
    <row r="20" customFormat="false" ht="14.25" hidden="false" customHeight="true" outlineLevel="0" collapsed="false">
      <c r="A20" s="120" t="s">
        <v>3333</v>
      </c>
      <c r="B20" s="120" t="n">
        <f aca="false">SUMIF(DATA_PIPELINE!$G$6:$G$601,A20,DATA_PIPELINE!$M$6:$M$601)</f>
        <v>0</v>
      </c>
      <c r="C20" s="120" t="n">
        <f aca="false">SUMIF(DATA_PIPELINE!$G$6:$G$601,A20,DATA_PIPELINE!$N$6:$N$601)</f>
        <v>0</v>
      </c>
      <c r="D20" s="120" t="n">
        <f aca="false">B20+C20</f>
        <v>0</v>
      </c>
    </row>
    <row r="21" customFormat="false" ht="14.25" hidden="false" customHeight="true" outlineLevel="0" collapsed="false">
      <c r="A21" s="120" t="s">
        <v>1509</v>
      </c>
      <c r="B21" s="120" t="n">
        <f aca="false">SUMIF(DATA_PIPELINE!$G$6:$G$601,A21,DATA_PIPELINE!$M$6:$M$601)</f>
        <v>6</v>
      </c>
      <c r="C21" s="120" t="n">
        <f aca="false">SUMIF(DATA_PIPELINE!$G$6:$G$601,A21,DATA_PIPELINE!$N$6:$N$601)</f>
        <v>0</v>
      </c>
      <c r="D21" s="120" t="n">
        <f aca="false">B21+C21</f>
        <v>6</v>
      </c>
    </row>
    <row r="22" customFormat="false" ht="14.25" hidden="false" customHeight="true" outlineLevel="0" collapsed="false">
      <c r="A22" s="120" t="s">
        <v>1566</v>
      </c>
      <c r="B22" s="120" t="n">
        <f aca="false">SUMIF(DATA_PIPELINE!$G$6:$G$601,A22,DATA_PIPELINE!$M$6:$M$601)</f>
        <v>0</v>
      </c>
      <c r="C22" s="120" t="n">
        <f aca="false">SUMIF(DATA_PIPELINE!$G$6:$G$601,A22,DATA_PIPELINE!$N$6:$N$601)</f>
        <v>0</v>
      </c>
      <c r="D22" s="120" t="n">
        <f aca="false">B22+C22</f>
        <v>0</v>
      </c>
    </row>
    <row r="23" customFormat="false" ht="14.25" hidden="false" customHeight="true" outlineLevel="0" collapsed="false">
      <c r="A23" s="120" t="s">
        <v>3334</v>
      </c>
      <c r="B23" s="120" t="n">
        <f aca="false">SUMIF(DATA_PIPELINE!$G$6:$G$601,A23,DATA_PIPELINE!$M$6:$M$601)</f>
        <v>0</v>
      </c>
      <c r="C23" s="120" t="n">
        <f aca="false">SUMIF(DATA_PIPELINE!$G$6:$G$601,A23,DATA_PIPELINE!$N$6:$N$601)</f>
        <v>0</v>
      </c>
      <c r="D23" s="120" t="n">
        <f aca="false">B23+C23</f>
        <v>0</v>
      </c>
    </row>
    <row r="24" customFormat="false" ht="14.25" hidden="false" customHeight="true" outlineLevel="0" collapsed="false">
      <c r="A24" s="120" t="s">
        <v>3335</v>
      </c>
      <c r="B24" s="120" t="n">
        <f aca="false">SUMIF(DATA_PIPELINE!$G$6:$G$601,A24,DATA_PIPELINE!$M$6:$M$601)</f>
        <v>0</v>
      </c>
      <c r="C24" s="120" t="n">
        <f aca="false">SUMIF(DATA_PIPELINE!$G$6:$G$601,A24,DATA_PIPELINE!$N$6:$N$601)</f>
        <v>0</v>
      </c>
      <c r="D24" s="120" t="n">
        <f aca="false">B24+C24</f>
        <v>0</v>
      </c>
    </row>
    <row r="25" customFormat="false" ht="14.25" hidden="false" customHeight="true" outlineLevel="0" collapsed="false">
      <c r="A25" s="120" t="s">
        <v>1536</v>
      </c>
      <c r="B25" s="120" t="n">
        <f aca="false">SUMIF(DATA_PIPELINE!$G$6:$G$601,A25,DATA_PIPELINE!$M$6:$M$601)</f>
        <v>0</v>
      </c>
      <c r="C25" s="120" t="n">
        <f aca="false">SUMIF(DATA_PIPELINE!$G$6:$G$601,A25,DATA_PIPELINE!$N$6:$N$601)</f>
        <v>20</v>
      </c>
      <c r="D25" s="120" t="n">
        <f aca="false">B25+C25</f>
        <v>20</v>
      </c>
    </row>
    <row r="26" customFormat="false" ht="14.25" hidden="false" customHeight="true" outlineLevel="0" collapsed="false">
      <c r="A26" s="120" t="s">
        <v>3336</v>
      </c>
      <c r="B26" s="120" t="n">
        <f aca="false">SUMIF(DATA_PIPELINE!$G$6:$G$601,A26,DATA_PIPELINE!$M$6:$M$601)</f>
        <v>0</v>
      </c>
      <c r="C26" s="120" t="n">
        <f aca="false">SUMIF(DATA_PIPELINE!$G$6:$G$601,A26,DATA_PIPELINE!$N$6:$N$601)</f>
        <v>0</v>
      </c>
      <c r="D26" s="120" t="n">
        <f aca="false">B26+C26</f>
        <v>0</v>
      </c>
    </row>
    <row r="27" customFormat="false" ht="14.25" hidden="false" customHeight="true" outlineLevel="0" collapsed="false">
      <c r="A27" s="120" t="s">
        <v>3337</v>
      </c>
      <c r="B27" s="120" t="n">
        <f aca="false">SUMIF(DATA_PIPELINE!$G$6:$G$601,A27,DATA_PIPELINE!$M$6:$M$601)</f>
        <v>0</v>
      </c>
      <c r="C27" s="120" t="n">
        <f aca="false">SUMIF(DATA_PIPELINE!$G$6:$G$601,A27,DATA_PIPELINE!$N$6:$N$601)</f>
        <v>0</v>
      </c>
      <c r="D27" s="120" t="n">
        <f aca="false">B27+C27</f>
        <v>0</v>
      </c>
    </row>
    <row r="28" customFormat="false" ht="14.25" hidden="false" customHeight="true" outlineLevel="0" collapsed="false">
      <c r="A28" s="120" t="s">
        <v>3338</v>
      </c>
      <c r="B28" s="120" t="n">
        <f aca="false">SUMIF(DATA_PIPELINE!$G$6:$G$601,A28,DATA_PIPELINE!$M$6:$M$601)</f>
        <v>0</v>
      </c>
      <c r="C28" s="120" t="n">
        <f aca="false">SUMIF(DATA_PIPELINE!$G$6:$G$601,A28,DATA_PIPELINE!$N$6:$N$601)</f>
        <v>0</v>
      </c>
      <c r="D28" s="120" t="n">
        <f aca="false">B28+C28</f>
        <v>0</v>
      </c>
    </row>
    <row r="29" customFormat="false" ht="14.25" hidden="false" customHeight="true" outlineLevel="0" collapsed="false">
      <c r="A29" s="120" t="s">
        <v>3339</v>
      </c>
      <c r="B29" s="120" t="n">
        <f aca="false">SUMIF(DATA_PIPELINE!$G$6:$G$601,A29,DATA_PIPELINE!$M$6:$M$601)</f>
        <v>0</v>
      </c>
      <c r="C29" s="120" t="n">
        <f aca="false">SUMIF(DATA_PIPELINE!$G$6:$G$601,A29,DATA_PIPELINE!$N$6:$N$601)</f>
        <v>0</v>
      </c>
      <c r="D29" s="120" t="n">
        <f aca="false">B29+C29</f>
        <v>0</v>
      </c>
    </row>
    <row r="30" customFormat="false" ht="14.25" hidden="false" customHeight="true" outlineLevel="0" collapsed="false">
      <c r="A30" s="120" t="s">
        <v>3340</v>
      </c>
      <c r="B30" s="120" t="n">
        <f aca="false">SUMIF(DATA_PIPELINE!$G$6:$G$601,A30,DATA_PIPELINE!$M$6:$M$601)</f>
        <v>0</v>
      </c>
      <c r="C30" s="120" t="n">
        <f aca="false">SUMIF(DATA_PIPELINE!$G$6:$G$601,A30,DATA_PIPELINE!$N$6:$N$601)</f>
        <v>0</v>
      </c>
      <c r="D30" s="120" t="n">
        <f aca="false">B30+C30</f>
        <v>0</v>
      </c>
    </row>
    <row r="31" customFormat="false" ht="14.25" hidden="false" customHeight="true" outlineLevel="0" collapsed="false">
      <c r="A31" s="120" t="s">
        <v>3341</v>
      </c>
      <c r="B31" s="120" t="n">
        <f aca="false">SUMIF(DATA_PIPELINE!$G$6:$G$601,A31,DATA_PIPELINE!$M$6:$M$601)</f>
        <v>0</v>
      </c>
      <c r="C31" s="120" t="n">
        <f aca="false">SUMIF(DATA_PIPELINE!$G$6:$G$601,A31,DATA_PIPELINE!$N$6:$N$601)</f>
        <v>0</v>
      </c>
      <c r="D31" s="120" t="n">
        <f aca="false">B31+C31</f>
        <v>0</v>
      </c>
    </row>
    <row r="32" customFormat="false" ht="14.25" hidden="false" customHeight="true" outlineLevel="0" collapsed="false">
      <c r="A32" s="120" t="s">
        <v>3342</v>
      </c>
      <c r="B32" s="120" t="n">
        <f aca="false">SUMIF(DATA_PIPELINE!$G$6:$G$601,A32,DATA_PIPELINE!$M$6:$M$601)</f>
        <v>0</v>
      </c>
      <c r="C32" s="120" t="n">
        <f aca="false">SUMIF(DATA_PIPELINE!$G$6:$G$601,A32,DATA_PIPELINE!$N$6:$N$601)</f>
        <v>0</v>
      </c>
      <c r="D32" s="120" t="n">
        <f aca="false">B32+C32</f>
        <v>0</v>
      </c>
    </row>
    <row r="33" customFormat="false" ht="14.25" hidden="false" customHeight="true" outlineLevel="0" collapsed="false">
      <c r="A33" s="120" t="s">
        <v>1575</v>
      </c>
      <c r="B33" s="120" t="n">
        <f aca="false">SUMIF(DATA_PIPELINE!$G$6:$G$601,A33,DATA_PIPELINE!$M$6:$M$601)</f>
        <v>0</v>
      </c>
      <c r="C33" s="120" t="n">
        <f aca="false">SUMIF(DATA_PIPELINE!$G$6:$G$601,A33,DATA_PIPELINE!$N$6:$N$601)</f>
        <v>0</v>
      </c>
      <c r="D33" s="120" t="n">
        <f aca="false">B33+C33</f>
        <v>0</v>
      </c>
    </row>
  </sheetData>
  <mergeCells count="14">
    <mergeCell ref="A1:L1"/>
    <mergeCell ref="A2:L2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</mergeCells>
  <conditionalFormatting sqref="E6">
    <cfRule type="colorScale" priority="2">
      <colorScale>
        <cfvo type="num" val="0"/>
        <cfvo type="num" val="0.5"/>
        <cfvo type="num" val="1"/>
        <color rgb="FFFECACA"/>
        <color rgb="FFFEF3C7"/>
        <color rgb="FFBBF7D0"/>
      </colorScale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H21" activeCellId="1" sqref="A1:L7 H21"/>
    </sheetView>
  </sheetViews>
  <sheetFormatPr defaultColWidth="8.73046875" defaultRowHeight="14.25" zeroHeight="false" outlineLevelRow="0" outlineLevelCol="0"/>
  <cols>
    <col collapsed="false" customWidth="true" hidden="false" outlineLevel="0" max="12" min="1" style="0" width="14"/>
  </cols>
  <sheetData>
    <row r="1" customFormat="false" ht="33.75" hidden="false" customHeight="true" outlineLevel="0" collapsed="false">
      <c r="A1" s="1" t="s">
        <v>3343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4.25" hidden="false" customHeight="true" outlineLevel="0" collapsed="false">
      <c r="A2" s="2" t="s">
        <v>3344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4.25" hidden="false" customHeight="true" outlineLevel="0" collapsed="false">
      <c r="A3" s="6" t="str">
        <f aca="false">HYPERLINK("#'HOME'!A1","HOME")</f>
        <v>HOME</v>
      </c>
      <c r="B3" s="6" t="str">
        <f aca="false">HYPERLINK("#'FARMERS'!A1","FARMERS")</f>
        <v>FARMERS</v>
      </c>
      <c r="C3" s="6" t="str">
        <f aca="false">HYPERLINK("#'SUBSCRIPTIONS'!A1","SUBSCRIPTIONS")</f>
        <v>SUBSCRIPTIONS</v>
      </c>
      <c r="D3" s="6" t="str">
        <f aca="false">HYPERLINK("#'PRODUCTION'!A1","PRODUCTION")</f>
        <v>PRODUCTION</v>
      </c>
      <c r="E3" s="6" t="str">
        <f aca="false">HYPERLINK("#'RECOVERY'!A1","RECOVERY")</f>
        <v>RECOVERY</v>
      </c>
      <c r="F3" s="6" t="str">
        <f aca="false">HYPERLINK("#'DELIVERIES'!A1","DELIVERIES")</f>
        <v>DELIVERIES</v>
      </c>
      <c r="G3" s="6" t="str">
        <f aca="false">HYPERLINK("#'FINANCE'!A1","FINANCE")</f>
        <v>FINANCE</v>
      </c>
      <c r="H3" s="6" t="str">
        <f aca="false">HYPERLINK("#'REPORTS'!A1","REPORTS")</f>
        <v>REPORTS</v>
      </c>
    </row>
    <row r="5" customFormat="false" ht="24" hidden="false" customHeight="true" outlineLevel="0" collapsed="false">
      <c r="A5" s="30" t="s">
        <v>3345</v>
      </c>
      <c r="B5" s="30"/>
      <c r="C5" s="30" t="s">
        <v>3346</v>
      </c>
      <c r="D5" s="30"/>
      <c r="E5" s="30" t="s">
        <v>3347</v>
      </c>
      <c r="F5" s="30"/>
      <c r="G5" s="30" t="s">
        <v>3348</v>
      </c>
      <c r="H5" s="30"/>
      <c r="I5" s="30" t="s">
        <v>3349</v>
      </c>
      <c r="J5" s="30"/>
      <c r="K5" s="30" t="s">
        <v>3350</v>
      </c>
      <c r="L5" s="30"/>
    </row>
    <row r="6" customFormat="false" ht="31.5" hidden="false" customHeight="true" outlineLevel="0" collapsed="false">
      <c r="A6" s="186" t="n">
        <f aca="false">COUNTA('INPUT DEBT'!$E$6:$E$569)</f>
        <v>563</v>
      </c>
      <c r="B6" s="186"/>
      <c r="C6" s="32" t="n">
        <f aca="false">SUM('INPUT DEBT'!$H$6:$H$569)</f>
        <v>3841770.06</v>
      </c>
      <c r="D6" s="32"/>
      <c r="E6" s="265" t="n">
        <f aca="false">SUM('INPUT DEBT'!$N$6:$N$569)</f>
        <v>2173.12</v>
      </c>
      <c r="F6" s="265"/>
      <c r="G6" s="265" t="n">
        <f aca="false">SUM('INPUT DEBT'!$O$6:$O$569)</f>
        <v>9104.35</v>
      </c>
      <c r="H6" s="265"/>
      <c r="I6" s="266" t="n">
        <f aca="false">IFERROR(SUM('INPUT DEBT'!$N$6:$N$569)/SUM('INPUT DEBT'!$M$6:$M$569),0)</f>
        <v>0.192695702138866</v>
      </c>
      <c r="J6" s="266"/>
      <c r="K6" s="32" t="n">
        <f aca="false">SUM('INPUT DEBT'!$O$6:$O$569)*340</f>
        <v>3095479</v>
      </c>
      <c r="L6" s="32"/>
    </row>
    <row r="9" customFormat="false" ht="17.25" hidden="false" customHeight="true" outlineLevel="0" collapsed="false">
      <c r="A9" s="34" t="s">
        <v>3351</v>
      </c>
    </row>
    <row r="10" customFormat="false" ht="14.25" hidden="false" customHeight="true" outlineLevel="0" collapsed="false">
      <c r="A10" s="187" t="s">
        <v>3352</v>
      </c>
      <c r="B10" s="187" t="s">
        <v>3353</v>
      </c>
      <c r="C10" s="187" t="s">
        <v>3354</v>
      </c>
      <c r="D10" s="187" t="s">
        <v>3355</v>
      </c>
    </row>
    <row r="11" customFormat="false" ht="14.25" hidden="false" customHeight="true" outlineLevel="0" collapsed="false">
      <c r="A11" s="120" t="s">
        <v>1488</v>
      </c>
      <c r="B11" s="267" t="n">
        <f aca="false">SUMIF('INPUT DEBT'!$B$6:$B$569,A11,'INPUT DEBT'!$H$6:$H$569)</f>
        <v>12235</v>
      </c>
      <c r="C11" s="267" t="n">
        <f aca="false">SUMIF('INPUT DEBT'!$B$6:$B$569,A11,'INPUT DEBT'!$N$6:$N$569)</f>
        <v>0</v>
      </c>
      <c r="D11" s="267" t="n">
        <f aca="false">SUMIF('INPUT DEBT'!$B$6:$B$569,A11,'INPUT DEBT'!$O$6:$O$569)</f>
        <v>35.99</v>
      </c>
    </row>
    <row r="12" customFormat="false" ht="14.25" hidden="false" customHeight="true" outlineLevel="0" collapsed="false">
      <c r="A12" s="120" t="s">
        <v>367</v>
      </c>
      <c r="B12" s="267" t="n">
        <f aca="false">SUMIF('INPUT DEBT'!$B$6:$B$569,A12,'INPUT DEBT'!$H$6:$H$569)</f>
        <v>205060</v>
      </c>
      <c r="C12" s="267" t="n">
        <f aca="false">SUMIF('INPUT DEBT'!$B$6:$B$569,A12,'INPUT DEBT'!$N$6:$N$569)</f>
        <v>543.36</v>
      </c>
      <c r="D12" s="267" t="n">
        <f aca="false">SUMIF('INPUT DEBT'!$B$6:$B$569,A12,'INPUT DEBT'!$O$6:$O$569)</f>
        <v>59.77</v>
      </c>
    </row>
    <row r="13" customFormat="false" ht="14.25" hidden="false" customHeight="true" outlineLevel="0" collapsed="false">
      <c r="A13" s="120" t="s">
        <v>193</v>
      </c>
      <c r="B13" s="267" t="n">
        <f aca="false">SUMIF('INPUT DEBT'!$B$6:$B$569,A13,'INPUT DEBT'!$H$6:$H$569)</f>
        <v>48616</v>
      </c>
      <c r="C13" s="267" t="n">
        <f aca="false">SUMIF('INPUT DEBT'!$B$6:$B$569,A13,'INPUT DEBT'!$N$6:$N$569)</f>
        <v>6.49</v>
      </c>
      <c r="D13" s="267" t="n">
        <f aca="false">SUMIF('INPUT DEBT'!$B$6:$B$569,A13,'INPUT DEBT'!$O$6:$O$569)</f>
        <v>136.51</v>
      </c>
    </row>
    <row r="14" customFormat="false" ht="14.25" hidden="false" customHeight="true" outlineLevel="0" collapsed="false">
      <c r="A14" s="120" t="s">
        <v>174</v>
      </c>
      <c r="B14" s="267" t="n">
        <f aca="false">SUMIF('INPUT DEBT'!$B$6:$B$569,A14,'INPUT DEBT'!$H$6:$H$569)</f>
        <v>3561280.15</v>
      </c>
      <c r="C14" s="267" t="n">
        <f aca="false">SUMIF('INPUT DEBT'!$B$6:$B$569,A14,'INPUT DEBT'!$N$6:$N$569)</f>
        <v>1611.78</v>
      </c>
      <c r="D14" s="267" t="n">
        <f aca="false">SUMIF('INPUT DEBT'!$B$6:$B$569,A14,'INPUT DEBT'!$O$6:$O$569)</f>
        <v>8840.68</v>
      </c>
    </row>
    <row r="15" customFormat="false" ht="14.25" hidden="false" customHeight="true" outlineLevel="0" collapsed="false">
      <c r="A15" s="120" t="s">
        <v>170</v>
      </c>
      <c r="B15" s="267" t="n">
        <f aca="false">SUMIF('INPUT DEBT'!$B$6:$B$569,A15,'INPUT DEBT'!$H$6:$H$569)</f>
        <v>14578.91</v>
      </c>
      <c r="C15" s="267" t="n">
        <f aca="false">SUMIF('INPUT DEBT'!$B$6:$B$569,A15,'INPUT DEBT'!$N$6:$N$569)</f>
        <v>11.49</v>
      </c>
      <c r="D15" s="267" t="n">
        <f aca="false">SUMIF('INPUT DEBT'!$B$6:$B$569,A15,'INPUT DEBT'!$O$6:$O$569)</f>
        <v>31.4</v>
      </c>
    </row>
    <row r="16" customFormat="false" ht="15" hidden="false" customHeight="true" outlineLevel="0" collapsed="false">
      <c r="A16" s="268" t="s">
        <v>1482</v>
      </c>
      <c r="B16" s="267" t="n">
        <f aca="false">SUMIF('INPUT DEBT'!$B$6:$B$569,A16,'INPUT DEBT'!$H$6:$H$569)</f>
        <v>0</v>
      </c>
      <c r="C16" s="267" t="n">
        <f aca="false">SUMIF('INPUT DEBT'!$B$6:$B$569,A16,'INPUT DEBT'!$N$6:$N$569)</f>
        <v>0</v>
      </c>
      <c r="D16" s="267" t="n">
        <f aca="false">SUMIF('INPUT DEBT'!$B$6:$B$569,A16,'INPUT DEBT'!$O$6:$O$569)</f>
        <v>0</v>
      </c>
    </row>
    <row r="17" customFormat="false" ht="15" hidden="false" customHeight="true" outlineLevel="0" collapsed="false">
      <c r="B17" s="120"/>
      <c r="C17" s="120"/>
      <c r="D17" s="120"/>
    </row>
    <row r="20" customFormat="false" ht="14.25" hidden="false" customHeight="true" outlineLevel="0" collapsed="false">
      <c r="A20" s="269" t="s">
        <v>3356</v>
      </c>
      <c r="B20" s="269" t="s">
        <v>1850</v>
      </c>
      <c r="C20" s="270" t="s">
        <v>127</v>
      </c>
    </row>
    <row r="21" customFormat="false" ht="21" hidden="false" customHeight="true" outlineLevel="0" collapsed="false">
      <c r="A21" s="271" t="n">
        <f aca="false">SUM('INPUT DEBT'!$N$6:$N$569)</f>
        <v>2173.12</v>
      </c>
      <c r="B21" s="271" t="n">
        <f aca="false">SUM('INPUT DEBT'!$O$6:$O$569)</f>
        <v>9104.35</v>
      </c>
      <c r="C21" s="271" t="n">
        <f aca="false">A21+B21</f>
        <v>11277.47</v>
      </c>
    </row>
  </sheetData>
  <mergeCells count="14">
    <mergeCell ref="A1:L1"/>
    <mergeCell ref="A2:L2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1" sqref="A1:L7 D10"/>
    </sheetView>
  </sheetViews>
  <sheetFormatPr defaultColWidth="8.73046875" defaultRowHeight="15" zeroHeight="false" outlineLevelRow="0" outlineLevelCol="0"/>
  <cols>
    <col collapsed="false" customWidth="true" hidden="false" outlineLevel="0" max="1" min="1" style="0" width="163.27"/>
    <col collapsed="false" customWidth="true" hidden="false" outlineLevel="0" max="2" min="2" style="0" width="32"/>
    <col collapsed="false" customWidth="true" hidden="false" outlineLevel="0" max="4" min="3" style="0" width="16"/>
    <col collapsed="false" customWidth="true" hidden="false" outlineLevel="0" max="5" min="5" style="0" width="22.54"/>
    <col collapsed="false" customWidth="true" hidden="false" outlineLevel="0" max="7" min="6" style="0" width="22"/>
    <col collapsed="false" customWidth="true" hidden="false" outlineLevel="0" max="8" min="8" style="0" width="12"/>
    <col collapsed="false" customWidth="true" hidden="false" outlineLevel="0" max="9" min="9" style="0" width="18"/>
  </cols>
  <sheetData>
    <row r="1" customFormat="false" ht="14.25" hidden="false" customHeight="true" outlineLevel="0" collapsed="false">
      <c r="A1" s="62" t="str">
        <f aca="false">HYPERLINK("#'HOME'!A1","HOME")</f>
        <v>HOME</v>
      </c>
      <c r="B1" s="63" t="str">
        <f aca="false">HYPERLINK("#'MAIZE BUDGET'!A1","MAIZE BUDGET")</f>
        <v>MAIZE BUDGET</v>
      </c>
      <c r="C1" s="63"/>
      <c r="D1" s="63" t="str">
        <f aca="false">HYPERLINK("#'PRODUCTION'!A1","PRODUCTION")</f>
        <v>PRODUCTION</v>
      </c>
      <c r="E1" s="64" t="str">
        <f aca="false">HYPERLINK("#'SUBSCRIPTIONS'!A1","SUBSCRIPTIONS")</f>
        <v>SUBSCRIPTIONS</v>
      </c>
      <c r="F1" s="64"/>
      <c r="G1" s="65"/>
      <c r="H1" s="66"/>
    </row>
    <row r="2" customFormat="false" ht="24" hidden="false" customHeight="true" outlineLevel="0" collapsed="false">
      <c r="A2" s="67" t="s">
        <v>3357</v>
      </c>
      <c r="H2" s="68"/>
    </row>
    <row r="3" customFormat="false" ht="22.5" hidden="false" customHeight="true" outlineLevel="0" collapsed="false">
      <c r="A3" s="69" t="s">
        <v>3358</v>
      </c>
    </row>
    <row r="4" customFormat="false" ht="14.25" hidden="false" customHeight="true" outlineLevel="0" collapsed="false">
      <c r="A4" s="70"/>
      <c r="H4" s="68"/>
    </row>
    <row r="5" customFormat="false" ht="14.25" hidden="false" customHeight="true" outlineLevel="0" collapsed="false">
      <c r="A5" s="71" t="s">
        <v>3359</v>
      </c>
      <c r="H5" s="68"/>
    </row>
    <row r="6" customFormat="false" ht="14.25" hidden="false" customHeight="true" outlineLevel="0" collapsed="false">
      <c r="A6" s="70"/>
      <c r="H6" s="68"/>
    </row>
    <row r="7" customFormat="false" ht="14.25" hidden="false" customHeight="true" outlineLevel="0" collapsed="false">
      <c r="A7" s="70" t="s">
        <v>3360</v>
      </c>
      <c r="B7" s="72" t="s">
        <v>3361</v>
      </c>
      <c r="C7" s="73" t="s">
        <v>3362</v>
      </c>
      <c r="D7" s="73" t="s">
        <v>3363</v>
      </c>
      <c r="E7" s="73" t="s">
        <v>3364</v>
      </c>
      <c r="F7" s="73"/>
      <c r="G7" s="74"/>
      <c r="H7" s="75"/>
    </row>
    <row r="8" customFormat="false" ht="14.25" hidden="false" customHeight="true" outlineLevel="0" collapsed="false">
      <c r="A8" s="76" t="s">
        <v>3365</v>
      </c>
      <c r="B8" s="272"/>
      <c r="C8" s="272"/>
      <c r="D8" s="272" t="n">
        <f aca="false">IFERROR(B8*C8,0)</f>
        <v>0</v>
      </c>
      <c r="E8" s="272" t="n">
        <f aca="false">D8*20000</f>
        <v>0</v>
      </c>
      <c r="F8" s="73"/>
      <c r="G8" s="74"/>
      <c r="H8" s="75"/>
    </row>
    <row r="9" customFormat="false" ht="14.25" hidden="false" customHeight="true" outlineLevel="0" collapsed="false">
      <c r="A9" s="77" t="s">
        <v>3366</v>
      </c>
      <c r="B9" s="273" t="n">
        <v>1</v>
      </c>
      <c r="C9" s="273" t="n">
        <v>80</v>
      </c>
      <c r="D9" s="274" t="n">
        <f aca="false">IFERROR(B9*C9,0)</f>
        <v>80</v>
      </c>
      <c r="E9" s="274" t="n">
        <f aca="false">D9*20000</f>
        <v>1600000</v>
      </c>
      <c r="F9" s="78"/>
      <c r="G9" s="79"/>
      <c r="H9" s="80"/>
      <c r="I9" s="80"/>
    </row>
    <row r="10" customFormat="false" ht="14.25" hidden="false" customHeight="true" outlineLevel="0" collapsed="false">
      <c r="A10" s="81" t="s">
        <v>3367</v>
      </c>
      <c r="B10" s="275" t="n">
        <v>1</v>
      </c>
      <c r="C10" s="275" t="n">
        <v>80</v>
      </c>
      <c r="D10" s="275" t="n">
        <f aca="false">IFERROR(B10*C10,0)</f>
        <v>80</v>
      </c>
      <c r="E10" s="275" t="n">
        <f aca="false">D10*20000</f>
        <v>1600000</v>
      </c>
      <c r="F10" s="82"/>
      <c r="G10" s="83"/>
      <c r="H10" s="84"/>
      <c r="I10" s="85"/>
    </row>
    <row r="11" customFormat="false" ht="14.25" hidden="false" customHeight="true" outlineLevel="0" collapsed="false">
      <c r="A11" s="86" t="s">
        <v>3368</v>
      </c>
      <c r="B11" s="275" t="n">
        <v>5</v>
      </c>
      <c r="C11" s="275" t="n">
        <v>30</v>
      </c>
      <c r="D11" s="275" t="n">
        <f aca="false">IFERROR(B11*C11,0)</f>
        <v>150</v>
      </c>
      <c r="E11" s="275" t="n">
        <f aca="false">D11*20000</f>
        <v>3000000</v>
      </c>
      <c r="F11" s="82"/>
      <c r="G11" s="83"/>
      <c r="H11" s="84"/>
      <c r="I11" s="85"/>
    </row>
    <row r="12" customFormat="false" ht="14.25" hidden="false" customHeight="true" outlineLevel="0" collapsed="false">
      <c r="A12" s="86"/>
      <c r="B12" s="275"/>
      <c r="C12" s="275"/>
      <c r="D12" s="275" t="n">
        <f aca="false">IFERROR(B12*C12,0)</f>
        <v>0</v>
      </c>
      <c r="E12" s="275" t="n">
        <f aca="false">D12*20000</f>
        <v>0</v>
      </c>
      <c r="F12" s="82"/>
      <c r="G12" s="83"/>
      <c r="H12" s="84"/>
      <c r="I12" s="85"/>
    </row>
    <row r="13" customFormat="false" ht="14.25" hidden="false" customHeight="true" outlineLevel="0" collapsed="false">
      <c r="A13" s="81" t="s">
        <v>3369</v>
      </c>
      <c r="B13" s="275"/>
      <c r="C13" s="275"/>
      <c r="D13" s="275" t="n">
        <f aca="false">IFERROR(B13*C13,0)</f>
        <v>0</v>
      </c>
      <c r="E13" s="275" t="n">
        <f aca="false">D13*20000</f>
        <v>0</v>
      </c>
      <c r="F13" s="82"/>
      <c r="G13" s="83"/>
      <c r="H13" s="84"/>
      <c r="I13" s="85"/>
    </row>
    <row r="14" customFormat="false" ht="14.25" hidden="false" customHeight="true" outlineLevel="0" collapsed="false">
      <c r="A14" s="86" t="s">
        <v>3370</v>
      </c>
      <c r="B14" s="275" t="n">
        <v>25</v>
      </c>
      <c r="C14" s="275" t="n">
        <v>4.5</v>
      </c>
      <c r="D14" s="275" t="n">
        <f aca="false">IFERROR(B14*C14,0)</f>
        <v>112.5</v>
      </c>
      <c r="E14" s="275" t="n">
        <f aca="false">D14*20000</f>
        <v>2250000</v>
      </c>
      <c r="F14" s="82"/>
      <c r="G14" s="83"/>
      <c r="H14" s="84"/>
      <c r="I14" s="85"/>
    </row>
    <row r="15" customFormat="false" ht="14.25" hidden="false" customHeight="true" outlineLevel="0" collapsed="false">
      <c r="A15" s="86" t="s">
        <v>3371</v>
      </c>
      <c r="B15" s="275" t="n">
        <v>6</v>
      </c>
      <c r="C15" s="275" t="n">
        <v>31</v>
      </c>
      <c r="D15" s="275" t="n">
        <f aca="false">IFERROR(B15*C15,0)</f>
        <v>186</v>
      </c>
      <c r="E15" s="275" t="n">
        <f aca="false">D15*20000</f>
        <v>3720000</v>
      </c>
      <c r="F15" s="82"/>
      <c r="G15" s="83"/>
      <c r="H15" s="84"/>
      <c r="I15" s="85"/>
    </row>
    <row r="16" customFormat="false" ht="14.25" hidden="false" customHeight="true" outlineLevel="0" collapsed="false">
      <c r="A16" s="86" t="s">
        <v>3372</v>
      </c>
      <c r="B16" s="275" t="n">
        <v>6</v>
      </c>
      <c r="C16" s="275" t="n">
        <v>36</v>
      </c>
      <c r="D16" s="275" t="n">
        <f aca="false">IFERROR(B16*C16,0)</f>
        <v>216</v>
      </c>
      <c r="E16" s="275" t="n">
        <f aca="false">D16*20000</f>
        <v>4320000</v>
      </c>
      <c r="F16" s="82"/>
      <c r="G16" s="83"/>
      <c r="H16" s="84"/>
      <c r="I16" s="85"/>
    </row>
    <row r="17" customFormat="false" ht="14.25" hidden="false" customHeight="true" outlineLevel="0" collapsed="false">
      <c r="A17" s="81"/>
      <c r="B17" s="275"/>
      <c r="C17" s="275"/>
      <c r="D17" s="275" t="n">
        <f aca="false">IFERROR(B17*C17,0)</f>
        <v>0</v>
      </c>
      <c r="E17" s="275" t="n">
        <f aca="false">D17*20000</f>
        <v>0</v>
      </c>
      <c r="F17" s="82"/>
      <c r="G17" s="83"/>
      <c r="H17" s="84"/>
      <c r="I17" s="85"/>
    </row>
    <row r="18" customFormat="false" ht="14.25" hidden="false" customHeight="true" outlineLevel="0" collapsed="false">
      <c r="A18" s="86" t="s">
        <v>3373</v>
      </c>
      <c r="B18" s="275"/>
      <c r="C18" s="275"/>
      <c r="D18" s="275" t="n">
        <f aca="false">IFERROR(B18*C18,0)</f>
        <v>0</v>
      </c>
      <c r="E18" s="275" t="n">
        <f aca="false">D18*20000</f>
        <v>0</v>
      </c>
      <c r="F18" s="82"/>
      <c r="G18" s="83"/>
      <c r="H18" s="84"/>
      <c r="I18" s="85"/>
    </row>
    <row r="19" customFormat="false" ht="14.25" hidden="false" customHeight="true" outlineLevel="0" collapsed="false">
      <c r="A19" s="86" t="s">
        <v>3374</v>
      </c>
      <c r="B19" s="275" t="n">
        <v>3</v>
      </c>
      <c r="C19" s="275" t="n">
        <v>8</v>
      </c>
      <c r="D19" s="275" t="n">
        <f aca="false">IFERROR(B19*C19,0)</f>
        <v>24</v>
      </c>
      <c r="E19" s="275" t="n">
        <f aca="false">D19*20000</f>
        <v>480000</v>
      </c>
      <c r="F19" s="82"/>
      <c r="G19" s="83"/>
      <c r="H19" s="84"/>
      <c r="I19" s="85"/>
    </row>
    <row r="20" customFormat="false" ht="14.25" hidden="false" customHeight="true" outlineLevel="0" collapsed="false">
      <c r="A20" s="86" t="s">
        <v>3375</v>
      </c>
      <c r="B20" s="275" t="n">
        <v>3</v>
      </c>
      <c r="C20" s="275" t="n">
        <v>5</v>
      </c>
      <c r="D20" s="275" t="n">
        <f aca="false">IFERROR(B20*C20,0)</f>
        <v>15</v>
      </c>
      <c r="E20" s="275" t="n">
        <f aca="false">D20*20000</f>
        <v>300000</v>
      </c>
      <c r="F20" s="82"/>
      <c r="G20" s="83"/>
      <c r="H20" s="84"/>
      <c r="I20" s="87"/>
    </row>
    <row r="21" customFormat="false" ht="14.25" hidden="false" customHeight="true" outlineLevel="0" collapsed="false">
      <c r="A21" s="86" t="s">
        <v>3376</v>
      </c>
      <c r="B21" s="275" t="n">
        <v>2</v>
      </c>
      <c r="C21" s="275" t="n">
        <v>12</v>
      </c>
      <c r="D21" s="275" t="n">
        <f aca="false">IFERROR(B21*C21,0)</f>
        <v>24</v>
      </c>
      <c r="E21" s="275" t="n">
        <f aca="false">D21*20000</f>
        <v>480000</v>
      </c>
      <c r="F21" s="82"/>
      <c r="G21" s="83"/>
      <c r="H21" s="84"/>
      <c r="I21" s="85"/>
    </row>
    <row r="22" customFormat="false" ht="14.25" hidden="false" customHeight="true" outlineLevel="0" collapsed="false">
      <c r="A22" s="81" t="s">
        <v>3377</v>
      </c>
      <c r="B22" s="275" t="n">
        <v>2</v>
      </c>
      <c r="C22" s="275" t="n">
        <v>12</v>
      </c>
      <c r="D22" s="275" t="n">
        <f aca="false">IFERROR(B22*C22,0)</f>
        <v>24</v>
      </c>
      <c r="E22" s="275" t="n">
        <f aca="false">D22*20000</f>
        <v>480000</v>
      </c>
      <c r="F22" s="82"/>
      <c r="G22" s="83"/>
      <c r="H22" s="84"/>
      <c r="I22" s="85"/>
    </row>
    <row r="23" customFormat="false" ht="14.25" hidden="false" customHeight="true" outlineLevel="0" collapsed="false">
      <c r="A23" s="88" t="s">
        <v>3378</v>
      </c>
      <c r="B23" s="276" t="n">
        <v>0.5</v>
      </c>
      <c r="C23" s="275" t="n">
        <v>50</v>
      </c>
      <c r="D23" s="275" t="n">
        <f aca="false">IFERROR(B23*C23,0)</f>
        <v>25</v>
      </c>
      <c r="E23" s="275" t="n">
        <f aca="false">D23*20000</f>
        <v>500000</v>
      </c>
      <c r="F23" s="82"/>
      <c r="G23" s="83"/>
      <c r="H23" s="84"/>
      <c r="I23" s="85"/>
    </row>
    <row r="24" customFormat="false" ht="14.25" hidden="false" customHeight="true" outlineLevel="0" collapsed="false">
      <c r="A24" s="86"/>
      <c r="B24" s="275"/>
      <c r="C24" s="275"/>
      <c r="D24" s="275" t="n">
        <f aca="false">IFERROR(B24*C24,0)</f>
        <v>0</v>
      </c>
      <c r="E24" s="275" t="n">
        <f aca="false">D24*20000</f>
        <v>0</v>
      </c>
      <c r="F24" s="82"/>
      <c r="G24" s="83"/>
      <c r="H24" s="84"/>
      <c r="I24" s="85"/>
    </row>
    <row r="25" customFormat="false" ht="14.25" hidden="false" customHeight="true" outlineLevel="0" collapsed="false">
      <c r="A25" s="86" t="s">
        <v>3379</v>
      </c>
      <c r="B25" s="275" t="n">
        <v>1</v>
      </c>
      <c r="C25" s="275" t="n">
        <v>80</v>
      </c>
      <c r="D25" s="275" t="n">
        <f aca="false">IFERROR(B25*C25,0)</f>
        <v>80</v>
      </c>
      <c r="E25" s="275" t="n">
        <f aca="false">D25*20000</f>
        <v>1600000</v>
      </c>
      <c r="F25" s="82"/>
      <c r="G25" s="83"/>
      <c r="H25" s="84"/>
      <c r="I25" s="85"/>
    </row>
    <row r="26" customFormat="false" ht="14.25" hidden="false" customHeight="true" outlineLevel="0" collapsed="false">
      <c r="A26" s="86" t="s">
        <v>3380</v>
      </c>
      <c r="B26" s="275" t="n">
        <v>1</v>
      </c>
      <c r="C26" s="275" t="n">
        <v>50</v>
      </c>
      <c r="D26" s="275" t="n">
        <f aca="false">IFERROR(B26*C26,0)</f>
        <v>50</v>
      </c>
      <c r="E26" s="275" t="n">
        <f aca="false">D26*20000</f>
        <v>1000000</v>
      </c>
      <c r="F26" s="82"/>
      <c r="G26" s="83"/>
      <c r="H26" s="84"/>
      <c r="I26" s="85"/>
    </row>
    <row r="27" customFormat="false" ht="14.25" hidden="false" customHeight="true" outlineLevel="0" collapsed="false">
      <c r="A27" s="88" t="s">
        <v>3381</v>
      </c>
      <c r="B27" s="276"/>
      <c r="C27" s="275"/>
      <c r="D27" s="275" t="n">
        <f aca="false">IFERROR(B27*C27,0)</f>
        <v>0</v>
      </c>
      <c r="E27" s="275" t="n">
        <f aca="false">D27*20000</f>
        <v>0</v>
      </c>
      <c r="F27" s="82"/>
      <c r="G27" s="83"/>
      <c r="H27" s="84"/>
      <c r="I27" s="85"/>
    </row>
    <row r="28" customFormat="false" ht="14.25" hidden="false" customHeight="true" outlineLevel="0" collapsed="false">
      <c r="A28" s="86" t="s">
        <v>3382</v>
      </c>
      <c r="B28" s="275" t="n">
        <v>1</v>
      </c>
      <c r="C28" s="275"/>
      <c r="D28" s="275" t="n">
        <f aca="false">IFERROR(B28*C28,0)</f>
        <v>0</v>
      </c>
      <c r="E28" s="275" t="n">
        <f aca="false">D28*20000</f>
        <v>0</v>
      </c>
      <c r="F28" s="82"/>
      <c r="G28" s="83"/>
      <c r="H28" s="84"/>
      <c r="I28" s="85"/>
    </row>
    <row r="29" customFormat="false" ht="14.25" hidden="false" customHeight="true" outlineLevel="0" collapsed="false">
      <c r="A29" s="86" t="s">
        <v>3383</v>
      </c>
      <c r="B29" s="275"/>
      <c r="C29" s="275"/>
      <c r="D29" s="275" t="n">
        <f aca="false">IFERROR(B29*C29,0)</f>
        <v>0</v>
      </c>
      <c r="E29" s="275" t="n">
        <f aca="false">D29*20000</f>
        <v>0</v>
      </c>
      <c r="F29" s="82"/>
      <c r="G29" s="83"/>
      <c r="H29" s="84"/>
      <c r="I29" s="85"/>
    </row>
    <row r="30" customFormat="false" ht="14.25" hidden="false" customHeight="true" outlineLevel="0" collapsed="false">
      <c r="A30" s="88" t="s">
        <v>3383</v>
      </c>
      <c r="B30" s="276"/>
      <c r="C30" s="275"/>
      <c r="D30" s="275" t="n">
        <f aca="false">SUM(D8:D29)</f>
        <v>1066.5</v>
      </c>
      <c r="E30" s="275" t="n">
        <f aca="false">SUM(E8:E29)</f>
        <v>21330000</v>
      </c>
      <c r="F30" s="82"/>
      <c r="G30" s="83"/>
      <c r="H30" s="84"/>
      <c r="I30" s="85"/>
    </row>
    <row r="31" customFormat="false" ht="14.25" hidden="false" customHeight="true" outlineLevel="0" collapsed="false">
      <c r="A31" s="86"/>
      <c r="B31" s="82"/>
      <c r="C31" s="82"/>
      <c r="D31" s="82"/>
      <c r="E31" s="82"/>
      <c r="F31" s="82"/>
      <c r="G31" s="83"/>
      <c r="H31" s="84"/>
      <c r="I31" s="85"/>
    </row>
    <row r="32" customFormat="false" ht="14.25" hidden="false" customHeight="true" outlineLevel="0" collapsed="false">
      <c r="A32" s="86"/>
      <c r="B32" s="82"/>
      <c r="C32" s="82"/>
      <c r="D32" s="82"/>
      <c r="E32" s="82"/>
      <c r="F32" s="82"/>
      <c r="G32" s="83"/>
      <c r="H32" s="84"/>
      <c r="I32" s="85"/>
    </row>
    <row r="33" customFormat="false" ht="14.25" hidden="false" customHeight="true" outlineLevel="0" collapsed="false">
      <c r="A33" s="86" t="s">
        <v>128</v>
      </c>
      <c r="B33" s="82"/>
      <c r="C33" s="82"/>
      <c r="D33" s="82"/>
      <c r="E33" s="82"/>
      <c r="F33" s="82"/>
      <c r="G33" s="83"/>
      <c r="H33" s="84"/>
      <c r="I33" s="85"/>
    </row>
    <row r="34" customFormat="false" ht="14.25" hidden="false" customHeight="true" outlineLevel="0" collapsed="false">
      <c r="A34" s="81" t="s">
        <v>129</v>
      </c>
      <c r="B34" s="82" t="s">
        <v>130</v>
      </c>
      <c r="C34" s="82" t="s">
        <v>82</v>
      </c>
      <c r="D34" s="82" t="s">
        <v>83</v>
      </c>
      <c r="E34" s="82" t="s">
        <v>131</v>
      </c>
      <c r="F34" s="82" t="s">
        <v>132</v>
      </c>
      <c r="G34" s="83" t="s">
        <v>49</v>
      </c>
      <c r="H34" s="84" t="s">
        <v>133</v>
      </c>
      <c r="I34" s="85"/>
    </row>
    <row r="35" customFormat="false" ht="14.25" hidden="false" customHeight="true" outlineLevel="0" collapsed="false">
      <c r="A35" s="81" t="s">
        <v>73</v>
      </c>
      <c r="B35" s="82" t="s">
        <v>3384</v>
      </c>
      <c r="C35" s="275" t="n">
        <f aca="false">C9</f>
        <v>80</v>
      </c>
      <c r="D35" s="82" t="s">
        <v>3385</v>
      </c>
      <c r="E35" s="275" t="n">
        <f aca="false">D9</f>
        <v>80</v>
      </c>
      <c r="F35" s="275" t="n">
        <f aca="false">E35*20000</f>
        <v>1600000</v>
      </c>
      <c r="G35" s="277" t="n">
        <f aca="false">E35*HOME!$G$53</f>
        <v>156000</v>
      </c>
      <c r="H35" s="84" t="n">
        <v>9</v>
      </c>
      <c r="I35" s="85"/>
    </row>
    <row r="36" customFormat="false" ht="14.25" hidden="false" customHeight="true" outlineLevel="0" collapsed="false">
      <c r="A36" s="81" t="s">
        <v>73</v>
      </c>
      <c r="B36" s="82" t="s">
        <v>3386</v>
      </c>
      <c r="C36" s="275" t="n">
        <f aca="false">C10</f>
        <v>80</v>
      </c>
      <c r="D36" s="82" t="s">
        <v>3385</v>
      </c>
      <c r="E36" s="275" t="n">
        <f aca="false">D10</f>
        <v>80</v>
      </c>
      <c r="F36" s="275" t="n">
        <f aca="false">E36*20000</f>
        <v>1600000</v>
      </c>
      <c r="G36" s="277" t="n">
        <f aca="false">E36*HOME!$G$53</f>
        <v>156000</v>
      </c>
      <c r="H36" s="84" t="n">
        <v>10</v>
      </c>
      <c r="I36" s="85"/>
    </row>
    <row r="37" customFormat="false" ht="14.25" hidden="false" customHeight="true" outlineLevel="0" collapsed="false">
      <c r="A37" s="81" t="s">
        <v>73</v>
      </c>
      <c r="B37" s="82" t="s">
        <v>3387</v>
      </c>
      <c r="C37" s="275" t="n">
        <f aca="false">C11</f>
        <v>30</v>
      </c>
      <c r="D37" s="82" t="s">
        <v>3385</v>
      </c>
      <c r="E37" s="275" t="n">
        <f aca="false">D11</f>
        <v>150</v>
      </c>
      <c r="F37" s="275" t="n">
        <f aca="false">E37*20000</f>
        <v>3000000</v>
      </c>
      <c r="G37" s="277" t="n">
        <f aca="false">E37*HOME!$G$53</f>
        <v>292500</v>
      </c>
      <c r="H37" s="84" t="n">
        <v>11</v>
      </c>
      <c r="I37" s="85"/>
    </row>
    <row r="38" customFormat="false" ht="14.25" hidden="false" customHeight="true" outlineLevel="0" collapsed="false">
      <c r="A38" s="90" t="s">
        <v>74</v>
      </c>
      <c r="B38" s="91" t="s">
        <v>3388</v>
      </c>
      <c r="C38" s="278" t="n">
        <f aca="false">C14</f>
        <v>4.5</v>
      </c>
      <c r="D38" s="91" t="s">
        <v>3385</v>
      </c>
      <c r="E38" s="278" t="n">
        <f aca="false">D14</f>
        <v>112.5</v>
      </c>
      <c r="F38" s="278" t="n">
        <f aca="false">E38*20000</f>
        <v>2250000</v>
      </c>
      <c r="G38" s="279" t="n">
        <f aca="false">E38*HOME!$G$53</f>
        <v>219375</v>
      </c>
      <c r="H38" s="93" t="n">
        <v>14</v>
      </c>
      <c r="I38" s="93"/>
    </row>
    <row r="39" customFormat="false" ht="14.25" hidden="false" customHeight="true" outlineLevel="0" collapsed="false">
      <c r="A39" s="0" t="s">
        <v>74</v>
      </c>
      <c r="B39" s="0" t="s">
        <v>3371</v>
      </c>
      <c r="C39" s="58" t="n">
        <f aca="false">C15</f>
        <v>31</v>
      </c>
      <c r="D39" s="0" t="s">
        <v>3385</v>
      </c>
      <c r="E39" s="58" t="n">
        <f aca="false">D15</f>
        <v>186</v>
      </c>
      <c r="F39" s="58" t="n">
        <f aca="false">E39*20000</f>
        <v>3720000</v>
      </c>
      <c r="G39" s="58" t="n">
        <f aca="false">E39*HOME!$G$53</f>
        <v>362700</v>
      </c>
      <c r="H39" s="0" t="n">
        <v>15</v>
      </c>
    </row>
    <row r="40" customFormat="false" ht="14.25" hidden="false" customHeight="true" outlineLevel="0" collapsed="false">
      <c r="A40" s="0" t="s">
        <v>74</v>
      </c>
      <c r="B40" s="0" t="s">
        <v>3372</v>
      </c>
      <c r="C40" s="58" t="n">
        <f aca="false">C16</f>
        <v>36</v>
      </c>
      <c r="D40" s="0" t="s">
        <v>3385</v>
      </c>
      <c r="E40" s="58" t="n">
        <f aca="false">D16</f>
        <v>216</v>
      </c>
      <c r="F40" s="58" t="n">
        <f aca="false">E40*20000</f>
        <v>4320000</v>
      </c>
      <c r="G40" s="58" t="n">
        <f aca="false">E40*HOME!$G$53</f>
        <v>421200</v>
      </c>
      <c r="H40" s="0" t="n">
        <v>16</v>
      </c>
    </row>
    <row r="41" customFormat="false" ht="14.25" hidden="false" customHeight="true" outlineLevel="0" collapsed="false">
      <c r="A41" s="0" t="s">
        <v>75</v>
      </c>
      <c r="B41" s="0" t="s">
        <v>3389</v>
      </c>
      <c r="C41" s="58" t="n">
        <f aca="false">C19</f>
        <v>8</v>
      </c>
      <c r="D41" s="0" t="s">
        <v>3385</v>
      </c>
      <c r="E41" s="58" t="n">
        <f aca="false">D19</f>
        <v>24</v>
      </c>
      <c r="F41" s="58" t="n">
        <f aca="false">E41*20000</f>
        <v>480000</v>
      </c>
      <c r="G41" s="58" t="n">
        <f aca="false">E41*HOME!$G$53</f>
        <v>46800</v>
      </c>
      <c r="H41" s="0" t="n">
        <v>19</v>
      </c>
    </row>
    <row r="42" customFormat="false" ht="14.25" hidden="false" customHeight="true" outlineLevel="0" collapsed="false">
      <c r="A42" s="0" t="s">
        <v>75</v>
      </c>
      <c r="B42" s="0" t="s">
        <v>3375</v>
      </c>
      <c r="C42" s="58" t="n">
        <f aca="false">C20</f>
        <v>5</v>
      </c>
      <c r="D42" s="0" t="s">
        <v>3385</v>
      </c>
      <c r="E42" s="58" t="n">
        <f aca="false">D20</f>
        <v>15</v>
      </c>
      <c r="F42" s="58" t="n">
        <f aca="false">E42*20000</f>
        <v>300000</v>
      </c>
      <c r="G42" s="58" t="n">
        <f aca="false">E42*HOME!$G$53</f>
        <v>29250</v>
      </c>
      <c r="H42" s="0" t="n">
        <v>20</v>
      </c>
    </row>
    <row r="43" customFormat="false" ht="14.25" hidden="false" customHeight="true" outlineLevel="0" collapsed="false">
      <c r="A43" s="0" t="s">
        <v>75</v>
      </c>
      <c r="B43" s="0" t="s">
        <v>3376</v>
      </c>
      <c r="C43" s="58" t="n">
        <f aca="false">C21</f>
        <v>12</v>
      </c>
      <c r="D43" s="0" t="s">
        <v>3385</v>
      </c>
      <c r="E43" s="58" t="n">
        <f aca="false">D21</f>
        <v>24</v>
      </c>
      <c r="F43" s="58" t="n">
        <f aca="false">E43*20000</f>
        <v>480000</v>
      </c>
      <c r="G43" s="58" t="n">
        <f aca="false">E43*HOME!$G$53</f>
        <v>46800</v>
      </c>
      <c r="H43" s="0" t="n">
        <v>21</v>
      </c>
    </row>
    <row r="44" customFormat="false" ht="14.25" hidden="false" customHeight="true" outlineLevel="0" collapsed="false">
      <c r="A44" s="0" t="s">
        <v>75</v>
      </c>
      <c r="B44" s="0" t="s">
        <v>3377</v>
      </c>
      <c r="C44" s="58" t="n">
        <f aca="false">C22</f>
        <v>12</v>
      </c>
      <c r="D44" s="0" t="s">
        <v>3385</v>
      </c>
      <c r="E44" s="58" t="n">
        <f aca="false">D22</f>
        <v>24</v>
      </c>
      <c r="F44" s="58" t="n">
        <f aca="false">E44*20000</f>
        <v>480000</v>
      </c>
      <c r="G44" s="58" t="n">
        <f aca="false">E44*HOME!$G$53</f>
        <v>46800</v>
      </c>
      <c r="H44" s="0" t="n">
        <v>22</v>
      </c>
    </row>
    <row r="45" customFormat="false" ht="14.25" hidden="false" customHeight="true" outlineLevel="0" collapsed="false">
      <c r="A45" s="0" t="s">
        <v>75</v>
      </c>
      <c r="B45" s="0" t="s">
        <v>3378</v>
      </c>
      <c r="C45" s="58" t="n">
        <f aca="false">C23</f>
        <v>50</v>
      </c>
      <c r="D45" s="0" t="s">
        <v>3385</v>
      </c>
      <c r="E45" s="58" t="n">
        <f aca="false">D23</f>
        <v>25</v>
      </c>
      <c r="F45" s="58" t="n">
        <f aca="false">E45*20000</f>
        <v>500000</v>
      </c>
      <c r="G45" s="58" t="n">
        <f aca="false">E45*HOME!$G$53</f>
        <v>48750</v>
      </c>
      <c r="H45" s="0" t="n">
        <v>23</v>
      </c>
    </row>
    <row r="46" customFormat="false" ht="16.5" hidden="false" customHeight="true" outlineLevel="0" collapsed="false">
      <c r="A46" s="280" t="s">
        <v>77</v>
      </c>
      <c r="B46" s="0" t="s">
        <v>3379</v>
      </c>
      <c r="C46" s="58" t="n">
        <f aca="false">C25</f>
        <v>80</v>
      </c>
      <c r="D46" s="0" t="s">
        <v>3385</v>
      </c>
      <c r="E46" s="58" t="n">
        <f aca="false">D25</f>
        <v>80</v>
      </c>
      <c r="F46" s="58" t="n">
        <f aca="false">E46*20000</f>
        <v>1600000</v>
      </c>
      <c r="G46" s="58" t="n">
        <f aca="false">E46*HOME!$G$53</f>
        <v>156000</v>
      </c>
      <c r="H46" s="0" t="n">
        <v>25</v>
      </c>
    </row>
    <row r="47" customFormat="false" ht="14.25" hidden="false" customHeight="true" outlineLevel="0" collapsed="false">
      <c r="A47" s="45" t="s">
        <v>67</v>
      </c>
      <c r="B47" s="45" t="s">
        <v>3380</v>
      </c>
      <c r="C47" s="281" t="n">
        <f aca="false">C26</f>
        <v>50</v>
      </c>
      <c r="D47" s="45" t="s">
        <v>3385</v>
      </c>
      <c r="E47" s="281" t="n">
        <f aca="false">D26</f>
        <v>50</v>
      </c>
      <c r="F47" s="281" t="n">
        <f aca="false">E47*20000</f>
        <v>1000000</v>
      </c>
      <c r="G47" s="281" t="n">
        <f aca="false">E47*HOME!$G$53</f>
        <v>97500</v>
      </c>
      <c r="H47" s="45" t="n">
        <v>26</v>
      </c>
    </row>
    <row r="48" customFormat="false" ht="14.25" hidden="false" customHeight="true" outlineLevel="0" collapsed="false">
      <c r="A48" s="0" t="s">
        <v>78</v>
      </c>
      <c r="B48" s="0" t="s">
        <v>3390</v>
      </c>
      <c r="C48" s="58" t="n">
        <f aca="false">0.05*SUM(E35:E47)</f>
        <v>53.325</v>
      </c>
      <c r="D48" s="0" t="s">
        <v>3385</v>
      </c>
      <c r="E48" s="58" t="n">
        <f aca="false">C48</f>
        <v>53.325</v>
      </c>
      <c r="F48" s="58" t="n">
        <f aca="false">E48*20000</f>
        <v>1066500</v>
      </c>
      <c r="G48" s="58" t="n">
        <f aca="false">E48*HOME!$G$53</f>
        <v>103983.75</v>
      </c>
      <c r="H48" s="0" t="n">
        <v>25</v>
      </c>
    </row>
    <row r="49" customFormat="false" ht="14.25" hidden="false" customHeight="true" outlineLevel="0" collapsed="false">
      <c r="A49" s="0" t="s">
        <v>70</v>
      </c>
      <c r="C49" s="58"/>
      <c r="E49" s="58" t="n">
        <f aca="false">SUM(E35:E48)</f>
        <v>1119.825</v>
      </c>
      <c r="F49" s="58" t="n">
        <f aca="false">SUM(F35:F48)</f>
        <v>22396500</v>
      </c>
      <c r="G49" s="58" t="n">
        <f aca="false">SUM(G35:G48)</f>
        <v>2183658.75</v>
      </c>
    </row>
    <row r="50" customFormat="false" ht="14.25" hidden="false" customHeight="true" outlineLevel="0" collapsed="false">
      <c r="C50" s="94"/>
      <c r="E50" s="46"/>
      <c r="F50" s="46"/>
      <c r="G50" s="46"/>
    </row>
    <row r="51" customFormat="false" ht="14.25" hidden="false" customHeight="true" outlineLevel="0" collapsed="false">
      <c r="A51" s="0" t="s">
        <v>3391</v>
      </c>
      <c r="C51" s="94"/>
      <c r="E51" s="46"/>
      <c r="F51" s="46"/>
      <c r="G51" s="46"/>
    </row>
    <row r="52" customFormat="false" ht="14.25" hidden="false" customHeight="true" outlineLevel="0" collapsed="false">
      <c r="C52" s="94"/>
      <c r="E52" s="46"/>
      <c r="F52" s="46"/>
      <c r="G52" s="4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8" activeCellId="1" sqref="A1:L7 B8"/>
    </sheetView>
  </sheetViews>
  <sheetFormatPr defaultColWidth="8.6796875" defaultRowHeight="12.8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20"/>
    <col collapsed="false" customWidth="true" hidden="false" outlineLevel="0" max="5" min="4" style="0" width="18"/>
  </cols>
  <sheetData>
    <row r="1" customFormat="false" ht="18" hidden="false" customHeight="true" outlineLevel="0" collapsed="false">
      <c r="A1" s="282" t="s">
        <v>3392</v>
      </c>
      <c r="B1" s="282"/>
      <c r="C1" s="282"/>
      <c r="D1" s="282"/>
      <c r="E1" s="282"/>
    </row>
    <row r="2" customFormat="false" ht="13.8" hidden="false" customHeight="false" outlineLevel="0" collapsed="false">
      <c r="A2" s="283" t="s">
        <v>3393</v>
      </c>
      <c r="B2" s="283"/>
      <c r="C2" s="283"/>
      <c r="D2" s="283"/>
      <c r="E2" s="283"/>
    </row>
    <row r="3" customFormat="false" ht="13.8" hidden="false" customHeight="false" outlineLevel="0" collapsed="false"/>
    <row r="4" customFormat="false" ht="13.8" hidden="false" customHeight="false" outlineLevel="0" collapsed="false">
      <c r="A4" s="284" t="s">
        <v>1848</v>
      </c>
      <c r="B4" s="284" t="s">
        <v>3394</v>
      </c>
      <c r="C4" s="284" t="s">
        <v>3395</v>
      </c>
      <c r="D4" s="284" t="s">
        <v>3321</v>
      </c>
      <c r="E4" s="284" t="s">
        <v>3396</v>
      </c>
    </row>
    <row r="5" customFormat="false" ht="13.8" hidden="false" customHeight="false" outlineLevel="0" collapsed="false">
      <c r="A5" s="285" t="s">
        <v>1865</v>
      </c>
      <c r="B5" s="286" t="str">
        <f aca="false">IF(C5="","",C5)</f>
        <v/>
      </c>
      <c r="C5" s="286"/>
      <c r="D5" s="286" t="str">
        <f aca="false">IF(OR(B5="",C5=""),"",C5-B5)</f>
        <v/>
      </c>
      <c r="E5" s="285" t="str">
        <f aca="false">IF(C5="","Planned",IF(D5=0,"On Plan",IF(D5&gt;0,"Over Budget","Under Budget")))</f>
        <v>Planned</v>
      </c>
    </row>
    <row r="6" customFormat="false" ht="13.8" hidden="false" customHeight="false" outlineLevel="0" collapsed="false">
      <c r="A6" s="285" t="s">
        <v>1866</v>
      </c>
      <c r="B6" s="286" t="str">
        <f aca="false">IF(C6="","",C6)</f>
        <v/>
      </c>
      <c r="C6" s="286"/>
      <c r="D6" s="286" t="str">
        <f aca="false">IF(OR(B6="",C6=""),"",C6-B6)</f>
        <v/>
      </c>
      <c r="E6" s="285" t="str">
        <f aca="false">IF(C6="","Planned",IF(D6=0,"On Plan",IF(D6&gt;0,"Over Budget","Under Budget")))</f>
        <v>Planned</v>
      </c>
    </row>
    <row r="7" customFormat="false" ht="13.8" hidden="false" customHeight="false" outlineLevel="0" collapsed="false">
      <c r="A7" s="285" t="s">
        <v>1867</v>
      </c>
      <c r="B7" s="286" t="str">
        <f aca="false">IF(C7="","",C7)</f>
        <v/>
      </c>
      <c r="C7" s="286"/>
      <c r="D7" s="286" t="str">
        <f aca="false">IF(OR(B7="",C7=""),"",C7-B7)</f>
        <v/>
      </c>
      <c r="E7" s="285" t="str">
        <f aca="false">IF(C7="","Planned",IF(D7=0,"On Plan",IF(D7&gt;0,"Over Budget","Under Budget")))</f>
        <v>Planned</v>
      </c>
    </row>
    <row r="8" customFormat="false" ht="13.8" hidden="false" customHeight="false" outlineLevel="0" collapsed="false">
      <c r="A8" s="285" t="s">
        <v>3397</v>
      </c>
      <c r="B8" s="286" t="n">
        <f aca="false">IF(C7&lt;&gt;"",C7,0)</f>
        <v>0</v>
      </c>
      <c r="C8" s="286"/>
      <c r="D8" s="286" t="str">
        <f aca="false">IF(OR(B8="",C8=""),"",C8-B8)</f>
        <v/>
      </c>
      <c r="E8" s="285" t="str">
        <f aca="false">IF(C8="","Planned",IF(D8=0,"On Plan",IF(D8&gt;0,"Over Budget","Under Budget")))</f>
        <v>Planned</v>
      </c>
    </row>
    <row r="9" customFormat="false" ht="13.8" hidden="false" customHeight="false" outlineLevel="0" collapsed="false">
      <c r="A9" s="285" t="s">
        <v>3398</v>
      </c>
      <c r="B9" s="286" t="n">
        <f aca="false">IF(C7&lt;&gt;"",C7,0)</f>
        <v>0</v>
      </c>
      <c r="C9" s="286"/>
      <c r="D9" s="286" t="str">
        <f aca="false">IF(OR(B9="",C9=""),"",C9-B9)</f>
        <v/>
      </c>
      <c r="E9" s="285" t="str">
        <f aca="false">IF(C9="","Planned",IF(D9=0,"On Plan",IF(D9&gt;0,"Over Budget","Under Budget")))</f>
        <v>Planned</v>
      </c>
    </row>
    <row r="10" customFormat="false" ht="13.8" hidden="false" customHeight="false" outlineLevel="0" collapsed="false">
      <c r="A10" s="285" t="s">
        <v>3399</v>
      </c>
      <c r="B10" s="286" t="n">
        <f aca="false">IF(C7&lt;&gt;"",C7,0)</f>
        <v>0</v>
      </c>
      <c r="C10" s="286"/>
      <c r="D10" s="286" t="str">
        <f aca="false">IF(OR(B10="",C10=""),"",C10-B10)</f>
        <v/>
      </c>
      <c r="E10" s="285" t="str">
        <f aca="false">IF(C10="","Planned",IF(D10=0,"On Plan",IF(D10&gt;0,"Over Budget","Under Budget")))</f>
        <v>Planned</v>
      </c>
    </row>
    <row r="11" customFormat="false" ht="13.8" hidden="false" customHeight="false" outlineLevel="0" collapsed="false">
      <c r="A11" s="285" t="s">
        <v>3400</v>
      </c>
      <c r="B11" s="286" t="n">
        <f aca="false">IF(C7&lt;&gt;"",C7,0)</f>
        <v>0</v>
      </c>
      <c r="C11" s="286"/>
      <c r="D11" s="286" t="str">
        <f aca="false">IF(OR(B11="",C11=""),"",C11-B11)</f>
        <v/>
      </c>
      <c r="E11" s="285" t="str">
        <f aca="false">IF(C11="","Planned",IF(D11=0,"On Plan",IF(D11&gt;0,"Over Budget","Under Budget")))</f>
        <v>Planned</v>
      </c>
    </row>
    <row r="12" customFormat="false" ht="13.8" hidden="false" customHeight="false" outlineLevel="0" collapsed="false">
      <c r="A12" s="285"/>
      <c r="B12" s="286"/>
      <c r="C12" s="286"/>
      <c r="D12" s="286"/>
      <c r="E12" s="285"/>
    </row>
    <row r="13" customFormat="false" ht="13.8" hidden="false" customHeight="false" outlineLevel="0" collapsed="false">
      <c r="A13" s="285" t="s">
        <v>3401</v>
      </c>
      <c r="B13" s="286"/>
      <c r="C13" s="286"/>
      <c r="D13" s="286"/>
      <c r="E13" s="285"/>
    </row>
    <row r="14" customFormat="false" ht="13.8" hidden="false" customHeight="false" outlineLevel="0" collapsed="false">
      <c r="A14" s="285" t="s">
        <v>3402</v>
      </c>
      <c r="B14" s="286" t="n">
        <f aca="false">SUM(B5:B11)</f>
        <v>0</v>
      </c>
      <c r="C14" s="286"/>
      <c r="D14" s="286"/>
      <c r="E14" s="285"/>
    </row>
    <row r="15" customFormat="false" ht="13.8" hidden="false" customHeight="false" outlineLevel="0" collapsed="false">
      <c r="A15" s="285" t="s">
        <v>3403</v>
      </c>
      <c r="B15" s="286" t="n">
        <f aca="false">SUM(C5:C11)</f>
        <v>0</v>
      </c>
      <c r="C15" s="286"/>
      <c r="D15" s="286"/>
      <c r="E15" s="285"/>
    </row>
    <row r="16" customFormat="false" ht="13.8" hidden="false" customHeight="false" outlineLevel="0" collapsed="false">
      <c r="A16" s="285" t="s">
        <v>3404</v>
      </c>
      <c r="B16" s="286" t="n">
        <f aca="false">SUM(D5:D11)</f>
        <v>0</v>
      </c>
      <c r="C16" s="286"/>
      <c r="D16" s="286"/>
      <c r="E16" s="285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2026-08-17T10:30:58Z</dcterms:created>
  <dc:creator>HomePC</dc:creator>
  <dc:description/>
  <dc:language>en-US</dc:language>
  <cp:lastModifiedBy/>
  <dcterms:modified xsi:type="dcterms:W3CDTF">2026-09-30T01:03:09Z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